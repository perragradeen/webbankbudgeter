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ontoutdrag_officiella" sheetId="1" r:id="rId5"/>
    <sheet state="visible" name="Budget (2015)" sheetId="2" r:id="rId6"/>
    <sheet state="visible" name="Villkor 1 år (2015)" sheetId="3" r:id="rId7"/>
    <sheet state="visible" name="Budget (2014)" sheetId="4" r:id="rId8"/>
    <sheet state="visible" name="Villkor 1 år (2014)" sheetId="5" r:id="rId9"/>
  </sheets>
  <definedNames>
    <definedName localSheetId="0" name="Allkortsfaktura_629_011_192_December_2013">Kontoutdrag_officiella!$A$456:$E$472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tc={00b1be3e-4b90-4f46-816e-c58f95f551ba}</author>
    <author>tc={04cb09c8-71f6-4756-bf6f-69e215c04f05}</author>
    <author>tc={04e84b3d-aec6-4550-84fc-b456bc1611e3}</author>
    <author>tc={0d1bc67e-dd67-480c-98fa-ae8ca02117d1}</author>
    <author>tc={100a337d-1451-4f1a-a083-998830f5260f}</author>
    <author>tc={14acc141-08a5-4404-a138-9f24bd192eee}</author>
    <author>tc={14d76f71-570d-4398-aa04-2ba26d89371c}</author>
    <author>tc={15af4326-8e45-403a-9408-701bc773d101}</author>
    <author>tc={184c57b6-cc8f-472e-9a86-95d2ba6a999e}</author>
    <author>tc={19129ca6-8822-4b5a-8d5d-cf19ba4a445a}</author>
    <author>tc={1ddaddf1-2e27-4e2f-a072-0217d37eb679}</author>
    <author>tc={215829bf-5ece-49b0-9514-70ff1fa08dfe}</author>
    <author>tc={333d225d-e239-453c-8edb-7e6a3e38eb73}</author>
    <author>tc={38a2dfef-3224-4639-b65d-07e0fe2de1b6}</author>
    <author>tc={38f9e7a9-0818-4f4b-9197-c7a422988dc0}</author>
    <author>tc={3ea508b1-efc4-4217-946c-c90f7fb98691}</author>
    <author>tc={3f5bd27b-92b6-4fb6-bddf-57d19dc8a7ba}</author>
    <author>tc={4594e78f-04d4-4b95-9041-d78e4721121c}</author>
    <author>tc={459edf9d-093b-4e60-996a-7c7e51652b1f}</author>
    <author>tc={496d8192-cd3d-4ad5-9a99-1e7a14664d16}</author>
    <author>tc={5326158d-8cec-41a0-8418-753fd5670124}</author>
    <author>tc={5ced1ef4-3f39-4fec-86fa-432c50dff984}</author>
    <author>tc={63bdbdb1-562e-4cbd-97bf-9a9cd2b5d326}</author>
    <author>tc={6d23bbd9-768c-475d-a9d9-0dbf9311e6cc}</author>
    <author>tc={7182e22d-a997-4183-8c63-778f2c12a8bf}</author>
    <author>tc={77462f95-1936-44f8-a020-b02fec987e85}</author>
    <author>tc={7f9c741f-c441-42dc-a4c3-21e0e832fce3}</author>
    <author>tc={841afe7b-d114-4968-b011-45c6b37cd4a3}</author>
    <author>tc={8801a6f9-9c2f-4230-9af9-501b42d0db19}</author>
    <author>tc={a8604ab7-d3c3-43c4-adbc-63b066e730e0}</author>
    <author>tc={a8a4ea63-6def-40d3-86c0-c813bbd4cf9f}</author>
    <author>tc={abc8f47d-98d0-460a-b456-fa3f7f90d31a}</author>
    <author>tc={b38c228a-1e0e-4b8f-aa93-82470d73e6aa}</author>
    <author>tc={be3f3469-d03e-4fda-9225-685cd8ac5569}</author>
    <author>tc={d7d94c4e-3665-4c05-be54-9de8013fc815}</author>
    <author>tc={dec413ed-e5a9-4a4d-bd60-91c34c468e72}</author>
    <author>tc={df0475bd-5adb-4379-8f94-91992ad56bf0}</author>
    <author>tc={eeedcc48-f5bb-46b9-9dbb-35201129a35e}</author>
    <author>tc={f46c4b95-5f6e-4927-9171-5320cad876f5}</author>
    <author>tc={f4fde91d-4654-4fae-9500-5f8c2822dac5}</author>
    <author>tc={fb18a603-a26d-4cbf-8120-508e2f0303f7}</author>
  </authors>
  <commentList>
    <comment authorId="0" xr:uid="{00b1be3e-4b90-4f46-816e-c58f95f551ba}" ref="C41">
      <text>
        <t xml:space="preserve">[Threaded comment]
 Your version of Excel allows you to read this threaded comment; however, any edits to it will get removed if the file is opened in a newer version of Excel. Learn more: https://go.microsoft.com/fwlink/?linkid=870924
Comment:
	ca 200 på varannan lördag.
Sen istället för supa ca 500
Efter seghet ev. Supa. Så blir det ca 2-3 utemat under vardag.
Så 250 varannan månad
</t>
      </text>
    </comment>
    <comment authorId="1" xr:uid="{04cb09c8-71f6-4756-bf6f-69e215c04f05}" ref="T111">
      <text>
        <t xml:space="preserve">[Threaded comment]
 Your version of Excel allows you to read this threaded comment; however, any edits to it will get removed if the file is opened in a newer version of Excel. Learn more: https://go.microsoft.com/fwlink/?linkid=870924
Comment:
	Inte inkl. 11k amortering längre, amortering är i amorterings-kategorin (spara till amortering), men inte ändrat namnet i alla system än...
</t>
      </text>
    </comment>
    <comment authorId="2" xr:uid="{04e84b3d-aec6-4550-84fc-b456bc1611e3}" ref="B50">
      <text>
        <t xml:space="preserve">[Threaded comment]
 Your version of Excel allows you to read this threaded comment; however, any edits to it will get removed if the file is opened in a newer version of Excel. Learn more: https://go.microsoft.com/fwlink/?linkid=870924
Comment:
	Augusti är första insättningen på nästa års sommar (5 st insättningar på hösten). 7 på våren inkl. Juli som tanken är att det ska användas
</t>
      </text>
    </comment>
    <comment authorId="3" xr:uid="{0d1bc67e-dd67-480c-98fa-ae8ca02117d1}" ref="B32">
      <text>
        <t xml:space="preserve">[Threaded comment]
 Your version of Excel allows you to read this threaded comment; however, any edits to it will get removed if the file is opened in a newer version of Excel. Learn more: https://go.microsoft.com/fwlink/?linkid=870924
Comment:
	El-bolaget ca 240kr, Nät-bolaget ca 120kr?
</t>
      </text>
    </comment>
    <comment authorId="4" xr:uid="{100a337d-1451-4f1a-a083-998830f5260f}" ref="T25">
      <text>
        <t xml:space="preserve">[Threaded comment]
 Your version of Excel allows you to read this threaded comment; however, any edits to it will get removed if the file is opened in a newer version of Excel. Learn more: https://go.microsoft.com/fwlink/?linkid=870924
Comment:
	Inte inkl. 11k amortering längre, amortering är i amorterings-kategorin (spara till amortering), men inte ändrat namnet i alla system än...
</t>
      </text>
    </comment>
    <comment authorId="5" xr:uid="{14acc141-08a5-4404-a138-9f24bd192eee}" ref="B25">
      <text>
        <t xml:space="preserve">[Threaded comment]
 Your version of Excel allows you to read this threaded comment; however, any edits to it will get removed if the file is opened in a newer version of Excel. Learn more: https://go.microsoft.com/fwlink/?linkid=870924
Comment:
	Inte inkl. 11k amortering längre, amortering är i amorterings-kategorin (spara till amortering), men inte ändrat namnet i alla system än...
</t>
      </text>
    </comment>
    <comment authorId="6" xr:uid="{14d76f71-570d-4398-aa04-2ba26d89371c}" ref="T118">
      <text>
        <t xml:space="preserve">[Threaded comment]
 Your version of Excel allows you to read this threaded comment; however, any edits to it will get removed if the file is opened in a newer version of Excel. Learn more: https://go.microsoft.com/fwlink/?linkid=870924
Comment:
	El-bolaget ca 240kr, Nät-bolaget ca 120kr?
</t>
      </text>
    </comment>
    <comment authorId="7" xr:uid="{15af4326-8e45-403a-9408-701bc773d101}" ref="T80">
      <text>
        <t xml:space="preserve">[Threaded comment]
 Your version of Excel allows you to read this threaded comment; however, any edits to it will get removed if the file is opened in a newer version of Excel. Learn more: https://go.microsoft.com/fwlink/?linkid=870924
Comment:
	El-bolaget ca 240kr, Nät-bolaget ca 120kr?
</t>
      </text>
    </comment>
    <comment authorId="8" xr:uid="{184c57b6-cc8f-472e-9a86-95d2ba6a999e}" ref="S122">
      <text>
        <t xml:space="preserve">[Threaded comment]
 Your version of Excel allows you to read this threaded comment; however, any edits to it will get removed if the file is opened in a newer version of Excel. Learn more: https://go.microsoft.com/fwlink/?linkid=870924
Comment:
	Det är troligtvis en del hygien här också. Det va det. Men inte längre. Det kan vara vitaminköp oxo.
</t>
      </text>
    </comment>
    <comment authorId="9" xr:uid="{19129ca6-8822-4b5a-8d5d-cf19ba4a445a}" ref="B179">
      <text>
        <t xml:space="preserve">[Threaded comment]
 Your version of Excel allows you to read this threaded comment; however, any edits to it will get removed if the file is opened in a newer version of Excel. Learn more: https://go.microsoft.com/fwlink/?linkid=870924
Comment:
	Allt helgnöje och på vardagar som är trynköp på coop, pizza, annan utemat, även frukost och hygien och lunch hemlagat jobbet, men även folköl etc. Allt som inte är i samband med supa.
</t>
      </text>
    </comment>
    <comment authorId="10" xr:uid="{1ddaddf1-2e27-4e2f-a072-0217d37eb679}" ref="B129">
      <text>
        <t xml:space="preserve">[Threaded comment]
 Your version of Excel allows you to read this threaded comment; however, any edits to it will get removed if the file is opened in a newer version of Excel. Learn more: https://go.microsoft.com/fwlink/?linkid=870924
Comment:
	Även tåg hem från galna suparesor.
</t>
      </text>
    </comment>
    <comment authorId="11" xr:uid="{215829bf-5ece-49b0-9514-70ff1fa08dfe}" ref="C39">
      <text>
        <t xml:space="preserve">[Threaded comment]
 Your version of Excel allows you to read this threaded comment; however, any edits to it will get removed if the file is opened in a newer version of Excel. Learn more: https://go.microsoft.com/fwlink/?linkid=870924
Comment:
	Istället för supa ca 300/helg. 2 helger / mån.
Efter seghet ev. Supa. Så blir det ca 2-3 utemat under vardag.
Så 250 varannan helg. 2 ggr per mån
</t>
      </text>
    </comment>
    <comment authorId="12" xr:uid="{333d225d-e239-453c-8edb-7e6a3e38eb73}" ref="F3">
      <text>
        <t xml:space="preserve">[Threaded comment]
 Your version of Excel allows you to read this threaded comment; however, any edits to it will get removed if the file is opened in a newer version of Excel. Learn more: https://go.microsoft.com/fwlink/?linkid=870924
Comment:
	Det är definitivt en gömställe
</t>
      </text>
    </comment>
    <comment authorId="13" xr:uid="{38a2dfef-3224-4639-b65d-07e0fe2de1b6}" ref="E22">
      <text>
        <t xml:space="preserve">[Threaded comment]
 Your version of Excel allows you to read this threaded comment; however, any edits to it will get removed if the file is opened in a newer version of Excel. Learn more: https://go.microsoft.com/fwlink/?linkid=870924
Comment:
	Månader innan supande kan börja igen
</t>
      </text>
    </comment>
    <comment authorId="14" xr:uid="{38f9e7a9-0818-4f4b-9197-c7a422988dc0}" ref="S118">
      <text>
        <t xml:space="preserve">[Threaded comment]
 Your version of Excel allows you to read this threaded comment; however, any edits to it will get removed if the file is opened in a newer version of Excel. Learn more: https://go.microsoft.com/fwlink/?linkid=870924
Comment:
	Kan bli en vindkraftsandel till slut?
</t>
      </text>
    </comment>
    <comment authorId="15" xr:uid="{3ea508b1-efc4-4217-946c-c90f7fb98691}" ref="S123">
      <text>
        <t xml:space="preserve">[Threaded comment]
 Your version of Excel allows you to read this threaded comment; however, any edits to it will get removed if the file is opened in a newer version of Excel. Learn more: https://go.microsoft.com/fwlink/?linkid=870924
Comment:
	Dessa kostnader har lagts på hemlagad. 
Kan användas för att balansera hemlagad
</t>
      </text>
    </comment>
    <comment authorId="16" xr:uid="{3f5bd27b-92b6-4fb6-bddf-57d19dc8a7ba}" ref="S120">
      <text>
        <t xml:space="preserve">[Threaded comment]
 Your version of Excel allows you to read this threaded comment; however, any edits to it will get removed if the file is opened in a newer version of Excel. Learn more: https://go.microsoft.com/fwlink/?linkid=870924
Comment:
	ev. skrapa till ny telefon.
Byter man abbonnemang så kan man ibland få gratismånader etc. och då kan denna jämna ut sig
</t>
      </text>
    </comment>
    <comment authorId="17" xr:uid="{4594e78f-04d4-4b95-9041-d78e4721121c}" ref="S135">
      <text>
        <t xml:space="preserve">[Threaded comment]
 Your version of Excel allows you to read this threaded comment; however, any edits to it will get removed if the file is opened in a newer version of Excel. Learn more: https://go.microsoft.com/fwlink/?linkid=870924
Comment:
	Tar ut hyran, och får de som e över på hyran.
Spara 50 000 i buffert och sen amortera med det som överstiger. Ex. spara upp till 100k och amortera 50k
</t>
      </text>
    </comment>
    <comment authorId="18" xr:uid="{459edf9d-093b-4e60-996a-7c7e51652b1f}" ref="T73">
      <text>
        <t xml:space="preserve">[Threaded comment]
 Your version of Excel allows you to read this threaded comment; however, any edits to it will get removed if the file is opened in a newer version of Excel. Learn more: https://go.microsoft.com/fwlink/?linkid=870924
Comment:
	Inte inkl. 11k amortering längre, amortering är i amorterings-kategorin (spara till amortering), men inte ändrat namnet i alla system än...
</t>
      </text>
    </comment>
    <comment authorId="19" xr:uid="{496d8192-cd3d-4ad5-9a99-1e7a14664d16}" ref="S139">
      <text>
        <t xml:space="preserve">[Threaded comment]
 Your version of Excel allows you to read this threaded comment; however, any edits to it will get removed if the file is opened in a newer version of Excel. Learn more: https://go.microsoft.com/fwlink/?linkid=870924
Comment:
	Bälte, Behöver lite fler pike kanse, men ej riktigt.
</t>
      </text>
    </comment>
    <comment authorId="20" xr:uid="{5326158d-8cec-41a0-8418-753fd5670124}" ref="V107">
      <text>
        <t xml:space="preserve">[Threaded comment]
 Your version of Excel allows you to read this threaded comment; however, any edits to it will get removed if the file is opened in a newer version of Excel. Learn more: https://go.microsoft.com/fwlink/?linkid=870924
Comment:
	Kompensation för amortering.
</t>
      </text>
    </comment>
    <comment authorId="21" xr:uid="{5ced1ef4-3f39-4fec-86fa-432c50dff984}" ref="S127">
      <text>
        <t xml:space="preserve">[Threaded comment]
 Your version of Excel allows you to read this threaded comment; however, any edits to it will get removed if the file is opened in a newer version of Excel. Learn more: https://go.microsoft.com/fwlink/?linkid=870924
Comment:
	Kan vara från Mat isms oxo här...
</t>
      </text>
    </comment>
    <comment authorId="22" xr:uid="{63bdbdb1-562e-4cbd-97bf-9a9cd2b5d326}" ref="S138">
      <text>
        <t xml:space="preserve">[Threaded comment]
 Your version of Excel allows you to read this threaded comment; however, any edits to it will get removed if the file is opened in a newer version of Excel. Learn more: https://go.microsoft.com/fwlink/?linkid=870924
Comment:
	Kan via IN, skicka pengar hit från supa etc, så blir det en slags belöning för att ha tagit det lugnt, och så kan man göra något dyrt, men nyktert. Vid lagade måltider, dra av för vad en std billig mat skulle kostat under samma period som den maten räkte...etc. ev. dra av i hemlagad lunch.
</t>
      </text>
    </comment>
    <comment authorId="23" xr:uid="{6d23bbd9-768c-475d-a9d9-0dbf9311e6cc}" ref="C177">
      <text>
        <t xml:space="preserve">[Threaded comment]
 Your version of Excel allows you to read this threaded comment; however, any edits to it will get removed if the file is opened in a newer version of Excel. Learn more: https://go.microsoft.com/fwlink/?linkid=870924
Comment:
	Man kan ta fram miniräknare i telefonen och skriva in vad man köper, sätt 750kr/helg. Sen köper man tills det är slut, alt. Tar ut cash, vid supa.
</t>
      </text>
    </comment>
    <comment authorId="24" xr:uid="{7182e22d-a997-4183-8c63-778f2c12a8bf}" ref="U111">
      <text>
        <t xml:space="preserve">[Threaded comment]
 Your version of Excel allows you to read this threaded comment; however, any edits to it will get removed if the file is opened in a newer version of Excel. Learn more: https://go.microsoft.com/fwlink/?linkid=870924
Comment:
	Är vad denna post ska gå plus med, alltså lågränteläge ger mer amortering
</t>
      </text>
    </comment>
    <comment authorId="25" xr:uid="{77462f95-1936-44f8-a020-b02fec987e85}" ref="T32">
      <text>
        <t xml:space="preserve">[Threaded comment]
 Your version of Excel allows you to read this threaded comment; however, any edits to it will get removed if the file is opened in a newer version of Excel. Learn more: https://go.microsoft.com/fwlink/?linkid=870924
Comment:
	El-bolaget ca 240kr, Nät-bolaget ca 120kr?
</t>
      </text>
    </comment>
    <comment authorId="26" xr:uid="{7f9c741f-c441-42dc-a4c3-21e0e832fce3}" ref="B130">
      <text>
        <t xml:space="preserve">[Threaded comment]
 Your version of Excel allows you to read this threaded comment; however, any edits to it will get removed if the file is opened in a newer version of Excel. Learn more: https://go.microsoft.com/fwlink/?linkid=870924
Comment:
	Skulle kunna vara kontanter
</t>
      </text>
    </comment>
    <comment authorId="27" xr:uid="{841afe7b-d114-4968-b011-45c6b37cd4a3}" ref="B41">
      <text>
        <t xml:space="preserve">[Threaded comment]
 Your version of Excel allows you to read this threaded comment; however, any edits to it will get removed if the file is opened in a newer version of Excel. Learn more: https://go.microsoft.com/fwlink/?linkid=870924
Comment:
	Cigg eg.
</t>
      </text>
    </comment>
    <comment authorId="28" xr:uid="{8801a6f9-9c2f-4230-9af9-501b42d0db19}" ref="C50">
      <text>
        <t xml:space="preserve">[Threaded comment]
 Your version of Excel allows you to read this threaded comment; however, any edits to it will get removed if the file is opened in a newer version of Excel. Learn more: https://go.microsoft.com/fwlink/?linkid=870924
Comment:
	9k typ rimligt för en del festivaler o supa etc.
Sen är det den vanliga kvoten på utgifter för en mån supa etc.
3000 i extra för bjuda div.
Sen bör det tillkomma ca 3k i semesterersättning.
Så runt 15k per sommar. Men kompensera bort semErs bokföringsmässigt med att lägga den klump som kommer i Spara allmänt o ha lägre månadspott på den...
</t>
      </text>
    </comment>
    <comment authorId="29" xr:uid="{a8604ab7-d3c3-43c4-adbc-63b066e730e0}" ref="B38">
      <text>
        <t xml:space="preserve">[Threaded comment]
 Your version of Excel allows you to read this threaded comment; however, any edits to it will get removed if the file is opened in a newer version of Excel. Learn more: https://go.microsoft.com/fwlink/?linkid=870924
Comment:
	Ska innefatta affärsresor, småätande där. Sedan när traktamente kommer så lägges det som inkomst.
</t>
      </text>
    </comment>
    <comment authorId="30" xr:uid="{a8a4ea63-6def-40d3-86c0-c813bbd4cf9f}" ref="C47">
      <text>
        <t xml:space="preserve">[Threaded comment]
 Your version of Excel allows you to read this threaded comment; however, any edits to it will get removed if the file is opened in a newer version of Excel. Learn more: https://go.microsoft.com/fwlink/?linkid=870924
Comment:
	Åker i snitt på ett år varannan månad. Och alltid köpa för 95 kångt i förväg. Eller med poäng...
</t>
      </text>
    </comment>
    <comment authorId="31" xr:uid="{abc8f47d-98d0-460a-b456-fa3f7f90d31a}" ref="S126">
      <text>
        <t xml:space="preserve">[Threaded comment]
 Your version of Excel allows you to read this threaded comment; however, any edits to it will get removed if the file is opened in a newer version of Excel. Learn more: https://go.microsoft.com/fwlink/?linkid=870924
Comment:
	Hm, bättre man äter lite så man kommer tillbaka till livet…höja denne ev.
</t>
      </text>
    </comment>
    <comment authorId="32" xr:uid="{b38c228a-1e0e-4b8f-aa93-82470d73e6aa}" ref="S111">
      <text>
        <t xml:space="preserve">[Threaded comment]
 Your version of Excel allows you to read this threaded comment; however, any edits to it will get removed if the file is opened in a newer version of Excel. Learn more: https://go.microsoft.com/fwlink/?linkid=870924
Comment:
	RänteReserv, skulle med rätt in varje månad, kunna flyttas till amortering varje år...
</t>
      </text>
    </comment>
    <comment authorId="33" xr:uid="{be3f3469-d03e-4fda-9225-685cd8ac5569}" ref="T86">
      <text>
        <t xml:space="preserve">[Threaded comment]
 Your version of Excel allows you to read this threaded comment; however, any edits to it will get removed if the file is opened in a newer version of Excel. Learn more: https://go.microsoft.com/fwlink/?linkid=870924
Comment:
	Ska innefatta affärsresor, småätande där. Sedan när traktamente kommer så lägges det som inkomst.
</t>
      </text>
    </comment>
    <comment authorId="34" xr:uid="{d7d94c4e-3665-4c05-be54-9de8013fc815}" ref="C37">
      <text>
        <t xml:space="preserve">[Threaded comment]
 Your version of Excel allows you to read this threaded comment; however, any edits to it will get removed if the file is opened in a newer version of Excel. Learn more: https://go.microsoft.com/fwlink/?linkid=870924
Comment:
	Alternera varannan dag mellan Ärtsoppekorv o Gulashsoppa eller billigare. 226 Arbetsdagar per år uppdelat på 12 mån. Så ev. Back i början av året o plussa på under ledighet som sommar etc...
</t>
      </text>
    </comment>
    <comment authorId="35" xr:uid="{dec413ed-e5a9-4a4d-bd60-91c34c468e72}" ref="C45">
      <text>
        <t xml:space="preserve">[Threaded comment]
 Your version of Excel allows you to read this threaded comment; however, any edits to it will get removed if the file is opened in a newer version of Excel. Learn more: https://go.microsoft.com/fwlink/?linkid=870924
Comment:
	2 st 3-mån kort per år. Resten cykla etc.
+10 per mån för köp av annat i samband med köp av kort på ex. Pressbyrån. + Liten komp. för stigande priser
</t>
      </text>
    </comment>
    <comment authorId="36" xr:uid="{df0475bd-5adb-4379-8f94-91992ad56bf0}" ref="T179">
      <text>
        <t xml:space="preserve">[Threaded comment]
 Your version of Excel allows you to read this threaded comment; however, any edits to it will get removed if the file is opened in a newer version of Excel. Learn more: https://go.microsoft.com/fwlink/?linkid=870924
Comment:
	Allt helgnöje och på vardagar som är trynköp på coop, pizza, annan utemat, även frukost och hygien och lunch hemlagat jobbet, men även folköl etc. Allt som inte är i samband med supa.
</t>
      </text>
    </comment>
    <comment authorId="37" xr:uid="{eeedcc48-f5bb-46b9-9dbb-35201129a35e}" ref="T124">
      <text>
        <t xml:space="preserve">[Threaded comment]
 Your version of Excel allows you to read this threaded comment; however, any edits to it will get removed if the file is opened in a newer version of Excel. Learn more: https://go.microsoft.com/fwlink/?linkid=870924
Comment:
	Ska innefatta affärsresor, småätande där. Sedan när traktamente kommer så lägges det som inkomst.
</t>
      </text>
    </comment>
    <comment authorId="38" xr:uid="{f46c4b95-5f6e-4927-9171-5320cad876f5}" ref="T38">
      <text>
        <t xml:space="preserve">[Threaded comment]
 Your version of Excel allows you to read this threaded comment; however, any edits to it will get removed if the file is opened in a newer version of Excel. Learn more: https://go.microsoft.com/fwlink/?linkid=870924
Comment:
	Ska innefatta affärsresor, småätande där. Sedan när traktamente kommer så lägges det som inkomst.
</t>
      </text>
    </comment>
    <comment authorId="39" xr:uid="{f4fde91d-4654-4fae-9500-5f8c2822dac5}" ref="C25">
      <text>
        <t xml:space="preserve">[Threaded comment]
 Your version of Excel allows you to read this threaded comment; however, any edits to it will get removed if the file is opened in a newer version of Excel. Learn more: https://go.microsoft.com/fwlink/?linkid=870924
Comment:
	Kan läggas stabilt med 2-3år bunden ränta runt 4000. Då blir totalen 7500
</t>
      </text>
    </comment>
    <comment authorId="40" xr:uid="{fb18a603-a26d-4cbf-8120-508e2f0303f7}" ref="B40">
      <text>
        <t xml:space="preserve">[Threaded comment]
 Your version of Excel allows you to read this threaded comment; however, any edits to it will get removed if the file is opened in a newer version of Excel. Learn more: https://go.microsoft.com/fwlink/?linkid=870924
Comment:
	ev. flytta hit 200 xtra från alk.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tc={03baf19c-6212-4787-ab95-6b2af29f189e}</author>
    <author>tc={0529819a-50d8-4361-835d-75c41d727fa7}</author>
    <author>tc={10fda934-0e7a-42eb-8840-d386d79959b9}</author>
    <author>tc={1149b6fa-61fe-447a-a05f-ac3c16a7ebe5}</author>
    <author>tc={14b29e5e-99a7-4e1c-a421-cd68ac4dc8c3}</author>
    <author>tc={14d85c3b-21a9-46ec-8d66-7ec7138a42f5}</author>
    <author>tc={163eb745-ee25-4180-88db-df6683fa472c}</author>
    <author>tc={18481819-4a5c-4e0f-801d-e66e4d66749b}</author>
    <author>tc={1da06126-5b43-4301-841a-9e682f9367d3}</author>
    <author>tc={2194bf80-fe20-4657-9b4a-bd754ee12d27}</author>
    <author>tc={2512c339-1a97-4700-be72-0de3de5a7773}</author>
    <author>tc={26535575-a533-43e2-b43d-e8e6fede27dd}</author>
    <author>tc={2801c35a-4a90-4383-bf1a-e7f0fc7544d7}</author>
    <author>tc={2957f622-7d7f-46d7-a5c9-b3c61773da24}</author>
    <author>tc={29abb191-539a-4898-b7ce-d06a3bda707b}</author>
    <author>tc={2a10179e-e719-41f4-ada7-8de1bff6b8d4}</author>
    <author>tc={2d46e7f8-557c-47cb-bca6-3a83fdc2485c}</author>
    <author>tc={2d4adc07-59e2-4214-9911-73c11efe7baf}</author>
    <author>tc={2de5718e-508c-432e-9193-e5b720508967}</author>
    <author>tc={30b8164a-37b8-49db-a9ef-dcb1305f855e}</author>
    <author>tc={30d42515-c33f-4d29-8e6b-1d06c48fd40c}</author>
    <author>tc={3b66ce68-516a-43cc-b180-d8d3bbe77e43}</author>
    <author>tc={3d852d06-d997-448f-a1b3-1349b97a8da8}</author>
    <author>tc={3eb1faa9-03e6-4aba-92ee-734f6b1bbacf}</author>
    <author>tc={401b0a6e-9941-43f6-9c29-d34a61e1d871}</author>
    <author>tc={403886f7-1738-41c9-b9a4-008898153c74}</author>
    <author>tc={4af7cefd-918f-4e68-9916-36f13abb09c7}</author>
    <author>tc={50540791-448c-4059-a271-2f350b39822a}</author>
    <author>tc={51566c22-72ec-4165-a608-82e0ce026945}</author>
    <author>tc={57628932-48f4-4652-896e-244f8b27854f}</author>
    <author>tc={5a884f07-e33b-4042-8cdb-2b24ac81b260}</author>
    <author>tc={5c73f29f-4124-417e-ab9a-e7b453ca52d2}</author>
    <author>tc={5e1b4cde-55ce-469b-b78c-d052b49e515f}</author>
    <author>tc={5f15975c-c88d-473a-bee2-0ee2cd92d7b8}</author>
    <author>tc={603e40bc-7086-4739-9b6d-b4b4216ffee1}</author>
    <author>tc={690edb90-e4c3-44cd-83d6-10745ba163db}</author>
    <author>tc={6aefcffe-3ee0-4045-bb24-e6fed397794b}</author>
    <author>tc={6af2d294-5103-42d2-af21-437ef0880436}</author>
    <author>tc={6f580531-a406-4dd2-9895-2908dc6a4706}</author>
    <author>tc={727c3176-8306-4af7-b5f7-12da7f1be736}</author>
    <author>tc={744c264e-c281-473c-af55-a54b50669d87}</author>
    <author>tc={7491d2a4-be3f-46aa-8979-6a793168b8ff}</author>
    <author>tc={76615476-7a97-42ca-bbfa-da27af5549d9}</author>
    <author>tc={77a99cd4-00e7-4c84-bba1-82ff18c983bd}</author>
    <author>tc={789886d8-18a2-4be8-8959-08a784b3405c}</author>
    <author>tc={7ba0f0db-5ce4-4f16-a374-4fdc58b69a2d}</author>
    <author>tc={7eadaebe-ac46-4600-8011-612a68d69643}</author>
    <author>tc={810f8621-a5de-41b0-a643-9c754c40a138}</author>
    <author>tc={81c70e03-6d97-4e25-ab4f-341c1aae6186}</author>
    <author>tc={821574cf-631c-4c77-b438-fb0bb2e98791}</author>
    <author>tc={832560f3-590d-4f72-87e8-04560ecc012e}</author>
    <author>tc={84461592-6685-4a90-be09-0ae7ddab2960}</author>
    <author>tc={862dc7ed-e9bc-4c11-a214-3a40c406a398}</author>
    <author>tc={863857d2-ad73-4191-abe1-07a019184b44}</author>
    <author>tc={8b10b3c7-4a27-4f29-a071-61368d31f7c8}</author>
    <author>tc={8b9ae123-ce50-43e8-9b43-9d301c06cdef}</author>
    <author>tc={8c58e969-7efa-4292-9b9e-114788e52251}</author>
    <author>tc={8ccb5c22-0316-49a8-a8da-be92ddc498bc}</author>
    <author>tc={8e265a5a-4283-4388-af6f-b47c51d4527c}</author>
    <author>tc={90f6eab2-7729-4b6f-9066-a4d7acf64164}</author>
    <author>tc={91f8de3c-1c84-4937-973c-4ac3f3c5e67a}</author>
    <author>tc={92ed1b2d-2a51-48da-92db-9784b1ca33d2}</author>
    <author>tc={9685a795-fbab-4336-bda2-5868fe4b7a48}</author>
    <author>tc={974a2747-df1a-4afc-9a09-b7b77a5b01d3}</author>
    <author>tc={97fe2141-31f3-4736-8885-0bc79c980bb3}</author>
    <author>tc={9a69de4b-19eb-477c-a796-dc164900c840}</author>
    <author>tc={9f85829a-8c8d-44a1-8a9a-d981b4ad774e}</author>
    <author>tc={a10da4be-1668-4f86-9961-a977f42a9211}</author>
    <author>tc={a38af0bc-a253-46a8-b822-19e5d4c128ce}</author>
    <author>tc={aaf752ed-66e8-48cf-b37d-ce3bad76e6a6}</author>
    <author>tc={adaad399-1a88-4c64-a4c5-74905317186b}</author>
    <author>tc={b1cf4702-7589-4571-84c1-101cc1628573}</author>
    <author>tc={b2f733c3-2747-475c-bca8-32aa29d02048}</author>
    <author>tc={b33a241a-a015-4758-91b7-e48087caa5bd}</author>
    <author>tc={b61c2150-b247-4c9f-9366-85d72bf4c57c}</author>
    <author>tc={b6a0330b-f098-46a5-b3f5-41293a74c393}</author>
    <author>tc={b91c5d65-9b89-42aa-a359-1408c04116bc}</author>
    <author>tc={bc5c12d3-d137-40db-80ad-42b1bbc5801f}</author>
    <author>tc={beb829ba-26e4-4781-8290-f9292107a5bd}</author>
    <author>tc={c5175e45-e139-4bad-b70d-42808c785d8b}</author>
    <author>tc={c84b016c-760d-4bea-afff-e7ba0cd0183f}</author>
    <author>tc={cea819af-a857-4f22-9b8c-3c75b0728225}</author>
    <author>tc={d034c779-3536-463b-a854-1026b3ee07cf}</author>
    <author>tc={d5c9ee13-f2c5-4ec3-b98c-5a838944b264}</author>
    <author>tc={d69097ed-457c-4612-b103-0f84e3156718}</author>
    <author>tc={d8139ae5-d723-485c-ba61-5f4a7ef5510e}</author>
    <author>tc={da6cb9f2-4a07-4137-b36f-31fc316e373f}</author>
    <author>tc={dcc2129f-dc2b-464f-9705-e9ce0fc101d6}</author>
    <author>tc={dd103104-8ef0-43d5-b46a-fd06c2506e3b}</author>
    <author>tc={dd8aed9f-1838-42a8-b8de-8ab802f89a9c}</author>
    <author>tc={e14ddde1-264d-4920-9731-46e09c0984e1}</author>
    <author>tc={e2285256-90a0-4b98-a78e-56b622f51f90}</author>
    <author>tc={e3a192da-dbf2-430b-b18d-34e181749b97}</author>
    <author>tc={ebfa8bec-5b7c-4d79-be96-f1bda387d8e0}</author>
    <author>tc={ed5be909-424f-4583-a64d-ec7362f5e6a3}</author>
    <author>tc={ed8b8051-d18f-4800-993f-0d3fe6d0e790}</author>
    <author>tc={eeabaf52-5343-4768-b86f-ada4545c81f7}</author>
    <author>tc={f3afdc8b-fb57-4e25-bfa3-1f7d18476ce0}</author>
    <author>tc={f6606385-04aa-4924-a8c5-2cb010b3efa3}</author>
    <author>tc={f6a6b135-3d34-4fa6-b62d-417e0a710c46}</author>
    <author>tc={faa3e6fd-5879-40e3-94ee-e0d7db36dfe0}</author>
    <author>tc={fafe68d1-8cc1-45e2-8544-0eb6b94e5a7c}</author>
    <author>tc={fbf3bf05-e437-4897-93f9-7a062e852f5d}</author>
    <author>tc={fc658730-ddba-4672-b4bd-a11dc809b711}</author>
    <author>tc={ff1df133-c2bf-495f-9d0b-d7c78ecde14e}</author>
  </authors>
  <commentList>
    <comment authorId="0" xr:uid="{03baf19c-6212-4787-ab95-6b2af29f189e}" ref="B130">
      <text>
        <t xml:space="preserve">[Threaded comment]
 Your version of Excel allows you to read this threaded comment; however, any edits to it will get removed if the file is opened in a newer version of Excel. Learn more: https://go.microsoft.com/fwlink/?linkid=870924
Comment:
	Skulle kunna vara kontanter
</t>
      </text>
    </comment>
    <comment authorId="1" xr:uid="{0529819a-50d8-4361-835d-75c41d727fa7}" ref="T118">
      <text>
        <t xml:space="preserve">[Threaded comment]
 Your version of Excel allows you to read this threaded comment; however, any edits to it will get removed if the file is opened in a newer version of Excel. Learn more: https://go.microsoft.com/fwlink/?linkid=870924
Comment:
	El-bolaget ca 240kr, Nät-bolaget ca 120kr?
</t>
      </text>
    </comment>
    <comment authorId="2" xr:uid="{10fda934-0e7a-42eb-8840-d386d79959b9}" ref="L39">
      <text>
        <t xml:space="preserve">[Threaded comment]
 Your version of Excel allows you to read this threaded comment; however, any edits to it will get removed if the file is opened in a newer version of Excel. Learn more: https://go.microsoft.com/fwlink/?linkid=870924
Comment:
	Istället för supa ca 300/helg. 2 helger / mån.
Efter seghet ev. Supa. Så blir det ca 2-3 utemat under vardag.
Så 250 varannan helg. 2 ggr per mån
</t>
      </text>
    </comment>
    <comment authorId="3" xr:uid="{1149b6fa-61fe-447a-a05f-ac3c16a7ebe5}" ref="F3">
      <text>
        <t xml:space="preserve">[Threaded comment]
 Your version of Excel allows you to read this threaded comment; however, any edits to it will get removed if the file is opened in a newer version of Excel. Learn more: https://go.microsoft.com/fwlink/?linkid=870924
Comment:
	Det är definitivt en gömställe
</t>
      </text>
    </comment>
    <comment authorId="4" xr:uid="{14b29e5e-99a7-4e1c-a421-cd68ac4dc8c3}" ref="K25">
      <text>
        <t xml:space="preserve">[Threaded comment]
 Your version of Excel allows you to read this threaded comment; however, any edits to it will get removed if the file is opened in a newer version of Excel. Learn more: https://go.microsoft.com/fwlink/?linkid=870924
Comment:
	Kan läggas stabilt med 2-3år bunden ränta runt 4000. Då blir totalen 7500
</t>
      </text>
    </comment>
    <comment authorId="5" xr:uid="{14d85c3b-21a9-46ec-8d66-7ec7138a42f5}" ref="M25">
      <text>
        <t xml:space="preserve">[Threaded comment]
 Your version of Excel allows you to read this threaded comment; however, any edits to it will get removed if the file is opened in a newer version of Excel. Learn more: https://go.microsoft.com/fwlink/?linkid=870924
Comment:
	Kan läggas stabilt med 2-3år bunden ränta runt 4000. Då blir totalen 7500
</t>
      </text>
    </comment>
    <comment authorId="6" xr:uid="{163eb745-ee25-4180-88db-df6683fa472c}" ref="J25">
      <text>
        <t xml:space="preserve">[Threaded comment]
 Your version of Excel allows you to read this threaded comment; however, any edits to it will get removed if the file is opened in a newer version of Excel. Learn more: https://go.microsoft.com/fwlink/?linkid=870924
Comment:
	Kan läggas stabilt med 2-3år bunden ränta runt 4000. Då blir totalen 7500
</t>
      </text>
    </comment>
    <comment authorId="7" xr:uid="{18481819-4a5c-4e0f-801d-e66e4d66749b}" ref="G50">
      <text>
        <t xml:space="preserve">[Threaded comment]
 Your version of Excel allows you to read this threaded comment; however, any edits to it will get removed if the file is opened in a newer version of Excel. Learn more: https://go.microsoft.com/fwlink/?linkid=870924
Comment:
	9k typ rimligt för en del festivaler o supa etc.
Sen är det den vanliga kvoten på utgifter för en mån supa etc.
3000 i extra för bjuda div.
Sen bör det tillkomma ca 3k i semesterersättning.
Så runt 15k per sommar. Men kompensera bort semErs bokföringsmässigt med att lägga den klump som kommer i Spara allmänt o ha lägre månadspott på den...
</t>
      </text>
    </comment>
    <comment authorId="8" xr:uid="{1da06126-5b43-4301-841a-9e682f9367d3}" ref="H37">
      <text>
        <t xml:space="preserve">[Threaded comment]
 Your version of Excel allows you to read this threaded comment; however, any edits to it will get removed if the file is opened in a newer version of Excel. Learn more: https://go.microsoft.com/fwlink/?linkid=870924
Comment:
	Alternera varannan dag mellan Ärtsoppekorv o Gulashsoppa eller billigare. 226 Arbetsdagar per år uppdelat på 12 mån. Så ev. Back i början av året o plussa på under ledighet som sommar etc...
</t>
      </text>
    </comment>
    <comment authorId="9" xr:uid="{2194bf80-fe20-4657-9b4a-bd754ee12d27}" ref="B40">
      <text>
        <t xml:space="preserve">[Threaded comment]
 Your version of Excel allows you to read this threaded comment; however, any edits to it will get removed if the file is opened in a newer version of Excel. Learn more: https://go.microsoft.com/fwlink/?linkid=870924
Comment:
	ev. flytta hit 200 xtra från alk.
</t>
      </text>
    </comment>
    <comment authorId="10" xr:uid="{2512c339-1a97-4700-be72-0de3de5a7773}" ref="S138">
      <text>
        <t xml:space="preserve">[Threaded comment]
 Your version of Excel allows you to read this threaded comment; however, any edits to it will get removed if the file is opened in a newer version of Excel. Learn more: https://go.microsoft.com/fwlink/?linkid=870924
Comment:
	Kan via IN, skicka pengar hit från supa etc, så blir det en slags belöning för att ha tagit det lugnt, och så kan man göra något dyrt, men nyktert. Vid lagade måltider, dra av för vad en std billig mat skulle kostat under samma period som den maten räkte...etc. ev. dra av i hemlagad lunch.
</t>
      </text>
    </comment>
    <comment authorId="11" xr:uid="{26535575-a533-43e2-b43d-e8e6fede27dd}" ref="M41">
      <text>
        <t xml:space="preserve">[Threaded comment]
 Your version of Excel allows you to read this threaded comment; however, any edits to it will get removed if the file is opened in a newer version of Excel. Learn more: https://go.microsoft.com/fwlink/?linkid=870924
Comment:
	ca 200 på varannan lördag.
Sen istället för supa ca 500
Efter seghet ev. Supa. Så blir det ca 2-3 utemat under vardag.
Så 250 varannan månad
</t>
      </text>
    </comment>
    <comment authorId="12" xr:uid="{2801c35a-4a90-4383-bf1a-e7f0fc7544d7}" ref="J39">
      <text>
        <t xml:space="preserve">[Threaded comment]
 Your version of Excel allows you to read this threaded comment; however, any edits to it will get removed if the file is opened in a newer version of Excel. Learn more: https://go.microsoft.com/fwlink/?linkid=870924
Comment:
	Istället för supa ca 300/helg. 2 helger / mån.
Efter seghet ev. Supa. Så blir det ca 2-3 utemat under vardag.
Så 250 varannan helg. 2 ggr per mån
</t>
      </text>
    </comment>
    <comment authorId="13" xr:uid="{2957f622-7d7f-46d7-a5c9-b3c61773da24}" ref="K45">
      <text>
        <t xml:space="preserve">[Threaded comment]
 Your version of Excel allows you to read this threaded comment; however, any edits to it will get removed if the file is opened in a newer version of Excel. Learn more: https://go.microsoft.com/fwlink/?linkid=870924
Comment:
	2 st 3-mån kort per år. Resten cykla etc.
+10 per mån för köp av annat i samband med köp av kort på ex. Pressbyrån. + Liten komp. för stigande priser
</t>
      </text>
    </comment>
    <comment authorId="14" xr:uid="{29abb191-539a-4898-b7ce-d06a3bda707b}" ref="T86">
      <text>
        <t xml:space="preserve">[Threaded comment]
 Your version of Excel allows you to read this threaded comment; however, any edits to it will get removed if the file is opened in a newer version of Excel. Learn more: https://go.microsoft.com/fwlink/?linkid=870924
Comment:
	Ska innefatta affärsresor, småätande där. Sedan när traktamente kommer så lägges det som inkomst.
</t>
      </text>
    </comment>
    <comment authorId="15" xr:uid="{2a10179e-e719-41f4-ada7-8de1bff6b8d4}" ref="O45">
      <text>
        <t xml:space="preserve">[Threaded comment]
 Your version of Excel allows you to read this threaded comment; however, any edits to it will get removed if the file is opened in a newer version of Excel. Learn more: https://go.microsoft.com/fwlink/?linkid=870924
Comment:
	2 st 3-mån kort per år. Resten cykla etc.
+10 per mån för köp av annat i samband med köp av kort på ex. Pressbyrån. + Liten komp. för stigande priser
</t>
      </text>
    </comment>
    <comment authorId="16" xr:uid="{2d46e7f8-557c-47cb-bca6-3a83fdc2485c}" ref="H47">
      <text>
        <t xml:space="preserve">[Threaded comment]
 Your version of Excel allows you to read this threaded comment; however, any edits to it will get removed if the file is opened in a newer version of Excel. Learn more: https://go.microsoft.com/fwlink/?linkid=870924
Comment:
	Åker i snitt på ett år varannan månad. Och alltid köpa för 95 kångt i förväg. Eller med poäng...
</t>
      </text>
    </comment>
    <comment authorId="17" xr:uid="{2d4adc07-59e2-4214-9911-73c11efe7baf}" ref="S111">
      <text>
        <t xml:space="preserve">[Threaded comment]
 Your version of Excel allows you to read this threaded comment; however, any edits to it will get removed if the file is opened in a newer version of Excel. Learn more: https://go.microsoft.com/fwlink/?linkid=870924
Comment:
	RänteReserv, skulle med rätt in varje månad, kunna flyttas till amortering varje år...
</t>
      </text>
    </comment>
    <comment authorId="18" xr:uid="{2de5718e-508c-432e-9193-e5b720508967}" ref="S122">
      <text>
        <t xml:space="preserve">[Threaded comment]
 Your version of Excel allows you to read this threaded comment; however, any edits to it will get removed if the file is opened in a newer version of Excel. Learn more: https://go.microsoft.com/fwlink/?linkid=870924
Comment:
	Det är troligtvis en del hygien här också. Det va det. Men inte längre. Det kan vara vitaminköp oxo.
</t>
      </text>
    </comment>
    <comment authorId="19" xr:uid="{30b8164a-37b8-49db-a9ef-dcb1305f855e}" ref="U111">
      <text>
        <t xml:space="preserve">[Threaded comment]
 Your version of Excel allows you to read this threaded comment; however, any edits to it will get removed if the file is opened in a newer version of Excel. Learn more: https://go.microsoft.com/fwlink/?linkid=870924
Comment:
	Är vad denna post ska gå plus med, alltså lågränteläge ger mer amortering
</t>
      </text>
    </comment>
    <comment authorId="20" xr:uid="{30d42515-c33f-4d29-8e6b-1d06c48fd40c}" ref="J37">
      <text>
        <t xml:space="preserve">[Threaded comment]
 Your version of Excel allows you to read this threaded comment; however, any edits to it will get removed if the file is opened in a newer version of Excel. Learn more: https://go.microsoft.com/fwlink/?linkid=870924
Comment:
	Alternera varannan dag mellan Ärtsoppekorv o Gulashsoppa eller billigare. 226 Arbetsdagar per år uppdelat på 12 mån. Så ev. Back i början av året o plussa på under ledighet som sommar etc...
</t>
      </text>
    </comment>
    <comment authorId="21" xr:uid="{3b66ce68-516a-43cc-b180-d8d3bbe77e43}" ref="B179">
      <text>
        <t xml:space="preserve">[Threaded comment]
 Your version of Excel allows you to read this threaded comment; however, any edits to it will get removed if the file is opened in a newer version of Excel. Learn more: https://go.microsoft.com/fwlink/?linkid=870924
Comment:
	Allt helgnöje och på vardagar som är trynköp på coop, pizza, annan utemat, även frukost och hygien och lunch hemlagat jobbet, men även folköl etc. Allt som inte är i samband med supa.
</t>
      </text>
    </comment>
    <comment authorId="22" xr:uid="{3d852d06-d997-448f-a1b3-1349b97a8da8}" ref="I45">
      <text>
        <t xml:space="preserve">[Threaded comment]
 Your version of Excel allows you to read this threaded comment; however, any edits to it will get removed if the file is opened in a newer version of Excel. Learn more: https://go.microsoft.com/fwlink/?linkid=870924
Comment:
	2 st 3-mån kort per år. Resten cykla etc.
+10 per mån för köp av annat i samband med köp av kort på ex. Pressbyrån. + Liten komp. för stigande priser
</t>
      </text>
    </comment>
    <comment authorId="23" xr:uid="{3eb1faa9-03e6-4aba-92ee-734f6b1bbacf}" ref="M50">
      <text>
        <t xml:space="preserve">[Threaded comment]
 Your version of Excel allows you to read this threaded comment; however, any edits to it will get removed if the file is opened in a newer version of Excel. Learn more: https://go.microsoft.com/fwlink/?linkid=870924
Comment:
	9k typ rimligt för en del festivaler o supa etc.
Sen är det den vanliga kvoten på utgifter för en mån supa etc.
3000 i extra för bjuda div.
Sen bör det tillkomma ca 3k i semesterersättning.
Så runt 15k per sommar. Men kompensera bort semErs bokföringsmässigt med att lägga den klump som kommer i Spara allmänt o ha lägre månadspott på den...
</t>
      </text>
    </comment>
    <comment authorId="24" xr:uid="{401b0a6e-9941-43f6-9c29-d34a61e1d871}" ref="C45">
      <text>
        <t xml:space="preserve">[Threaded comment]
 Your version of Excel allows you to read this threaded comment; however, any edits to it will get removed if the file is opened in a newer version of Excel. Learn more: https://go.microsoft.com/fwlink/?linkid=870924
Comment:
	2 st 3-mån kort per år. Resten cykla etc.
+10 per mån för köp av annat i samband med köp av kort på ex. Pressbyrån. + Liten komp. för stigande priser
</t>
      </text>
    </comment>
    <comment authorId="25" xr:uid="{403886f7-1738-41c9-b9a4-008898153c74}" ref="L41">
      <text>
        <t xml:space="preserve">[Threaded comment]
 Your version of Excel allows you to read this threaded comment; however, any edits to it will get removed if the file is opened in a newer version of Excel. Learn more: https://go.microsoft.com/fwlink/?linkid=870924
Comment:
	ca 200 på varannan lördag.
Sen istället för supa ca 500
Efter seghet ev. Supa. Så blir det ca 2-3 utemat under vardag.
Så 250 varannan månad
</t>
      </text>
    </comment>
    <comment authorId="26" xr:uid="{4af7cefd-918f-4e68-9916-36f13abb09c7}" ref="K37">
      <text>
        <t xml:space="preserve">[Threaded comment]
 Your version of Excel allows you to read this threaded comment; however, any edits to it will get removed if the file is opened in a newer version of Excel. Learn more: https://go.microsoft.com/fwlink/?linkid=870924
Comment:
	Alternera varannan dag mellan Ärtsoppekorv o Gulashsoppa eller billigare. 226 Arbetsdagar per år uppdelat på 12 mån. Så ev. Back i början av året o plussa på under ledighet som sommar etc...
</t>
      </text>
    </comment>
    <comment authorId="27" xr:uid="{50540791-448c-4059-a271-2f350b39822a}" ref="Q37">
      <text>
        <t xml:space="preserve">[Threaded comment]
 Your version of Excel allows you to read this threaded comment; however, any edits to it will get removed if the file is opened in a newer version of Excel. Learn more: https://go.microsoft.com/fwlink/?linkid=870924
Comment:
	Alternera varannan dag mellan Ärtsoppekorv o Gulashsoppa eller billigare. 226 Arbetsdagar per år uppdelat på 12 mån. Så ev. Back i början av året o plussa på under ledighet som sommar etc...
</t>
      </text>
    </comment>
    <comment authorId="28" xr:uid="{51566c22-72ec-4165-a608-82e0ce026945}" ref="L50">
      <text>
        <t xml:space="preserve">[Threaded comment]
 Your version of Excel allows you to read this threaded comment; however, any edits to it will get removed if the file is opened in a newer version of Excel. Learn more: https://go.microsoft.com/fwlink/?linkid=870924
Comment:
	9k typ rimligt för en del festivaler o supa etc.
Sen är det den vanliga kvoten på utgifter för en mån supa etc.
3000 i extra för bjuda div.
Sen bör det tillkomma ca 3k i semesterersättning.
Så runt 15k per sommar. Men kompensera bort semErs bokföringsmässigt med att lägga den klump som kommer i Spara allmänt o ha lägre månadspott på den...
</t>
      </text>
    </comment>
    <comment authorId="29" xr:uid="{57628932-48f4-4652-896e-244f8b27854f}" ref="Q47">
      <text>
        <t xml:space="preserve">[Threaded comment]
 Your version of Excel allows you to read this threaded comment; however, any edits to it will get removed if the file is opened in a newer version of Excel. Learn more: https://go.microsoft.com/fwlink/?linkid=870924
Comment:
	Åker i snitt på ett år varannan månad. Och alltid köpa för 95 kångt i förväg. Eller med poäng...
</t>
      </text>
    </comment>
    <comment authorId="30" xr:uid="{5a884f07-e33b-4042-8cdb-2b24ac81b260}" ref="M39">
      <text>
        <t xml:space="preserve">[Threaded comment]
 Your version of Excel allows you to read this threaded comment; however, any edits to it will get removed if the file is opened in a newer version of Excel. Learn more: https://go.microsoft.com/fwlink/?linkid=870924
Comment:
	Istället för supa ca 300/helg. 2 helger / mån.
Efter seghet ev. Supa. Så blir det ca 2-3 utemat under vardag.
Så 250 varannan helg. 2 ggr per mån
</t>
      </text>
    </comment>
    <comment authorId="31" xr:uid="{5c73f29f-4124-417e-ab9a-e7b453ca52d2}" ref="S139">
      <text>
        <t xml:space="preserve">[Threaded comment]
 Your version of Excel allows you to read this threaded comment; however, any edits to it will get removed if the file is opened in a newer version of Excel. Learn more: https://go.microsoft.com/fwlink/?linkid=870924
Comment:
	Bälte, Behöver lite fler pike kanse, men ej riktigt.
</t>
      </text>
    </comment>
    <comment authorId="32" xr:uid="{5e1b4cde-55ce-469b-b78c-d052b49e515f}" ref="C41">
      <text>
        <t xml:space="preserve">[Threaded comment]
 Your version of Excel allows you to read this threaded comment; however, any edits to it will get removed if the file is opened in a newer version of Excel. Learn more: https://go.microsoft.com/fwlink/?linkid=870924
Comment:
	ca 200 på varannan lördag.
Sen istället för supa ca 500
Efter seghet ev. Supa. Så blir det ca 2-3 utemat under vardag.
Så 250 varannan månad
</t>
      </text>
    </comment>
    <comment authorId="33" xr:uid="{5f15975c-c88d-473a-bee2-0ee2cd92d7b8}" ref="K47">
      <text>
        <t xml:space="preserve">[Threaded comment]
 Your version of Excel allows you to read this threaded comment; however, any edits to it will get removed if the file is opened in a newer version of Excel. Learn more: https://go.microsoft.com/fwlink/?linkid=870924
Comment:
	Åker i snitt på ett år varannan månad. Och alltid köpa för 95 kångt i förväg. Eller med poäng...
</t>
      </text>
    </comment>
    <comment authorId="34" xr:uid="{603e40bc-7086-4739-9b6d-b4b4216ffee1}" ref="O25">
      <text>
        <t xml:space="preserve">[Threaded comment]
 Your version of Excel allows you to read this threaded comment; however, any edits to it will get removed if the file is opened in a newer version of Excel. Learn more: https://go.microsoft.com/fwlink/?linkid=870924
Comment:
	Kan läggas stabilt med 2-3år bunden ränta runt 4000. Då blir totalen 7500
</t>
      </text>
    </comment>
    <comment authorId="35" xr:uid="{690edb90-e4c3-44cd-83d6-10745ba163db}" ref="C25">
      <text>
        <t xml:space="preserve">[Threaded comment]
 Your version of Excel allows you to read this threaded comment; however, any edits to it will get removed if the file is opened in a newer version of Excel. Learn more: https://go.microsoft.com/fwlink/?linkid=870924
Comment:
	Kan läggas stabilt med 2-3år bunden ränta runt 4000. Då blir totalen 7500
</t>
      </text>
    </comment>
    <comment authorId="36" xr:uid="{6aefcffe-3ee0-4045-bb24-e6fed397794b}" ref="Q50">
      <text>
        <t xml:space="preserve">[Threaded comment]
 Your version of Excel allows you to read this threaded comment; however, any edits to it will get removed if the file is opened in a newer version of Excel. Learn more: https://go.microsoft.com/fwlink/?linkid=870924
Comment:
	9k typ rimligt för en del festivaler o supa etc.
Sen är det den vanliga kvoten på utgifter för en mån supa etc.
3000 i extra för bjuda div.
Sen bör det tillkomma ca 3k i semesterersättning.
Så runt 15k per sommar. Men kompensera bort semErs bokföringsmässigt med att lägga den klump som kommer i Spara allmänt o ha lägre månadspott på den...
</t>
      </text>
    </comment>
    <comment authorId="37" xr:uid="{6af2d294-5103-42d2-af21-437ef0880436}" ref="Q39">
      <text>
        <t xml:space="preserve">[Threaded comment]
 Your version of Excel allows you to read this threaded comment; however, any edits to it will get removed if the file is opened in a newer version of Excel. Learn more: https://go.microsoft.com/fwlink/?linkid=870924
Comment:
	Istället för supa ca 300/helg. 2 helger / mån.
Efter seghet ev. Supa. Så blir det ca 2-3 utemat under vardag.
Så 250 varannan helg. 2 ggr per mån
</t>
      </text>
    </comment>
    <comment authorId="38" xr:uid="{6f580531-a406-4dd2-9895-2908dc6a4706}" ref="Q25">
      <text>
        <t xml:space="preserve">[Threaded comment]
 Your version of Excel allows you to read this threaded comment; however, any edits to it will get removed if the file is opened in a newer version of Excel. Learn more: https://go.microsoft.com/fwlink/?linkid=870924
Comment:
	Kan läggas stabilt med 2-3år bunden ränta runt 4000. Då blir totalen 7500
</t>
      </text>
    </comment>
    <comment authorId="39" xr:uid="{727c3176-8306-4af7-b5f7-12da7f1be736}" ref="T111">
      <text>
        <t xml:space="preserve">[Threaded comment]
 Your version of Excel allows you to read this threaded comment; however, any edits to it will get removed if the file is opened in a newer version of Excel. Learn more: https://go.microsoft.com/fwlink/?linkid=870924
Comment:
	Inte inkl. 11k amortering längre, amortering är i amorterings-kategorin (spara till amortering), men inte ändrat namnet i alla system än...
</t>
      </text>
    </comment>
    <comment authorId="40" xr:uid="{744c264e-c281-473c-af55-a54b50669d87}" ref="L25">
      <text>
        <t xml:space="preserve">[Threaded comment]
 Your version of Excel allows you to read this threaded comment; however, any edits to it will get removed if the file is opened in a newer version of Excel. Learn more: https://go.microsoft.com/fwlink/?linkid=870924
Comment:
	Kan läggas stabilt med 2-3år bunden ränta runt 4000. Då blir totalen 7500
</t>
      </text>
    </comment>
    <comment authorId="41" xr:uid="{7491d2a4-be3f-46aa-8979-6a793168b8ff}" ref="O47">
      <text>
        <t xml:space="preserve">[Threaded comment]
 Your version of Excel allows you to read this threaded comment; however, any edits to it will get removed if the file is opened in a newer version of Excel. Learn more: https://go.microsoft.com/fwlink/?linkid=870924
Comment:
	Åker i snitt på ett år varannan månad. Och alltid köpa för 95 kångt i förväg. Eller med poäng...
</t>
      </text>
    </comment>
    <comment authorId="42" xr:uid="{76615476-7a97-42ca-bbfa-da27af5549d9}" ref="L45">
      <text>
        <t xml:space="preserve">[Threaded comment]
 Your version of Excel allows you to read this threaded comment; however, any edits to it will get removed if the file is opened in a newer version of Excel. Learn more: https://go.microsoft.com/fwlink/?linkid=870924
Comment:
	2 st 3-mån kort per år. Resten cykla etc.
+10 per mån för köp av annat i samband med köp av kort på ex. Pressbyrån. + Liten komp. för stigande priser
</t>
      </text>
    </comment>
    <comment authorId="43" xr:uid="{77a99cd4-00e7-4c84-bba1-82ff18c983bd}" ref="C37">
      <text>
        <t xml:space="preserve">[Threaded comment]
 Your version of Excel allows you to read this threaded comment; however, any edits to it will get removed if the file is opened in a newer version of Excel. Learn more: https://go.microsoft.com/fwlink/?linkid=870924
Comment:
	Alternera varannan dag mellan Ärtsoppekorv o Gulashsoppa eller billigare. 226 Arbetsdagar per år uppdelat på 12 mån. Så ev. Back i början av året o plussa på under ledighet som sommar etc...
</t>
      </text>
    </comment>
    <comment authorId="44" xr:uid="{789886d8-18a2-4be8-8959-08a784b3405c}" ref="T32">
      <text>
        <t xml:space="preserve">[Threaded comment]
 Your version of Excel allows you to read this threaded comment; however, any edits to it will get removed if the file is opened in a newer version of Excel. Learn more: https://go.microsoft.com/fwlink/?linkid=870924
Comment:
	El-bolaget ca 240kr, Nät-bolaget ca 120kr?
</t>
      </text>
    </comment>
    <comment authorId="45" xr:uid="{7ba0f0db-5ce4-4f16-a374-4fdc58b69a2d}" ref="K39">
      <text>
        <t xml:space="preserve">[Threaded comment]
 Your version of Excel allows you to read this threaded comment; however, any edits to it will get removed if the file is opened in a newer version of Excel. Learn more: https://go.microsoft.com/fwlink/?linkid=870924
Comment:
	Istället för supa ca 300/helg. 2 helger / mån.
Efter seghet ev. Supa. Så blir det ca 2-3 utemat under vardag.
Så 250 varannan helg. 2 ggr per mån
</t>
      </text>
    </comment>
    <comment authorId="46" xr:uid="{7eadaebe-ac46-4600-8011-612a68d69643}" ref="H41">
      <text>
        <t xml:space="preserve">[Threaded comment]
 Your version of Excel allows you to read this threaded comment; however, any edits to it will get removed if the file is opened in a newer version of Excel. Learn more: https://go.microsoft.com/fwlink/?linkid=870924
Comment:
	ca 200 på varannan lördag.
Sen istället för supa ca 500
Efter seghet ev. Supa. Så blir det ca 2-3 utemat under vardag.
Så 250 varannan månad
</t>
      </text>
    </comment>
    <comment authorId="47" xr:uid="{810f8621-a5de-41b0-a643-9c754c40a138}" ref="S118">
      <text>
        <t xml:space="preserve">[Threaded comment]
 Your version of Excel allows you to read this threaded comment; however, any edits to it will get removed if the file is opened in a newer version of Excel. Learn more: https://go.microsoft.com/fwlink/?linkid=870924
Comment:
	Kan bli en vindkraftsandel till slut?
</t>
      </text>
    </comment>
    <comment authorId="48" xr:uid="{81c70e03-6d97-4e25-ab4f-341c1aae6186}" ref="I39">
      <text>
        <t xml:space="preserve">[Threaded comment]
 Your version of Excel allows you to read this threaded comment; however, any edits to it will get removed if the file is opened in a newer version of Excel. Learn more: https://go.microsoft.com/fwlink/?linkid=870924
Comment:
	Istället för supa ca 300/helg. 2 helger / mån.
Efter seghet ev. Supa. Så blir det ca 2-3 utemat under vardag.
Så 250 varannan helg. 2 ggr per mån
</t>
      </text>
    </comment>
    <comment authorId="49" xr:uid="{821574cf-631c-4c77-b438-fb0bb2e98791}" ref="H50">
      <text>
        <t xml:space="preserve">[Threaded comment]
 Your version of Excel allows you to read this threaded comment; however, any edits to it will get removed if the file is opened in a newer version of Excel. Learn more: https://go.microsoft.com/fwlink/?linkid=870924
Comment:
	9k typ rimligt för en del festivaler o supa etc.
Sen är det den vanliga kvoten på utgifter för en mån supa etc.
3000 i extra för bjuda div.
Sen bör det tillkomma ca 3k i semesterersättning.
Så runt 15k per sommar. Men kompensera bort semErs bokföringsmässigt med att lägga den klump som kommer i Spara allmänt o ha lägre månadspott på den...
</t>
      </text>
    </comment>
    <comment authorId="50" xr:uid="{832560f3-590d-4f72-87e8-04560ecc012e}" ref="C47">
      <text>
        <t xml:space="preserve">[Threaded comment]
 Your version of Excel allows you to read this threaded comment; however, any edits to it will get removed if the file is opened in a newer version of Excel. Learn more: https://go.microsoft.com/fwlink/?linkid=870924
Comment:
	Åker i snitt på ett år varannan månad. Och alltid köpa för 95 kångt i förväg. Eller med poäng...
</t>
      </text>
    </comment>
    <comment authorId="51" xr:uid="{84461592-6685-4a90-be09-0ae7ddab2960}" ref="B32">
      <text>
        <t xml:space="preserve">[Threaded comment]
 Your version of Excel allows you to read this threaded comment; however, any edits to it will get removed if the file is opened in a newer version of Excel. Learn more: https://go.microsoft.com/fwlink/?linkid=870924
Comment:
	El-bolaget ca 240kr, Nät-bolaget ca 120kr?
</t>
      </text>
    </comment>
    <comment authorId="52" xr:uid="{862dc7ed-e9bc-4c11-a214-3a40c406a398}" ref="B129">
      <text>
        <t xml:space="preserve">[Threaded comment]
 Your version of Excel allows you to read this threaded comment; however, any edits to it will get removed if the file is opened in a newer version of Excel. Learn more: https://go.microsoft.com/fwlink/?linkid=870924
Comment:
	Även tåg hem från galna suparesor.
</t>
      </text>
    </comment>
    <comment authorId="53" xr:uid="{863857d2-ad73-4191-abe1-07a019184b44}" ref="B25">
      <text>
        <t xml:space="preserve">[Threaded comment]
 Your version of Excel allows you to read this threaded comment; however, any edits to it will get removed if the file is opened in a newer version of Excel. Learn more: https://go.microsoft.com/fwlink/?linkid=870924
Comment:
	Inte inkl. 11k amortering längre, amortering är i amorterings-kategorin (spara till amortering), men inte ändrat namnet i alla system än...
</t>
      </text>
    </comment>
    <comment authorId="54" xr:uid="{8b10b3c7-4a27-4f29-a071-61368d31f7c8}" ref="J47">
      <text>
        <t xml:space="preserve">[Threaded comment]
 Your version of Excel allows you to read this threaded comment; however, any edits to it will get removed if the file is opened in a newer version of Excel. Learn more: https://go.microsoft.com/fwlink/?linkid=870924
Comment:
	Åker i snitt på ett år varannan månad. Och alltid köpa för 95 kångt i förväg. Eller med poäng...
</t>
      </text>
    </comment>
    <comment authorId="55" xr:uid="{8b9ae123-ce50-43e8-9b43-9d301c06cdef}" ref="M45">
      <text>
        <t xml:space="preserve">[Threaded comment]
 Your version of Excel allows you to read this threaded comment; however, any edits to it will get removed if the file is opened in a newer version of Excel. Learn more: https://go.microsoft.com/fwlink/?linkid=870924
Comment:
	2 st 3-mån kort per år. Resten cykla etc.
+10 per mån för köp av annat i samband med köp av kort på ex. Pressbyrån. + Liten komp. för stigande priser
</t>
      </text>
    </comment>
    <comment authorId="56" xr:uid="{8c58e969-7efa-4292-9b9e-114788e52251}" ref="C177">
      <text>
        <t xml:space="preserve">[Threaded comment]
 Your version of Excel allows you to read this threaded comment; however, any edits to it will get removed if the file is opened in a newer version of Excel. Learn more: https://go.microsoft.com/fwlink/?linkid=870924
Comment:
	Man kan ta fram miniräknare i telefonen och skriva in vad man köper, sätt 750kr/helg. Sen köper man tills det är slut, alt. Tar ut cash, vid supa.
</t>
      </text>
    </comment>
    <comment authorId="57" xr:uid="{8ccb5c22-0316-49a8-a8da-be92ddc498bc}" ref="L37">
      <text>
        <t xml:space="preserve">[Threaded comment]
 Your version of Excel allows you to read this threaded comment; however, any edits to it will get removed if the file is opened in a newer version of Excel. Learn more: https://go.microsoft.com/fwlink/?linkid=870924
Comment:
	Alternera varannan dag mellan Ärtsoppekorv o Gulashsoppa eller billigare. 226 Arbetsdagar per år uppdelat på 12 mån. Så ev. Back i början av året o plussa på under ledighet som sommar etc...
</t>
      </text>
    </comment>
    <comment authorId="58" xr:uid="{8e265a5a-4283-4388-af6f-b47c51d4527c}" ref="B38">
      <text>
        <t xml:space="preserve">[Threaded comment]
 Your version of Excel allows you to read this threaded comment; however, any edits to it will get removed if the file is opened in a newer version of Excel. Learn more: https://go.microsoft.com/fwlink/?linkid=870924
Comment:
	Ska innefatta affärsresor, småätande där. Sedan när traktamente kommer så lägges det som inkomst.
</t>
      </text>
    </comment>
    <comment authorId="59" xr:uid="{90f6eab2-7729-4b6f-9066-a4d7acf64164}" ref="V107">
      <text>
        <t xml:space="preserve">[Threaded comment]
 Your version of Excel allows you to read this threaded comment; however, any edits to it will get removed if the file is opened in a newer version of Excel. Learn more: https://go.microsoft.com/fwlink/?linkid=870924
Comment:
	Kompensation för amortering.
</t>
      </text>
    </comment>
    <comment authorId="60" xr:uid="{91f8de3c-1c84-4937-973c-4ac3f3c5e67a}" ref="G39">
      <text>
        <t xml:space="preserve">[Threaded comment]
 Your version of Excel allows you to read this threaded comment; however, any edits to it will get removed if the file is opened in a newer version of Excel. Learn more: https://go.microsoft.com/fwlink/?linkid=870924
Comment:
	Istället för supa ca 300/helg. 2 helger / mån.
Efter seghet ev. Supa. Så blir det ca 2-3 utemat under vardag.
Så 250 varannan helg. 2 ggr per mån
</t>
      </text>
    </comment>
    <comment authorId="61" xr:uid="{92ed1b2d-2a51-48da-92db-9784b1ca33d2}" ref="S126">
      <text>
        <t xml:space="preserve">[Threaded comment]
 Your version of Excel allows you to read this threaded comment; however, any edits to it will get removed if the file is opened in a newer version of Excel. Learn more: https://go.microsoft.com/fwlink/?linkid=870924
Comment:
	Hm, bättre man äter lite så man kommer tillbaka till livet…höja denne ev.
</t>
      </text>
    </comment>
    <comment authorId="62" xr:uid="{9685a795-fbab-4336-bda2-5868fe4b7a48}" ref="S135">
      <text>
        <t xml:space="preserve">[Threaded comment]
 Your version of Excel allows you to read this threaded comment; however, any edits to it will get removed if the file is opened in a newer version of Excel. Learn more: https://go.microsoft.com/fwlink/?linkid=870924
Comment:
	Tar ut hyran, och får de som e över på hyran.
Spara 50 000 i buffert och sen amortera med det som överstiger. Ex. spara upp till 100k och amortera 50k
</t>
      </text>
    </comment>
    <comment authorId="63" xr:uid="{974a2747-df1a-4afc-9a09-b7b77a5b01d3}" ref="H45">
      <text>
        <t xml:space="preserve">[Threaded comment]
 Your version of Excel allows you to read this threaded comment; however, any edits to it will get removed if the file is opened in a newer version of Excel. Learn more: https://go.microsoft.com/fwlink/?linkid=870924
Comment:
	2 st 3-mån kort per år. Resten cykla etc.
+10 per mån för köp av annat i samband med köp av kort på ex. Pressbyrån. + Liten komp. för stigande priser
</t>
      </text>
    </comment>
    <comment authorId="64" xr:uid="{97fe2141-31f3-4736-8885-0bc79c980bb3}" ref="T25">
      <text>
        <t xml:space="preserve">[Threaded comment]
 Your version of Excel allows you to read this threaded comment; however, any edits to it will get removed if the file is opened in a newer version of Excel. Learn more: https://go.microsoft.com/fwlink/?linkid=870924
Comment:
	Inte inkl. 11k amortering längre, amortering är i amorterings-kategorin (spara till amortering), men inte ändrat namnet i alla system än...
</t>
      </text>
    </comment>
    <comment authorId="65" xr:uid="{9a69de4b-19eb-477c-a796-dc164900c840}" ref="S123">
      <text>
        <t xml:space="preserve">[Threaded comment]
 Your version of Excel allows you to read this threaded comment; however, any edits to it will get removed if the file is opened in a newer version of Excel. Learn more: https://go.microsoft.com/fwlink/?linkid=870924
Comment:
	Dessa kostnader har lagts på hemlagad. 
Kan användas för att balansera hemlagad
</t>
      </text>
    </comment>
    <comment authorId="66" xr:uid="{9f85829a-8c8d-44a1-8a9a-d981b4ad774e}" ref="J50">
      <text>
        <t xml:space="preserve">[Threaded comment]
 Your version of Excel allows you to read this threaded comment; however, any edits to it will get removed if the file is opened in a newer version of Excel. Learn more: https://go.microsoft.com/fwlink/?linkid=870924
Comment:
	9k typ rimligt för en del festivaler o supa etc.
Sen är det den vanliga kvoten på utgifter för en mån supa etc.
3000 i extra för bjuda div.
Sen bör det tillkomma ca 3k i semesterersättning.
Så runt 15k per sommar. Men kompensera bort semErs bokföringsmässigt med att lägga den klump som kommer i Spara allmänt o ha lägre månadspott på den...
</t>
      </text>
    </comment>
    <comment authorId="67" xr:uid="{a10da4be-1668-4f86-9961-a977f42a9211}" ref="I50">
      <text>
        <t xml:space="preserve">[Threaded comment]
 Your version of Excel allows you to read this threaded comment; however, any edits to it will get removed if the file is opened in a newer version of Excel. Learn more: https://go.microsoft.com/fwlink/?linkid=870924
Comment:
	9k typ rimligt för en del festivaler o supa etc.
Sen är det den vanliga kvoten på utgifter för en mån supa etc.
3000 i extra för bjuda div.
Sen bör det tillkomma ca 3k i semesterersättning.
Så runt 15k per sommar. Men kompensera bort semErs bokföringsmässigt med att lägga den klump som kommer i Spara allmänt o ha lägre månadspott på den...
</t>
      </text>
    </comment>
    <comment authorId="68" xr:uid="{a38af0bc-a253-46a8-b822-19e5d4c128ce}" ref="T73">
      <text>
        <t xml:space="preserve">[Threaded comment]
 Your version of Excel allows you to read this threaded comment; however, any edits to it will get removed if the file is opened in a newer version of Excel. Learn more: https://go.microsoft.com/fwlink/?linkid=870924
Comment:
	Inte inkl. 11k amortering längre, amortering är i amorterings-kategorin (spara till amortering), men inte ändrat namnet i alla system än...
</t>
      </text>
    </comment>
    <comment authorId="69" xr:uid="{aaf752ed-66e8-48cf-b37d-ce3bad76e6a6}" ref="O50">
      <text>
        <t xml:space="preserve">[Threaded comment]
 Your version of Excel allows you to read this threaded comment; however, any edits to it will get removed if the file is opened in a newer version of Excel. Learn more: https://go.microsoft.com/fwlink/?linkid=870924
Comment:
	9k typ rimligt för en del festivaler o supa etc.
Sen är det den vanliga kvoten på utgifter för en mån supa etc.
3000 i extra för bjuda div.
Sen bör det tillkomma ca 3k i semesterersättning.
Så runt 15k per sommar. Men kompensera bort semErs bokföringsmässigt med att lägga den klump som kommer i Spara allmänt o ha lägre månadspott på den...
</t>
      </text>
    </comment>
    <comment authorId="70" xr:uid="{adaad399-1a88-4c64-a4c5-74905317186b}" ref="I37">
      <text>
        <t xml:space="preserve">[Threaded comment]
 Your version of Excel allows you to read this threaded comment; however, any edits to it will get removed if the file is opened in a newer version of Excel. Learn more: https://go.microsoft.com/fwlink/?linkid=870924
Comment:
	Alternera varannan dag mellan Ärtsoppekorv o Gulashsoppa eller billigare. 226 Arbetsdagar per år uppdelat på 12 mån. Så ev. Back i början av året o plussa på under ledighet som sommar etc...
</t>
      </text>
    </comment>
    <comment authorId="71" xr:uid="{b1cf4702-7589-4571-84c1-101cc1628573}" ref="I47">
      <text>
        <t xml:space="preserve">[Threaded comment]
 Your version of Excel allows you to read this threaded comment; however, any edits to it will get removed if the file is opened in a newer version of Excel. Learn more: https://go.microsoft.com/fwlink/?linkid=870924
Comment:
	Åker i snitt på ett år varannan månad. Och alltid köpa för 95 kångt i förväg. Eller med poäng...
</t>
      </text>
    </comment>
    <comment authorId="72" xr:uid="{b2f733c3-2747-475c-bca8-32aa29d02048}" ref="T38">
      <text>
        <t xml:space="preserve">[Threaded comment]
 Your version of Excel allows you to read this threaded comment; however, any edits to it will get removed if the file is opened in a newer version of Excel. Learn more: https://go.microsoft.com/fwlink/?linkid=870924
Comment:
	Ska innefatta affärsresor, småätande där. Sedan när traktamente kommer så lägges det som inkomst.
</t>
      </text>
    </comment>
    <comment authorId="73" xr:uid="{b33a241a-a015-4758-91b7-e48087caa5bd}" ref="B41">
      <text>
        <t xml:space="preserve">[Threaded comment]
 Your version of Excel allows you to read this threaded comment; however, any edits to it will get removed if the file is opened in a newer version of Excel. Learn more: https://go.microsoft.com/fwlink/?linkid=870924
Comment:
	Cigg eg.
</t>
      </text>
    </comment>
    <comment authorId="74" xr:uid="{b61c2150-b247-4c9f-9366-85d72bf4c57c}" ref="M37">
      <text>
        <t xml:space="preserve">[Threaded comment]
 Your version of Excel allows you to read this threaded comment; however, any edits to it will get removed if the file is opened in a newer version of Excel. Learn more: https://go.microsoft.com/fwlink/?linkid=870924
Comment:
	Alternera varannan dag mellan Ärtsoppekorv o Gulashsoppa eller billigare. 226 Arbetsdagar per år uppdelat på 12 mån. Så ev. Back i början av året o plussa på under ledighet som sommar etc...
</t>
      </text>
    </comment>
    <comment authorId="75" xr:uid="{b6a0330b-f098-46a5-b3f5-41293a74c393}" ref="E22">
      <text>
        <t xml:space="preserve">[Threaded comment]
 Your version of Excel allows you to read this threaded comment; however, any edits to it will get removed if the file is opened in a newer version of Excel. Learn more: https://go.microsoft.com/fwlink/?linkid=870924
Comment:
	Månader innan supande kan börja igen
</t>
      </text>
    </comment>
    <comment authorId="76" xr:uid="{b91c5d65-9b89-42aa-a359-1408c04116bc}" ref="O37">
      <text>
        <t xml:space="preserve">[Threaded comment]
 Your version of Excel allows you to read this threaded comment; however, any edits to it will get removed if the file is opened in a newer version of Excel. Learn more: https://go.microsoft.com/fwlink/?linkid=870924
Comment:
	Alternera varannan dag mellan Ärtsoppekorv o Gulashsoppa eller billigare. 226 Arbetsdagar per år uppdelat på 12 mån. Så ev. Back i början av året o plussa på under ledighet som sommar etc...
</t>
      </text>
    </comment>
    <comment authorId="77" xr:uid="{bc5c12d3-d137-40db-80ad-42b1bbc5801f}" ref="G45">
      <text>
        <t xml:space="preserve">[Threaded comment]
 Your version of Excel allows you to read this threaded comment; however, any edits to it will get removed if the file is opened in a newer version of Excel. Learn more: https://go.microsoft.com/fwlink/?linkid=870924
Comment:
	2 st 3-mån kort per år. Resten cykla etc.
+10 per mån för köp av annat i samband med köp av kort på ex. Pressbyrån. + Liten komp. för stigande priser
</t>
      </text>
    </comment>
    <comment authorId="78" xr:uid="{beb829ba-26e4-4781-8290-f9292107a5bd}" ref="B50">
      <text>
        <t xml:space="preserve">[Threaded comment]
 Your version of Excel allows you to read this threaded comment; however, any edits to it will get removed if the file is opened in a newer version of Excel. Learn more: https://go.microsoft.com/fwlink/?linkid=870924
Comment:
	Augusti är första insättningen på nästa års sommar (5 st insättningar på hösten). 7 på våren inkl. Juli som tanken är att det ska användas
</t>
      </text>
    </comment>
    <comment authorId="79" xr:uid="{c5175e45-e139-4bad-b70d-42808c785d8b}" ref="G47">
      <text>
        <t xml:space="preserve">[Threaded comment]
 Your version of Excel allows you to read this threaded comment; however, any edits to it will get removed if the file is opened in a newer version of Excel. Learn more: https://go.microsoft.com/fwlink/?linkid=870924
Comment:
	Åker i snitt på ett år varannan månad. Och alltid köpa för 95 kångt i förväg. Eller med poäng...
</t>
      </text>
    </comment>
    <comment authorId="80" xr:uid="{c84b016c-760d-4bea-afff-e7ba0cd0183f}" ref="T80">
      <text>
        <t xml:space="preserve">[Threaded comment]
 Your version of Excel allows you to read this threaded comment; however, any edits to it will get removed if the file is opened in a newer version of Excel. Learn more: https://go.microsoft.com/fwlink/?linkid=870924
Comment:
	El-bolaget ca 240kr, Nät-bolaget ca 120kr?
</t>
      </text>
    </comment>
    <comment authorId="81" xr:uid="{cea819af-a857-4f22-9b8c-3c75b0728225}" ref="S120">
      <text>
        <t xml:space="preserve">[Threaded comment]
 Your version of Excel allows you to read this threaded comment; however, any edits to it will get removed if the file is opened in a newer version of Excel. Learn more: https://go.microsoft.com/fwlink/?linkid=870924
Comment:
	ev. skrapa till ny telefon.
Byter man abbonnemang så kan man ibland få gratismånader etc. och då kan denna jämna ut sig
</t>
      </text>
    </comment>
    <comment authorId="82" xr:uid="{d034c779-3536-463b-a854-1026b3ee07cf}" ref="H39">
      <text>
        <t xml:space="preserve">[Threaded comment]
 Your version of Excel allows you to read this threaded comment; however, any edits to it will get removed if the file is opened in a newer version of Excel. Learn more: https://go.microsoft.com/fwlink/?linkid=870924
Comment:
	Istället för supa ca 300/helg. 2 helger / mån.
Efter seghet ev. Supa. Så blir det ca 2-3 utemat under vardag.
Så 250 varannan helg. 2 ggr per mån
</t>
      </text>
    </comment>
    <comment authorId="83" xr:uid="{d5c9ee13-f2c5-4ec3-b98c-5a838944b264}" ref="K50">
      <text>
        <t xml:space="preserve">[Threaded comment]
 Your version of Excel allows you to read this threaded comment; however, any edits to it will get removed if the file is opened in a newer version of Excel. Learn more: https://go.microsoft.com/fwlink/?linkid=870924
Comment:
	9k typ rimligt för en del festivaler o supa etc.
Sen är det den vanliga kvoten på utgifter för en mån supa etc.
3000 i extra för bjuda div.
Sen bör det tillkomma ca 3k i semesterersättning.
Så runt 15k per sommar. Men kompensera bort semErs bokföringsmässigt med att lägga den klump som kommer i Spara allmänt o ha lägre månadspott på den...
</t>
      </text>
    </comment>
    <comment authorId="84" xr:uid="{d69097ed-457c-4612-b103-0f84e3156718}" ref="M47">
      <text>
        <t xml:space="preserve">[Threaded comment]
 Your version of Excel allows you to read this threaded comment; however, any edits to it will get removed if the file is opened in a newer version of Excel. Learn more: https://go.microsoft.com/fwlink/?linkid=870924
Comment:
	Åker i snitt på ett år varannan månad. Och alltid köpa för 95 kångt i förväg. Eller med poäng...
</t>
      </text>
    </comment>
    <comment authorId="85" xr:uid="{d8139ae5-d723-485c-ba61-5f4a7ef5510e}" ref="T124">
      <text>
        <t xml:space="preserve">[Threaded comment]
 Your version of Excel allows you to read this threaded comment; however, any edits to it will get removed if the file is opened in a newer version of Excel. Learn more: https://go.microsoft.com/fwlink/?linkid=870924
Comment:
	Ska innefatta affärsresor, småätande där. Sedan när traktamente kommer så lägges det som inkomst.
</t>
      </text>
    </comment>
    <comment authorId="86" xr:uid="{da6cb9f2-4a07-4137-b36f-31fc316e373f}" ref="O39">
      <text>
        <t xml:space="preserve">[Threaded comment]
 Your version of Excel allows you to read this threaded comment; however, any edits to it will get removed if the file is opened in a newer version of Excel. Learn more: https://go.microsoft.com/fwlink/?linkid=870924
Comment:
	Istället för supa ca 300/helg. 2 helger / mån.
Efter seghet ev. Supa. Så blir det ca 2-3 utemat under vardag.
Så 250 varannan helg. 2 ggr per mån
</t>
      </text>
    </comment>
    <comment authorId="87" xr:uid="{dcc2129f-dc2b-464f-9705-e9ce0fc101d6}" ref="L47">
      <text>
        <t xml:space="preserve">[Threaded comment]
 Your version of Excel allows you to read this threaded comment; however, any edits to it will get removed if the file is opened in a newer version of Excel. Learn more: https://go.microsoft.com/fwlink/?linkid=870924
Comment:
	Åker i snitt på ett år varannan månad. Och alltid köpa för 95 kångt i förväg. Eller med poäng...
</t>
      </text>
    </comment>
    <comment authorId="88" xr:uid="{dd103104-8ef0-43d5-b46a-fd06c2506e3b}" ref="S127">
      <text>
        <t xml:space="preserve">[Threaded comment]
 Your version of Excel allows you to read this threaded comment; however, any edits to it will get removed if the file is opened in a newer version of Excel. Learn more: https://go.microsoft.com/fwlink/?linkid=870924
Comment:
	Kan vara från Mat isms oxo här...
</t>
      </text>
    </comment>
    <comment authorId="89" xr:uid="{dd8aed9f-1838-42a8-b8de-8ab802f89a9c}" ref="K41">
      <text>
        <t xml:space="preserve">[Threaded comment]
 Your version of Excel allows you to read this threaded comment; however, any edits to it will get removed if the file is opened in a newer version of Excel. Learn more: https://go.microsoft.com/fwlink/?linkid=870924
Comment:
	ca 200 på varannan lördag.
Sen istället för supa ca 500
Efter seghet ev. Supa. Så blir det ca 2-3 utemat under vardag.
Så 250 varannan månad
</t>
      </text>
    </comment>
    <comment authorId="90" xr:uid="{e14ddde1-264d-4920-9731-46e09c0984e1}" ref="T179">
      <text>
        <t xml:space="preserve">[Threaded comment]
 Your version of Excel allows you to read this threaded comment; however, any edits to it will get removed if the file is opened in a newer version of Excel. Learn more: https://go.microsoft.com/fwlink/?linkid=870924
Comment:
	Allt helgnöje och på vardagar som är trynköp på coop, pizza, annan utemat, även frukost och hygien och lunch hemlagat jobbet, men även folköl etc. Allt som inte är i samband med supa.
</t>
      </text>
    </comment>
    <comment authorId="91" xr:uid="{e2285256-90a0-4b98-a78e-56b622f51f90}" ref="O41">
      <text>
        <t xml:space="preserve">[Threaded comment]
 Your version of Excel allows you to read this threaded comment; however, any edits to it will get removed if the file is opened in a newer version of Excel. Learn more: https://go.microsoft.com/fwlink/?linkid=870924
Comment:
	ca 200 på varannan lördag.
Sen istället för supa ca 500
Efter seghet ev. Supa. Så blir det ca 2-3 utemat under vardag.
Så 250 varannan månad
</t>
      </text>
    </comment>
    <comment authorId="92" xr:uid="{e3a192da-dbf2-430b-b18d-34e181749b97}" ref="I25">
      <text>
        <t xml:space="preserve">[Threaded comment]
 Your version of Excel allows you to read this threaded comment; however, any edits to it will get removed if the file is opened in a newer version of Excel. Learn more: https://go.microsoft.com/fwlink/?linkid=870924
Comment:
	Kan läggas stabilt med 2-3år bunden ränta runt 4000. Då blir totalen 7500
</t>
      </text>
    </comment>
    <comment authorId="93" xr:uid="{ebfa8bec-5b7c-4d79-be96-f1bda387d8e0}" ref="Q41">
      <text>
        <t xml:space="preserve">[Threaded comment]
 Your version of Excel allows you to read this threaded comment; however, any edits to it will get removed if the file is opened in a newer version of Excel. Learn more: https://go.microsoft.com/fwlink/?linkid=870924
Comment:
	ca 200 på varannan lördag.
Sen istället för supa ca 500
Efter seghet ev. Supa. Så blir det ca 2-3 utemat under vardag.
Så 250 varannan månad
</t>
      </text>
    </comment>
    <comment authorId="94" xr:uid="{ed5be909-424f-4583-a64d-ec7362f5e6a3}" ref="G25">
      <text>
        <t xml:space="preserve">[Threaded comment]
 Your version of Excel allows you to read this threaded comment; however, any edits to it will get removed if the file is opened in a newer version of Excel. Learn more: https://go.microsoft.com/fwlink/?linkid=870924
Comment:
	Kan läggas stabilt med 2-3år bunden ränta runt 4000. Då blir totalen 7500
</t>
      </text>
    </comment>
    <comment authorId="95" xr:uid="{ed8b8051-d18f-4800-993f-0d3fe6d0e790}" ref="G37">
      <text>
        <t xml:space="preserve">[Threaded comment]
 Your version of Excel allows you to read this threaded comment; however, any edits to it will get removed if the file is opened in a newer version of Excel. Learn more: https://go.microsoft.com/fwlink/?linkid=870924
Comment:
	Alternera varannan dag mellan Ärtsoppekorv o Gulashsoppa eller billigare. 226 Arbetsdagar per år uppdelat på 12 mån. Så ev. Back i början av året o plussa på under ledighet som sommar etc...
</t>
      </text>
    </comment>
    <comment authorId="96" xr:uid="{eeabaf52-5343-4768-b86f-ada4545c81f7}" ref="C39">
      <text>
        <t xml:space="preserve">[Threaded comment]
 Your version of Excel allows you to read this threaded comment; however, any edits to it will get removed if the file is opened in a newer version of Excel. Learn more: https://go.microsoft.com/fwlink/?linkid=870924
Comment:
	Istället för supa ca 300/helg. 2 helger / mån.
Efter seghet ev. Supa. Så blir det ca 2-3 utemat under vardag.
Så 250 varannan helg. 2 ggr per mån
</t>
      </text>
    </comment>
    <comment authorId="97" xr:uid="{f3afdc8b-fb57-4e25-bfa3-1f7d18476ce0}" ref="J41">
      <text>
        <t xml:space="preserve">[Threaded comment]
 Your version of Excel allows you to read this threaded comment; however, any edits to it will get removed if the file is opened in a newer version of Excel. Learn more: https://go.microsoft.com/fwlink/?linkid=870924
Comment:
	ca 200 på varannan lördag.
Sen istället för supa ca 500
Efter seghet ev. Supa. Så blir det ca 2-3 utemat under vardag.
Så 250 varannan månad
</t>
      </text>
    </comment>
    <comment authorId="98" xr:uid="{f6606385-04aa-4924-a8c5-2cb010b3efa3}" ref="I41">
      <text>
        <t xml:space="preserve">[Threaded comment]
 Your version of Excel allows you to read this threaded comment; however, any edits to it will get removed if the file is opened in a newer version of Excel. Learn more: https://go.microsoft.com/fwlink/?linkid=870924
Comment:
	ca 200 på varannan lördag.
Sen istället för supa ca 500
Efter seghet ev. Supa. Så blir det ca 2-3 utemat under vardag.
Så 250 varannan månad
</t>
      </text>
    </comment>
    <comment authorId="99" xr:uid="{f6a6b135-3d34-4fa6-b62d-417e0a710c46}" ref="Q45">
      <text>
        <t xml:space="preserve">[Threaded comment]
 Your version of Excel allows you to read this threaded comment; however, any edits to it will get removed if the file is opened in a newer version of Excel. Learn more: https://go.microsoft.com/fwlink/?linkid=870924
Comment:
	2 st 3-mån kort per år. Resten cykla etc.
+10 per mån för köp av annat i samband med köp av kort på ex. Pressbyrån. + Liten komp. för stigande priser
</t>
      </text>
    </comment>
    <comment authorId="100" xr:uid="{faa3e6fd-5879-40e3-94ee-e0d7db36dfe0}" ref="J45">
      <text>
        <t xml:space="preserve">[Threaded comment]
 Your version of Excel allows you to read this threaded comment; however, any edits to it will get removed if the file is opened in a newer version of Excel. Learn more: https://go.microsoft.com/fwlink/?linkid=870924
Comment:
	2 st 3-mån kort per år. Resten cykla etc.
+10 per mån för köp av annat i samband med köp av kort på ex. Pressbyrån. + Liten komp. för stigande priser
</t>
      </text>
    </comment>
    <comment authorId="101" xr:uid="{fafe68d1-8cc1-45e2-8544-0eb6b94e5a7c}" ref="H25">
      <text>
        <t xml:space="preserve">[Threaded comment]
 Your version of Excel allows you to read this threaded comment; however, any edits to it will get removed if the file is opened in a newer version of Excel. Learn more: https://go.microsoft.com/fwlink/?linkid=870924
Comment:
	Kan läggas stabilt med 2-3år bunden ränta runt 4000. Då blir totalen 7500
</t>
      </text>
    </comment>
    <comment authorId="102" xr:uid="{fbf3bf05-e437-4897-93f9-7a062e852f5d}" ref="C50">
      <text>
        <t xml:space="preserve">[Threaded comment]
 Your version of Excel allows you to read this threaded comment; however, any edits to it will get removed if the file is opened in a newer version of Excel. Learn more: https://go.microsoft.com/fwlink/?linkid=870924
Comment:
	9k typ rimligt för en del festivaler o supa etc.
Sen är det den vanliga kvoten på utgifter för en mån supa etc.
3000 i extra för bjuda div.
Sen bör det tillkomma ca 3k i semesterersättning.
Så runt 15k per sommar. Men kompensera bort semErs bokföringsmässigt med att lägga den klump som kommer i Spara allmänt o ha lägre månadspott på den...
</t>
      </text>
    </comment>
    <comment authorId="103" xr:uid="{fc658730-ddba-4672-b4bd-a11dc809b711}" ref="G41">
      <text>
        <t xml:space="preserve">[Threaded comment]
 Your version of Excel allows you to read this threaded comment; however, any edits to it will get removed if the file is opened in a newer version of Excel. Learn more: https://go.microsoft.com/fwlink/?linkid=870924
Comment:
	ca 200 på varannan lördag.
Sen istället för supa ca 500
Efter seghet ev. Supa. Så blir det ca 2-3 utemat under vardag.
Så 250 varannan månad
</t>
      </text>
    </comment>
    <comment authorId="104" xr:uid="{ff1df133-c2bf-495f-9d0b-d7c78ecde14e}" ref="P39">
      <text>
        <t xml:space="preserve">[Threaded comment]
 Your version of Excel allows you to read this threaded comment; however, any edits to it will get removed if the file is opened in a newer version of Excel. Learn more: https://go.microsoft.com/fwlink/?linkid=870924
Comment:
	Mysisk torggrill...
</t>
      </text>
    </comment>
  </commentList>
</comments>
</file>

<file path=xl/sharedStrings.xml><?xml version="1.0" encoding="utf-8"?>
<sst xmlns="http://schemas.openxmlformats.org/spreadsheetml/2006/main" count="12756" uniqueCount="882">
  <si>
    <t>y</t>
  </si>
  <si>
    <t>m</t>
  </si>
  <si>
    <t>d</t>
  </si>
  <si>
    <t>n</t>
  </si>
  <si>
    <t>t</t>
  </si>
  <si>
    <t>g</t>
  </si>
  <si>
    <t>s</t>
  </si>
  <si>
    <t>b</t>
  </si>
  <si>
    <t>c</t>
  </si>
  <si>
    <t>PILEGÅRDEN 2 &amp;</t>
  </si>
  <si>
    <t>hyra (inkl. 1k amortering)</t>
  </si>
  <si>
    <t>Regular</t>
  </si>
  <si>
    <t>Periodens köp</t>
  </si>
  <si>
    <t>spara almänt</t>
  </si>
  <si>
    <t>HSB GÖTEBORG</t>
  </si>
  <si>
    <t>HSB BOKVAR</t>
  </si>
  <si>
    <t>FOLKSAM</t>
  </si>
  <si>
    <t>hemförsäkring</t>
  </si>
  <si>
    <t>spara till amortering</t>
  </si>
  <si>
    <t>SV INGENJ</t>
  </si>
  <si>
    <t>si och akassa</t>
  </si>
  <si>
    <t>COM HEM AB</t>
  </si>
  <si>
    <t>internet</t>
  </si>
  <si>
    <t>AKADEMIKERFÖ</t>
  </si>
  <si>
    <t>liv- o sjukförsäkring etc</t>
  </si>
  <si>
    <t>UNICEF</t>
  </si>
  <si>
    <t>röda korset</t>
  </si>
  <si>
    <t>Månadsbuffert</t>
  </si>
  <si>
    <t xml:space="preserve"> -</t>
  </si>
  <si>
    <t>LUX RÄNTA</t>
  </si>
  <si>
    <t>QSTAR SIML$NGSDALEN</t>
  </si>
  <si>
    <t>spara till russel övrigt</t>
  </si>
  <si>
    <t>SVENSSON,KAROL</t>
  </si>
  <si>
    <t>CITY GROSS VARNAMO</t>
  </si>
  <si>
    <t>GODJUL MOP</t>
  </si>
  <si>
    <t>presenter</t>
  </si>
  <si>
    <t>ST1 G@TEBORG KV</t>
  </si>
  <si>
    <t>BBQ GALORE FOOD AND</t>
  </si>
  <si>
    <t>lunch utemat</t>
  </si>
  <si>
    <t>LÖN</t>
  </si>
  <si>
    <t>+</t>
  </si>
  <si>
    <t>PRESSBYR$N 4025156</t>
  </si>
  <si>
    <t>alkohol</t>
  </si>
  <si>
    <t>HIMALAYA COOKING</t>
  </si>
  <si>
    <t>OOB ASKIM 50</t>
  </si>
  <si>
    <t>JULA AB</t>
  </si>
  <si>
    <t>PILEG$RDENS SERVICEBUT ASKIM</t>
  </si>
  <si>
    <t>nöjes utemat</t>
  </si>
  <si>
    <t>Svenska kyrkan Uppsala</t>
  </si>
  <si>
    <t>TORPA TAXI ANGERED</t>
  </si>
  <si>
    <t>Småresor ej supa</t>
  </si>
  <si>
    <t>SYSTEMBOLAGET ASKIM ASKIM</t>
  </si>
  <si>
    <t>mat i samband med supa</t>
  </si>
  <si>
    <t>COOP FORUM SISJON ASKIM</t>
  </si>
  <si>
    <t>hemlagad mat</t>
  </si>
  <si>
    <t>BRYGGHUSET GOTEBORG</t>
  </si>
  <si>
    <t>Auktionsverket Kultura G¦teborg</t>
  </si>
  <si>
    <t>7-ELEVEN 4116157 G@TEBORG</t>
  </si>
  <si>
    <t>BBQ GALORE FOOD AND DE GOTEBORG</t>
  </si>
  <si>
    <t>ROSE GARDEN SUPREME S. ASKIM</t>
  </si>
  <si>
    <t>PRESSBYR$N 4250148 G@TEBORG</t>
  </si>
  <si>
    <t>IBRAHIM KHALIL TAXI V#STRA FR@LUN</t>
  </si>
  <si>
    <t>LISEBERGSHALLEN GOTEBORG</t>
  </si>
  <si>
    <t>LIDL 203 / GBG KVILLEB GOTEBORG</t>
  </si>
  <si>
    <t>VIIVABAR/ PUB S G@TEBORG</t>
  </si>
  <si>
    <t>IVAN TAXI I GOTEBORG ANGERED</t>
  </si>
  <si>
    <t>OL REPUBLIKEN GOTEBORG</t>
  </si>
  <si>
    <t>MEDMERA BANK A</t>
  </si>
  <si>
    <t>CHEERS PUB GOTEBORG</t>
  </si>
  <si>
    <t>SVENSKA UNICEF STOCKHOLM</t>
  </si>
  <si>
    <t>SEBASTIAN OLSS</t>
  </si>
  <si>
    <t>MINA KONTOKORT MOBIL S NORRKOPING</t>
  </si>
  <si>
    <t>värnamoresor+övriga</t>
  </si>
  <si>
    <t>HS 12151444</t>
  </si>
  <si>
    <t>HAGABADET.SE Goteborg -2</t>
  </si>
  <si>
    <t>CENTRALA STUDI</t>
  </si>
  <si>
    <t>csn</t>
  </si>
  <si>
    <t>Marcus Bjerkst</t>
  </si>
  <si>
    <t>M}ngatan AB G¦teborg</t>
  </si>
  <si>
    <t>JOHAN GRADEEN</t>
  </si>
  <si>
    <t>JAFARIS DONUTS G@TEBORG</t>
  </si>
  <si>
    <t>Harrys G¦teborg G¦teborg</t>
  </si>
  <si>
    <t>BOPLATS GTBG (INTERNET GOTEBORG</t>
  </si>
  <si>
    <t>ÅterbäringLF</t>
  </si>
  <si>
    <t>HISINGENS BILPOLERING GOTEBORG</t>
  </si>
  <si>
    <t>COOP FORUM BACKAPLAN GOTEBORG</t>
  </si>
  <si>
    <t>Klarna/Nordicfeel.se +46812012010</t>
  </si>
  <si>
    <t>Nordstans Konfektyr G¦teborg</t>
  </si>
  <si>
    <t>SYSTEMBOLAGET G@TEBORG G@TEBORG</t>
  </si>
  <si>
    <t>INTERFLORA FRESH GOTEBORG</t>
  </si>
  <si>
    <t>SISJ@ GRILLEN ASKIM</t>
  </si>
  <si>
    <t>REST SISJ@N ASKIM</t>
  </si>
  <si>
    <t>KARAMELLBYR$N G@TEBORG</t>
  </si>
  <si>
    <t>AQUARELLE ASKIM</t>
  </si>
  <si>
    <t>Utlägg Spinit</t>
  </si>
  <si>
    <t>PILENS PIZZERIA Askim</t>
  </si>
  <si>
    <t>WANXING RESTAURANG ASKIM</t>
  </si>
  <si>
    <t>PRESSBYR$N 4025156 G@TEBORG</t>
  </si>
  <si>
    <t>Tacos &amp; Tequila G¦teborg</t>
  </si>
  <si>
    <t>BANKOMAT 23.25</t>
  </si>
  <si>
    <t>ATM Kontanten1810 Goteborg -1</t>
  </si>
  <si>
    <t>WILLYS SISJ@N ASKIM</t>
  </si>
  <si>
    <t>GÖTEBORG ENERG</t>
  </si>
  <si>
    <t>el</t>
  </si>
  <si>
    <t>MARTIN SVENSSO</t>
  </si>
  <si>
    <t>BAHNHOF</t>
  </si>
  <si>
    <t>SILVIS RESTAURANG GOTEBORG</t>
  </si>
  <si>
    <t>OLREPUBLIKEN GOTEBORG</t>
  </si>
  <si>
    <t>MAIDEN JG</t>
  </si>
  <si>
    <t>iZ *Blixten   Co A Stockholm</t>
  </si>
  <si>
    <t>TICNET.SE 3 TRANAS -4</t>
  </si>
  <si>
    <t>TICNET.SE 3 TRANAS -1</t>
  </si>
  <si>
    <t>QPark AB Stockholm</t>
  </si>
  <si>
    <t>onlinepizza.se Stockholm -1</t>
  </si>
  <si>
    <t>K#LLARKROGEN G@TEBORG</t>
  </si>
  <si>
    <t>OLD PERSIAN AB G@TEBORG</t>
  </si>
  <si>
    <t>HYRA EJ EL</t>
  </si>
  <si>
    <t>GOTEBORG WOK BACKAPLAN Goteborg</t>
  </si>
  <si>
    <t>SF BIO, FILMSTADEN BER GOTEBORG</t>
  </si>
  <si>
    <t>PRESSBYR$N 4028142 G@TEBORG</t>
  </si>
  <si>
    <t>DANILO RESTAURA G@TEBORG</t>
  </si>
  <si>
    <t>TAXI GTEBORG GOTEBORG</t>
  </si>
  <si>
    <t>FENIX OUTDOOR ECOM AB ORNSKOLDSVIK -3</t>
  </si>
  <si>
    <t>kläder</t>
  </si>
  <si>
    <t>GOA KITCHEN G@TEBORG</t>
  </si>
  <si>
    <t>CDON SVERIGE MALMO 8</t>
  </si>
  <si>
    <t>Slayer dec</t>
  </si>
  <si>
    <t>MALAYSIA SATE AB GOTEBORG</t>
  </si>
  <si>
    <t>HRGUDHORST</t>
  </si>
  <si>
    <t>CDON SVERIGE MALMO</t>
  </si>
  <si>
    <t>ELONBUTIKEN ASKIM -10</t>
  </si>
  <si>
    <t>ROCKBAREN GOTEBORG</t>
  </si>
  <si>
    <t>RESTAURANG TRADGAR N GOTEBORG</t>
  </si>
  <si>
    <t>taxi efter supa</t>
  </si>
  <si>
    <t>ATM Kontanten1969 Goteborg -2</t>
  </si>
  <si>
    <t>ATM Kontanten1969 Goteborg -1</t>
  </si>
  <si>
    <t>ATM Kontanten1810 Goteborg</t>
  </si>
  <si>
    <t>ATM Kontanten1810 Goteborg -2</t>
  </si>
  <si>
    <t>PALATSET GOTEBORG</t>
  </si>
  <si>
    <t>TICNET.SE 3 TRANAS</t>
  </si>
  <si>
    <t>Movieline G¦teborg</t>
  </si>
  <si>
    <t>GOTEBORG WOK Goteborg</t>
  </si>
  <si>
    <t>BYNS BISTRO GOTEBORG</t>
  </si>
  <si>
    <t>PRESSBYR$N 4150148 G@TEBORG</t>
  </si>
  <si>
    <t>HYRESGÄSTFÖREN</t>
  </si>
  <si>
    <t>FERRARI LUNCH  CATERIN ASKIM</t>
  </si>
  <si>
    <t>SOVA MOLNDAL MOLNDAL -36</t>
  </si>
  <si>
    <t>BURGER KING J#R V#STRA FR@LUN</t>
  </si>
  <si>
    <t>N#RH#LSAN ASKIM</t>
  </si>
  <si>
    <t>FEM ATTA ASKIM</t>
  </si>
  <si>
    <t>FRIHAMNEN G@TEBORG</t>
  </si>
  <si>
    <t>CLAS OHLSON ASKIM -1</t>
  </si>
  <si>
    <t>BILJETTFORUM (RP INTER KOBENHAVN O</t>
  </si>
  <si>
    <t>spara till sommarrussel</t>
  </si>
  <si>
    <t>SEB</t>
  </si>
  <si>
    <t>Metallica</t>
  </si>
  <si>
    <t>FDÄISVVSBH</t>
  </si>
  <si>
    <t>LF</t>
  </si>
  <si>
    <t>MARIA ERIKSSON</t>
  </si>
  <si>
    <t>CDON SVERIGE MALMO -9</t>
  </si>
  <si>
    <t>SJ MOBILPORTAL NORRKOPING</t>
  </si>
  <si>
    <t>PREEM V#RNAMO</t>
  </si>
  <si>
    <t>P¦lsemannen Centralen G¦teborg</t>
  </si>
  <si>
    <t>Utlägg spinit</t>
  </si>
  <si>
    <t>oväntade utgifter</t>
  </si>
  <si>
    <t>ÅKE TÅHG</t>
  </si>
  <si>
    <t>RESTAURANG HETAMSTERDA GOTEBORG</t>
  </si>
  <si>
    <t>Gamla Ullevi Restauran G¦teborg</t>
  </si>
  <si>
    <t>Tobaksautomat Gteborg</t>
  </si>
  <si>
    <t>THE DUBLINER GOTEBORG</t>
  </si>
  <si>
    <t>Solomon</t>
  </si>
  <si>
    <t>onlinepizza.se Stockholm</t>
  </si>
  <si>
    <t>Norstaske BAB G¦teborg</t>
  </si>
  <si>
    <t>MA CUISINE GOTEBORG</t>
  </si>
  <si>
    <t>GOTEBURGARE Goteborg</t>
  </si>
  <si>
    <t>PRESSBYR$N 4128115 G@TEBORG</t>
  </si>
  <si>
    <t>VILDENS VILLTMAT FALKOPING</t>
  </si>
  <si>
    <t>BANKOMAT 17.19</t>
  </si>
  <si>
    <t>ELITE PLAZA HOTEL Goteborg</t>
  </si>
  <si>
    <t>SANNEGARDENS PIZZERIA Goteborg</t>
  </si>
  <si>
    <t>COSMIN</t>
  </si>
  <si>
    <t>VALAND GOTEBORG</t>
  </si>
  <si>
    <t>HARD ROCK CAF\ G@TEBORG</t>
  </si>
  <si>
    <t>DANA TAXI G@TEBORG</t>
  </si>
  <si>
    <t>7-ELEVEN 4115155 G@TEBORG</t>
  </si>
  <si>
    <t>SUBWAY GOTEBORG</t>
  </si>
  <si>
    <t>OKQ8 MARIESTD LEVE</t>
  </si>
  <si>
    <t>CDON SVERIGE MALMO 15</t>
  </si>
  <si>
    <t>CDON SVERIGE MALMO 6</t>
  </si>
  <si>
    <t>LeiFelskickat</t>
  </si>
  <si>
    <t>WWW.ALLABOLAG.SE STOCKHOLM</t>
  </si>
  <si>
    <t>Emma Stockholm</t>
  </si>
  <si>
    <t>EMMA GRADEEN</t>
  </si>
  <si>
    <t>Ditt stycke</t>
  </si>
  <si>
    <t>KL KPH</t>
  </si>
  <si>
    <t>KL DK</t>
  </si>
  <si>
    <t>CLAS OHLSON ASKIM</t>
  </si>
  <si>
    <t>JAZZHUSET Goteborg</t>
  </si>
  <si>
    <t>BSS BARRO TAXI G@TEBORG</t>
  </si>
  <si>
    <t>NOTA BENE</t>
  </si>
  <si>
    <t>CDON SVERIGE MALMO -6</t>
  </si>
  <si>
    <t>APCOA PARKING STOCKHOLM</t>
  </si>
  <si>
    <t>JENSENS BOFHUS Goteborg</t>
  </si>
  <si>
    <t>CDON SVERIGE MALMO -15</t>
  </si>
  <si>
    <t>7-ELEVEN 4115193 G@TEBORG</t>
  </si>
  <si>
    <t>Adressändring</t>
  </si>
  <si>
    <t xml:space="preserve">STEAMGAMES.COM </t>
  </si>
  <si>
    <t xml:space="preserve">COOP EXTRA ERIKSBERG </t>
  </si>
  <si>
    <t xml:space="preserve">TIME </t>
  </si>
  <si>
    <t xml:space="preserve">SK$NETRAFIKEN </t>
  </si>
  <si>
    <t>Inträde i samband med supa</t>
  </si>
  <si>
    <t xml:space="preserve">KULTURBOLAGET </t>
  </si>
  <si>
    <t xml:space="preserve">BURGER KING G@T </t>
  </si>
  <si>
    <t xml:space="preserve">SURF SHACK </t>
  </si>
  <si>
    <t xml:space="preserve">DANTAXI </t>
  </si>
  <si>
    <t xml:space="preserve">BABEL </t>
  </si>
  <si>
    <t xml:space="preserve">Taxa 4x35 </t>
  </si>
  <si>
    <t xml:space="preserve">SJ KUNDBOKNING INTER </t>
  </si>
  <si>
    <t xml:space="preserve">REZHIN TRANSPORT AB </t>
  </si>
  <si>
    <t>NORDEA BANK DANMARK A/ KOBENHAVN K -1 000,00 DKK 1,279080 -1</t>
  </si>
  <si>
    <t xml:space="preserve">NORDEA BANK DANMARK </t>
  </si>
  <si>
    <t xml:space="preserve">KONTANTUTTAGSAVGIFT </t>
  </si>
  <si>
    <t xml:space="preserve">Koedbyens Fiskebar </t>
  </si>
  <si>
    <t xml:space="preserve">Fdb Superbr Islands </t>
  </si>
  <si>
    <t xml:space="preserve">COOP KONSUM VARNAMO </t>
  </si>
  <si>
    <t xml:space="preserve">SYSTEMBOLAGET FLANAD </t>
  </si>
  <si>
    <t xml:space="preserve">Corallen i Varnamo A </t>
  </si>
  <si>
    <t>-</t>
  </si>
  <si>
    <t>Ignore</t>
  </si>
  <si>
    <t xml:space="preserve">ICA KVANTUM VARNAMO </t>
  </si>
  <si>
    <t xml:space="preserve">LILLA KROGEN </t>
  </si>
  <si>
    <t xml:space="preserve">V#RNAMO BREDAST </t>
  </si>
  <si>
    <t xml:space="preserve">MAX VERNAMO </t>
  </si>
  <si>
    <t xml:space="preserve">SNOVIT KONDITORI </t>
  </si>
  <si>
    <t xml:space="preserve">SJ MOBILPORTAL </t>
  </si>
  <si>
    <t>CYTRYNOWKA</t>
  </si>
  <si>
    <t xml:space="preserve">5251 RITAZZA GB </t>
  </si>
  <si>
    <t xml:space="preserve">OVES GATUKOK FOOD TR </t>
  </si>
  <si>
    <t xml:space="preserve">iZ *Utsiktens BK </t>
  </si>
  <si>
    <t xml:space="preserve">KUNGSGRILLEN MARIEST </t>
  </si>
  <si>
    <t xml:space="preserve">KINGFISHER </t>
  </si>
  <si>
    <t xml:space="preserve">STATOIL MARIEST </t>
  </si>
  <si>
    <t xml:space="preserve">V#STTRAFIK BUTIK NIL </t>
  </si>
  <si>
    <t xml:space="preserve">SYSTEMBOLAGET </t>
  </si>
  <si>
    <t xml:space="preserve">MARIESTADS TAXI AB </t>
  </si>
  <si>
    <t xml:space="preserve">SLIMFOOD </t>
  </si>
  <si>
    <t xml:space="preserve">PRESSBYR$N 4128810 </t>
  </si>
  <si>
    <t xml:space="preserve"> 7-ELEVEN 15195</t>
  </si>
  <si>
    <t xml:space="preserve">TAXI STOCKHOLM </t>
  </si>
  <si>
    <t xml:space="preserve">Statens Historiska Mus Stockholm </t>
  </si>
  <si>
    <t xml:space="preserve">Scandic Kungsgatan </t>
  </si>
  <si>
    <t xml:space="preserve">FLAMINGO CLUB S@DERT#LJE </t>
  </si>
  <si>
    <t>BARBEQUE STEAKHOUSE STOCKHOLM -2</t>
  </si>
  <si>
    <t xml:space="preserve">BARBEQUE STEAKHOUSE </t>
  </si>
  <si>
    <t xml:space="preserve">ANNORLUNDA CATERING AB STOCKHOLM </t>
  </si>
  <si>
    <t xml:space="preserve">Scandic Kungsgatan Stockholm </t>
  </si>
  <si>
    <t xml:space="preserve">PRESSBYR$N 4128810 G@TEBORG </t>
  </si>
  <si>
    <t xml:space="preserve">OLD GRAVEDIGGERS IN SODERTELJE </t>
  </si>
  <si>
    <t>SK7906072439</t>
  </si>
  <si>
    <t xml:space="preserve">onlinepizza.se Stockholm </t>
  </si>
  <si>
    <t xml:space="preserve">MARRIOTT WARSZAWA </t>
  </si>
  <si>
    <t>SEXTJÄNST</t>
  </si>
  <si>
    <t>PRESSBYR$N 4268120 MALM@</t>
  </si>
  <si>
    <t xml:space="preserve">LELE TAXI WARSZAWA WARSZAWA </t>
  </si>
  <si>
    <t xml:space="preserve">KEBAB WARSZAWA </t>
  </si>
  <si>
    <t xml:space="preserve">FAC FLYGBUSSARNA AIRPO STOCKHOLM </t>
  </si>
  <si>
    <t xml:space="preserve">BARSTUDIO SP. Z O.O. WARSZAWA </t>
  </si>
  <si>
    <t xml:space="preserve">Aelia Warszawa </t>
  </si>
  <si>
    <t>7-ELEVEN 4115155</t>
  </si>
  <si>
    <t xml:space="preserve">BARSTUDIO WARSZAWA </t>
  </si>
  <si>
    <t xml:space="preserve">Steffs T3 Pier C Kastrup </t>
  </si>
  <si>
    <t xml:space="preserve">RYANAIR </t>
  </si>
  <si>
    <t xml:space="preserve">HALLANDSTRAFIKE G@TEBORG </t>
  </si>
  <si>
    <t xml:space="preserve">ECO SP. Z O.O. G1 NOWY DWOR MAZ </t>
  </si>
  <si>
    <t xml:space="preserve">AQUARELLE ASKIM </t>
  </si>
  <si>
    <t xml:space="preserve">PILENS PIZZERIA Askim </t>
  </si>
  <si>
    <t xml:space="preserve">JULA AB ASKIM </t>
  </si>
  <si>
    <t xml:space="preserve">ROSE GARDEN SUPREME S. ASKIM </t>
  </si>
  <si>
    <t xml:space="preserve">LJUSEXPERTEN I SISJON ASKIM </t>
  </si>
  <si>
    <t xml:space="preserve">TORGGRILLEN VASTRA FROLUN </t>
  </si>
  <si>
    <t xml:space="preserve">REST SISJ@N ASKIM </t>
  </si>
  <si>
    <t xml:space="preserve">PILEG$RDENS SERVICEBUT ASKIM </t>
  </si>
  <si>
    <t xml:space="preserve">PRESSBYR$N 4025156 G@TEBORG </t>
  </si>
  <si>
    <t xml:space="preserve">BBQ GALORE FOOD AND DE GOTEBORG </t>
  </si>
  <si>
    <t xml:space="preserve">STATOIL ERIKSBE G@TEBORG </t>
  </si>
  <si>
    <t xml:space="preserve">PIZZERIA CLASS GOTEBORG </t>
  </si>
  <si>
    <t xml:space="preserve">TAXI GTEBORG GOTEBORG </t>
  </si>
  <si>
    <t>BAHNHOF Unipes</t>
  </si>
  <si>
    <t xml:space="preserve">FEM ATTA ASKIM </t>
  </si>
  <si>
    <t xml:space="preserve">RODA STEN CAFE GOTEBORG </t>
  </si>
  <si>
    <t>BOSTADSFÖRMEDL</t>
  </si>
  <si>
    <t xml:space="preserve">STREETLIFE G@TEBORG </t>
  </si>
  <si>
    <t xml:space="preserve">STICKY FINGERS GOTEBORG </t>
  </si>
  <si>
    <t>MATOCHVAGN</t>
  </si>
  <si>
    <t xml:space="preserve">SUSHI ERIKSBERG G@TEBORG </t>
  </si>
  <si>
    <t xml:space="preserve">PRESSBYR$N 4228155 G@TEBORG </t>
  </si>
  <si>
    <t xml:space="preserve">KINGS HEAD GOTEBORG </t>
  </si>
  <si>
    <t>KÄRLEKSBEVIS</t>
  </si>
  <si>
    <t xml:space="preserve">PORTERPELLE G@TEBORG </t>
  </si>
  <si>
    <t xml:space="preserve">LA MAMA G@TEBORG </t>
  </si>
  <si>
    <t xml:space="preserve">WANXING RESTAURANG ASKIM </t>
  </si>
  <si>
    <t xml:space="preserve">SYSTEMBOLAGET V FR@LUN V FR@LUNDA </t>
  </si>
  <si>
    <t xml:space="preserve">MARKLANDS GRILLHOUSE O Goteborg </t>
  </si>
  <si>
    <t xml:space="preserve">SJ MOBILPORTAL NORRKOPING </t>
  </si>
  <si>
    <t>resor i samband med utflykt</t>
  </si>
  <si>
    <t>stockholmståg</t>
  </si>
  <si>
    <t xml:space="preserve">BURGER KING SISJON Askim </t>
  </si>
  <si>
    <t xml:space="preserve">Yaki Da G¦teborg </t>
  </si>
  <si>
    <t xml:space="preserve">XL VIDEO BILJARDHUSET GOTEBORG </t>
  </si>
  <si>
    <t>GABRIELLE SÖDE</t>
  </si>
  <si>
    <t>BANKOMAT 4.46</t>
  </si>
  <si>
    <t>BANKOMAT 3.52</t>
  </si>
  <si>
    <t xml:space="preserve">A &amp; L TAXI G@TEBORG </t>
  </si>
  <si>
    <t xml:space="preserve">LISEBERG RESTAU G@TEBORG </t>
  </si>
  <si>
    <t xml:space="preserve">RESTAURANG IVFARS M@LNDAL </t>
  </si>
  <si>
    <t xml:space="preserve">MAC S KEBAB &amp; GATUKOK Goteborg </t>
  </si>
  <si>
    <t xml:space="preserve">PAPRIKAP1 GOTEBORG </t>
  </si>
  <si>
    <t xml:space="preserve">KAPPAHL 152 G@TEBORG </t>
  </si>
  <si>
    <t xml:space="preserve">COOP KONSUM VARNAMO VARNAMO </t>
  </si>
  <si>
    <t xml:space="preserve">MAX VERNAMO VERNAMO </t>
  </si>
  <si>
    <t xml:space="preserve">LILLA KROGEN V#RNAMO </t>
  </si>
  <si>
    <t xml:space="preserve">BOPLATS GTBG (INTERNET GOTEBORG </t>
  </si>
  <si>
    <t xml:space="preserve">SJ KUNDBOKNING INTERNE NORRKOPING </t>
  </si>
  <si>
    <t xml:space="preserve">P@LSAMANNEN CENTRAL ST G@TEBORG </t>
  </si>
  <si>
    <t xml:space="preserve">Ind. Manniskohjalp Lund </t>
  </si>
  <si>
    <t>Shell 7</t>
  </si>
  <si>
    <t xml:space="preserve">R OCH K GRUPP HB Alingsas </t>
  </si>
  <si>
    <t xml:space="preserve">PUSTERVIK GOTEBORG </t>
  </si>
  <si>
    <t>FARMOR</t>
  </si>
  <si>
    <t xml:space="preserve">THE BISHOPS ARMS Goteborg </t>
  </si>
  <si>
    <t xml:space="preserve">SYSTEMBOLAGET G@TEBORG G@TEBORG </t>
  </si>
  <si>
    <t>Lite vin till förfest innan fransk. Togs hos Udde</t>
  </si>
  <si>
    <t xml:space="preserve">NFC FRIED CHICKEN Goteborg </t>
  </si>
  <si>
    <t>Till tiggare</t>
  </si>
  <si>
    <t xml:space="preserve">MA CUISINE GOTEBORG </t>
  </si>
  <si>
    <t>Truckutbildarn</t>
  </si>
  <si>
    <t xml:space="preserve">NOVOTEL HOTELL GOTEBORG </t>
  </si>
  <si>
    <t>BANKOMAT 11.17</t>
  </si>
  <si>
    <t xml:space="preserve">OOB NORDSTAN 184 GOTEBORG </t>
  </si>
  <si>
    <t xml:space="preserve">Klarna/Onlinepizza.se +46812012010 </t>
  </si>
  <si>
    <t xml:space="preserve">5261 OLEARYS G@TEBORG </t>
  </si>
  <si>
    <t>bakis med udde o viktor på stationen</t>
  </si>
  <si>
    <t>AW</t>
  </si>
  <si>
    <t xml:space="preserve">GOTEBORG WOK Goteborg </t>
  </si>
  <si>
    <t>BANKOMAT 3.43</t>
  </si>
  <si>
    <t>Taxi?</t>
  </si>
  <si>
    <t xml:space="preserve">SYSTEMBOLAGET ASKIM ASKIM </t>
  </si>
  <si>
    <t xml:space="preserve">PALATSET GOTEBORG </t>
  </si>
  <si>
    <t xml:space="preserve">BILJARDPALATSET G@TEBORG </t>
  </si>
  <si>
    <t xml:space="preserve">PRESSBYR$N 4128121 V. FR@LUNDA </t>
  </si>
  <si>
    <t xml:space="preserve">ÅRSAVGIFT </t>
  </si>
  <si>
    <t xml:space="preserve">CAFE CURRY Goteborg </t>
  </si>
  <si>
    <t xml:space="preserve">KLIPPANS KONSTCAFE GOTEBORG </t>
  </si>
  <si>
    <t xml:space="preserve">SEACUP G@TEBORG </t>
  </si>
  <si>
    <t>Klas lgh</t>
  </si>
  <si>
    <t xml:space="preserve">iZ *King Cap KB Angered </t>
  </si>
  <si>
    <t xml:space="preserve">COOP EXTRA ERIKSBERG GOTEBORG </t>
  </si>
  <si>
    <t>random tryn med udde o bolle tror jag</t>
  </si>
  <si>
    <t xml:space="preserve">Sticky Fingers G@TEBORG </t>
  </si>
  <si>
    <t>frukost innan elektron</t>
  </si>
  <si>
    <t xml:space="preserve">HARD ROCK CAF\ G@TEBORG </t>
  </si>
  <si>
    <t xml:space="preserve">V#STTRAFIK BUTIK FR@LU V#STRA FR@LUN </t>
  </si>
  <si>
    <t xml:space="preserve">Bistro Cyrano G¦teborg </t>
  </si>
  <si>
    <t xml:space="preserve">STATOIL G$RDA 2 G@TEBORG </t>
  </si>
  <si>
    <t xml:space="preserve">HOGLUNDS GRILL GOTEBORG </t>
  </si>
  <si>
    <t>Stockholm</t>
  </si>
  <si>
    <t xml:space="preserve">SF BIO, FILMSTADEN BER GOTEBORG </t>
  </si>
  <si>
    <t xml:space="preserve">PRESSBYR$N 4150113 MARIESTAD </t>
  </si>
  <si>
    <t xml:space="preserve">OKQ8 MARIESTAD RAS </t>
  </si>
  <si>
    <t xml:space="preserve">KGS GATUK@K ALINGS$S </t>
  </si>
  <si>
    <t>födelsedag emt</t>
  </si>
  <si>
    <t xml:space="preserve">BOMBAY RESTAURANG GOTEBORG </t>
  </si>
  <si>
    <t xml:space="preserve">EBBAS KOK Goteborg </t>
  </si>
  <si>
    <t>i djungel-lunch en bit bort</t>
  </si>
  <si>
    <t xml:space="preserve">VALAND G@TEBORG </t>
  </si>
  <si>
    <t>en drink</t>
  </si>
  <si>
    <t>en öl</t>
  </si>
  <si>
    <t xml:space="preserve">ROCKBAREN GOTEBORG </t>
  </si>
  <si>
    <t xml:space="preserve">Norstaske BAB G¦teborg </t>
  </si>
  <si>
    <t xml:space="preserve">GIBRALTAR PIZZERIA Goteborg </t>
  </si>
  <si>
    <t>på zday</t>
  </si>
  <si>
    <t>nog vatten etc</t>
  </si>
  <si>
    <t>TELE2 - FASTA</t>
  </si>
  <si>
    <t xml:space="preserve">SANNEGARDENS PIZZERIA Goteborg </t>
  </si>
  <si>
    <t>BANKOMAT 0.46</t>
  </si>
  <si>
    <t>till öl o inträde på truckstop</t>
  </si>
  <si>
    <t xml:space="preserve">BURGER KING Goteborg </t>
  </si>
  <si>
    <t>till klas</t>
  </si>
  <si>
    <t>Överskotssbolaget med udde</t>
  </si>
  <si>
    <t xml:space="preserve">YARIN KONFEKT &amp; SOUVEN G@TEBORG </t>
  </si>
  <si>
    <t xml:space="preserve">SHIRAZ G@TEBORG </t>
  </si>
  <si>
    <t>innan eldricht horror med AB o co</t>
  </si>
  <si>
    <t xml:space="preserve">eldricht horror </t>
  </si>
  <si>
    <t xml:space="preserve">HEMK@P M@LNDAL PINNHARVSGATA </t>
  </si>
  <si>
    <t>Öl o random snacks till brädspel</t>
  </si>
  <si>
    <t>snacks till brädspel</t>
  </si>
  <si>
    <t xml:space="preserve">GOVINDAS GOTEBORG GOTEBORG </t>
  </si>
  <si>
    <t>mat</t>
  </si>
  <si>
    <t>helg hos udde</t>
  </si>
  <si>
    <t>lite alkohol till udde-fest</t>
  </si>
  <si>
    <t xml:space="preserve">HEMK@P G@TEBORG NORDST G@TEBORG </t>
  </si>
  <si>
    <t xml:space="preserve">CAFE VILLAN Goteborg </t>
  </si>
  <si>
    <t>nåt random mat?</t>
  </si>
  <si>
    <t xml:space="preserve">HARMONI SUSHIBAR Goteborg </t>
  </si>
  <si>
    <t xml:space="preserve">SANNEGARDENS PIZZERIA GOTEBORG </t>
  </si>
  <si>
    <t xml:space="preserve">GOTEBORGS PBOLAG 040 6998444 </t>
  </si>
  <si>
    <t xml:space="preserve">KJELL &amp; CO NORDSTAN GB Goteborg </t>
  </si>
  <si>
    <t xml:space="preserve">Burger King Scandic E Goteborg </t>
  </si>
  <si>
    <t xml:space="preserve">APOTEK HJ#RTAT 0846 G@TEBORG </t>
  </si>
  <si>
    <t xml:space="preserve">N#RH#LSAN ASKIM </t>
  </si>
  <si>
    <t xml:space="preserve">J#RNGRILLEN G@TEBORG </t>
  </si>
  <si>
    <t xml:space="preserve">MC DONALD S G@TEBORG </t>
  </si>
  <si>
    <t xml:space="preserve">4 GOTT G@TEBORG </t>
  </si>
  <si>
    <t xml:space="preserve">WEBHALLEN ASKIM </t>
  </si>
  <si>
    <t>emmas mobil</t>
  </si>
  <si>
    <t xml:space="preserve">SCANDINAVREST G@TEBORG </t>
  </si>
  <si>
    <t xml:space="preserve">MCDONALD S SCANDINAVIU G@TEBORG </t>
  </si>
  <si>
    <t xml:space="preserve">STAR BOARD WALK GOTEBORG </t>
  </si>
  <si>
    <t xml:space="preserve">RESTAURANG HETAMSTERDA GOTEBORG </t>
  </si>
  <si>
    <t xml:space="preserve">CONCILIANCE PLAN 1:2 GOTEBORG </t>
  </si>
  <si>
    <t xml:space="preserve">CONCILIANCE PLAN 1:1 GOTEBORG </t>
  </si>
  <si>
    <t>med udde o viktor på star bowling o prata politik</t>
  </si>
  <si>
    <t xml:space="preserve">CONCILIANCE BAR 3 GOTEBORG </t>
  </si>
  <si>
    <t xml:space="preserve">CONCILIANCE BAR 1 GOTEBORG </t>
  </si>
  <si>
    <t xml:space="preserve">JERKSTRANDS SISJON ASKIM </t>
  </si>
  <si>
    <t xml:space="preserve">WILLYS SISJ@N ASKIM </t>
  </si>
  <si>
    <t>DAVID TECZELY</t>
  </si>
  <si>
    <t>TELENOR SVERIG</t>
  </si>
  <si>
    <t>telefonsamtal</t>
  </si>
  <si>
    <t>busskort</t>
  </si>
  <si>
    <t xml:space="preserve">CO 177 GBG SISJ ASKIM </t>
  </si>
  <si>
    <t>batterier</t>
  </si>
  <si>
    <t xml:space="preserve">Telenor </t>
  </si>
  <si>
    <t xml:space="preserve">SF BIO, BIOPALATSET GO GOTEBORG </t>
  </si>
  <si>
    <t xml:space="preserve">CAF\ ELENA HB G@TEBORG </t>
  </si>
  <si>
    <t>vet inte?</t>
  </si>
  <si>
    <t xml:space="preserve">SIBYLLA LUNDBYSTRAND GOTEBORG </t>
  </si>
  <si>
    <t>med Johan efter nyår</t>
  </si>
  <si>
    <t xml:space="preserve">FRIHAMNEN G@TEBORG </t>
  </si>
  <si>
    <t>gas till bil</t>
  </si>
  <si>
    <t>INLÅNINGSRÄNTA</t>
  </si>
  <si>
    <t xml:space="preserve">SISJ@ GRILLEN ASKIM </t>
  </si>
  <si>
    <t xml:space="preserve">MAX GAMLA ULLEVI GOTEBORG </t>
  </si>
  <si>
    <t>med Johan innan nyår</t>
  </si>
  <si>
    <t xml:space="preserve">CITY GROSS V#RNAMO V#RNAMO </t>
  </si>
  <si>
    <t>GODJULMOP</t>
  </si>
  <si>
    <t xml:space="preserve">SJ AB OMBORD NORRKOPING </t>
  </si>
  <si>
    <t xml:space="preserve">ATM Kontanten1184 Goteborg </t>
  </si>
  <si>
    <t xml:space="preserve">THE DUBLINER GOTEBORG </t>
  </si>
  <si>
    <t>kanske efter nforum på järntorget</t>
  </si>
  <si>
    <t xml:space="preserve">TAXI GOTEBORG GOTEBORG </t>
  </si>
  <si>
    <t xml:space="preserve">SVENSKA MESSAN MOTEN&amp;H GOTEBORG </t>
  </si>
  <si>
    <t xml:space="preserve">PRESSBYR$N 4028142 G@TEBORG </t>
  </si>
  <si>
    <t xml:space="preserve">PRESSBYR$N 4025133 G@TEBORG </t>
  </si>
  <si>
    <t xml:space="preserve">Gamla Ullevi Restauran G¦teborg </t>
  </si>
  <si>
    <t xml:space="preserve">EMMAUS BJ@RK$ E G@TEBORG </t>
  </si>
  <si>
    <t xml:space="preserve">BEERISTA GOTEBORG </t>
  </si>
  <si>
    <t xml:space="preserve">SANNEGARDENS PIZZERI Goteborg </t>
  </si>
  <si>
    <t>Boplats Götebo</t>
  </si>
  <si>
    <t>Hårdrock</t>
  </si>
  <si>
    <t>Ticnet</t>
  </si>
  <si>
    <t xml:space="preserve">REST SIMBA G@TEBORG </t>
  </si>
  <si>
    <t xml:space="preserve">PRESSBYR$N 4128115 G@TEBORG </t>
  </si>
  <si>
    <t>1 S-D BAT.</t>
  </si>
  <si>
    <t>SF BIO, FILMSTADEN BER</t>
  </si>
  <si>
    <t>TORGGRILLEN</t>
  </si>
  <si>
    <t>PRESSBYR$N 4128121</t>
  </si>
  <si>
    <t>AQUARELLE</t>
  </si>
  <si>
    <t>THE DUBLINER</t>
  </si>
  <si>
    <t>TAXI TUR</t>
  </si>
  <si>
    <t>Norstaske BAB</t>
  </si>
  <si>
    <t>MC DONALD S</t>
  </si>
  <si>
    <t>BANKOMAT 5.06</t>
  </si>
  <si>
    <t>BANKOMAT 3.55</t>
  </si>
  <si>
    <t>STAGEDOOR</t>
  </si>
  <si>
    <t>SOUPN BAGEL</t>
  </si>
  <si>
    <t>REST STAGEDOOR</t>
  </si>
  <si>
    <t>Golden Days</t>
  </si>
  <si>
    <t>GOLDEN DAYS</t>
  </si>
  <si>
    <t>7-ELEVEN 4116157</t>
  </si>
  <si>
    <t>PIZZERIA CLASS</t>
  </si>
  <si>
    <t>BRYGGHUSET</t>
  </si>
  <si>
    <t>GLADA PAPRIKAN</t>
  </si>
  <si>
    <t>ASIAN PALACE</t>
  </si>
  <si>
    <t>PRESSBYR$N 4128810</t>
  </si>
  <si>
    <t>ICA KVANTUM MARIESTA</t>
  </si>
  <si>
    <t>CARDELLS B/S AB</t>
  </si>
  <si>
    <t>816 TEKNIKMAGASINET</t>
  </si>
  <si>
    <t>SYSTEMBOLAGET ASKIM</t>
  </si>
  <si>
    <t>COOP FORUM SISJON</t>
  </si>
  <si>
    <t>SANNEGARDENS PIZZERI</t>
  </si>
  <si>
    <t>7-ELEVEN 4317152</t>
  </si>
  <si>
    <t>MCDONALD S SCANDINAV</t>
  </si>
  <si>
    <t>CITY PIZZERIA</t>
  </si>
  <si>
    <t>PHRATES RESTAURANG</t>
  </si>
  <si>
    <t>ROSE GARDEN SUPREME</t>
  </si>
  <si>
    <t>BURGER KING</t>
  </si>
  <si>
    <t>SILL &amp; DYNAMIT</t>
  </si>
  <si>
    <t>WILLYS SISJ@N</t>
  </si>
  <si>
    <t>V#STTRAFIK BUTIK FR@</t>
  </si>
  <si>
    <t>COOP EXTRA ERIKSBERG</t>
  </si>
  <si>
    <t>OOB NORDSTAN 184</t>
  </si>
  <si>
    <t>MURVELN</t>
  </si>
  <si>
    <t>HEMK@P G@TEBORG</t>
  </si>
  <si>
    <t>onlinepizza.se</t>
  </si>
  <si>
    <t>STATOIL ERIKSBE</t>
  </si>
  <si>
    <t>HARMONI SUSHIBAR</t>
  </si>
  <si>
    <t>MOTHER INDIA RESTAUR</t>
  </si>
  <si>
    <t>KJELL CO 38</t>
  </si>
  <si>
    <t>KARRA GATUKOK</t>
  </si>
  <si>
    <t>CAFE POMERANS</t>
  </si>
  <si>
    <t>MIKAEL ANDRE</t>
  </si>
  <si>
    <t>OLD BEEFEATER INN</t>
  </si>
  <si>
    <t>MARKLANDS GRILLHOUSE</t>
  </si>
  <si>
    <t>Yaki-Da</t>
  </si>
  <si>
    <t>TIMS THAIKOK</t>
  </si>
  <si>
    <t>SVENSKA MESSAN</t>
  </si>
  <si>
    <t>SVENSKA MESSAN MOTEN</t>
  </si>
  <si>
    <t>LISEBERG AB</t>
  </si>
  <si>
    <t>GLENN SPORTSBAR</t>
  </si>
  <si>
    <t>SALONG CLICHE</t>
  </si>
  <si>
    <t>MOR60</t>
  </si>
  <si>
    <t>VAPIANO</t>
  </si>
  <si>
    <t>Scandic Hotels Grand</t>
  </si>
  <si>
    <t>PONTUS!</t>
  </si>
  <si>
    <t>OSCARSTEATERN ID3</t>
  </si>
  <si>
    <t>7-ELEVEN 4217107</t>
  </si>
  <si>
    <t>SJ BISTRO HALLSBERG</t>
  </si>
  <si>
    <t>7-ELEVEN 4116150</t>
  </si>
  <si>
    <t>ORIGIN COM EA</t>
  </si>
  <si>
    <t>BANKOMAT 21.29</t>
  </si>
  <si>
    <t>7-ELEVEN 4316151</t>
  </si>
  <si>
    <t>Webhallen AB</t>
  </si>
  <si>
    <t>FREDRIK LARSSO</t>
  </si>
  <si>
    <t>ACH SO</t>
  </si>
  <si>
    <t>THE SIMS</t>
  </si>
  <si>
    <t>SKANETRAFIKEN</t>
  </si>
  <si>
    <t>MOLLANS LIVS</t>
  </si>
  <si>
    <t>Viggos I Lund</t>
  </si>
  <si>
    <t>PRESSBYR$N 4128100</t>
  </si>
  <si>
    <t>MEJERIET</t>
  </si>
  <si>
    <t>ATM Kontanten1699</t>
  </si>
  <si>
    <t>ANAGRAM LIVE AB</t>
  </si>
  <si>
    <t>WEBBILJETT.SE</t>
  </si>
  <si>
    <t>London</t>
  </si>
  <si>
    <t>EBBAS KOK</t>
  </si>
  <si>
    <t>ROCKBAREN</t>
  </si>
  <si>
    <t>CHEAP TAXI</t>
  </si>
  <si>
    <t>BANKOMAT 4.44</t>
  </si>
  <si>
    <t>7-ELEVEN 4217153</t>
  </si>
  <si>
    <t>FOXES</t>
  </si>
  <si>
    <t>CAFE VASA</t>
  </si>
  <si>
    <t>Shell 7-11 61358 Cen</t>
  </si>
  <si>
    <t>TROIA CAFE RESTAURAN</t>
  </si>
  <si>
    <t>LUL TICKET MACHINE</t>
  </si>
  <si>
    <t>CWR ADMISSIONS</t>
  </si>
  <si>
    <t>WWW.FLYGBUSSARNA.SE</t>
  </si>
  <si>
    <t>NEW SOUTHERN RAILW</t>
  </si>
  <si>
    <t>LONDON SOUTH EAS</t>
  </si>
  <si>
    <t>inte dubblett pgs London tube 10£</t>
  </si>
  <si>
    <t>inte dubblett jgs London tube 10£</t>
  </si>
  <si>
    <t>HSBC CASH MACHINE</t>
  </si>
  <si>
    <t>4045 DELI</t>
  </si>
  <si>
    <t>WANXING RESTAURANG</t>
  </si>
  <si>
    <t>NATURUPPL.</t>
  </si>
  <si>
    <t>KULTURKALASET</t>
  </si>
  <si>
    <t>DR JÖNSSON</t>
  </si>
  <si>
    <t>BECKMANS</t>
  </si>
  <si>
    <t>MOSSENMIKAEL</t>
  </si>
  <si>
    <t>BURGER KING JERNBROT</t>
  </si>
  <si>
    <t>SJ KUNDBOKNING INTER</t>
  </si>
  <si>
    <t>STATOIL V#RNAMO</t>
  </si>
  <si>
    <t>ICA KVANTUM VARNAMO</t>
  </si>
  <si>
    <t>EUROPCAR DK</t>
  </si>
  <si>
    <t>övernattFar</t>
  </si>
  <si>
    <t>DDÄE HVDD?</t>
  </si>
  <si>
    <t>CAFE BOMMEN</t>
  </si>
  <si>
    <t>PRESSBYRAN 4128810</t>
  </si>
  <si>
    <t>NORWEGIAN AI32871417</t>
  </si>
  <si>
    <t>HOGLUNDS GRILL</t>
  </si>
  <si>
    <t>GAMLA ULLEVI RESTAUR</t>
  </si>
  <si>
    <t>PORT ARTHUR P B</t>
  </si>
  <si>
    <t>NORSTASKE BAB</t>
  </si>
  <si>
    <t>JAMESONS PUB</t>
  </si>
  <si>
    <t>BANKOMAT 4.43</t>
  </si>
  <si>
    <t>PRESSBYRAN 4250128</t>
  </si>
  <si>
    <t>PREL. KORTKÖP</t>
  </si>
  <si>
    <t>CAF TAKTIK</t>
  </si>
  <si>
    <t>ONLINEPIZZA.SE</t>
  </si>
  <si>
    <t>TAXI GOTEBORG</t>
  </si>
  <si>
    <t>TOTAL-BAB-TANKSTELLE</t>
  </si>
  <si>
    <t>Shell 2230</t>
  </si>
  <si>
    <t>Q8 SERVICE 8098</t>
  </si>
  <si>
    <t>Camping am Moslepark</t>
  </si>
  <si>
    <t>Passaggio Free Flow</t>
  </si>
  <si>
    <t>MIX SHOP SUED</t>
  </si>
  <si>
    <t>Change Nord</t>
  </si>
  <si>
    <t>FREIE TANKSTELLE</t>
  </si>
  <si>
    <t>SPK ENGEN-GOTTMADING</t>
  </si>
  <si>
    <t>Shell 2252</t>
  </si>
  <si>
    <t>FREIBURG REMPARTSTR</t>
  </si>
  <si>
    <t>VOLKSBANK FREIBURG E</t>
  </si>
  <si>
    <t>Shell 0894</t>
  </si>
  <si>
    <t>TACHELES</t>
  </si>
  <si>
    <t>SPK FREIBURG-NOERDLI</t>
  </si>
  <si>
    <t>BAB-Rastst.Graefenha</t>
  </si>
  <si>
    <t>TELENOR BUTIKKEN 83</t>
  </si>
  <si>
    <t>STENA DANICA RE</t>
  </si>
  <si>
    <t>NETTO SKOEJTEALLEEN</t>
  </si>
  <si>
    <t>LE CAMPING</t>
  </si>
  <si>
    <t>DANABURGER VMOGENS L</t>
  </si>
  <si>
    <t>ARAL STATION 1602661</t>
  </si>
  <si>
    <t>STENA LINE SE INTERN</t>
  </si>
  <si>
    <t>CURA APOTEKET SANNEG</t>
  </si>
  <si>
    <t>Soffa</t>
  </si>
  <si>
    <t>HALLANDSTRAFIKEN 405</t>
  </si>
  <si>
    <t>BOPLATS GOTEBORG AB</t>
  </si>
  <si>
    <t>HEMKOP HAVERDAL</t>
  </si>
  <si>
    <t>1 kilo oxe</t>
  </si>
  <si>
    <t>Svenska Turistforeni</t>
  </si>
  <si>
    <t>MAXI ICA STORMARKNAD</t>
  </si>
  <si>
    <t>AVENTYRSLANDET</t>
  </si>
  <si>
    <t>GOSTAS CAFE RESTAU</t>
  </si>
  <si>
    <t>OKQ8</t>
  </si>
  <si>
    <t>TICNET.SE 3</t>
  </si>
  <si>
    <t>AKROPOLIS PIZZERIA I</t>
  </si>
  <si>
    <t>387 DRESSMANN VARNAM</t>
  </si>
  <si>
    <t>Bensin SthlmFi</t>
  </si>
  <si>
    <t>COOP KONSUM VARNAMO</t>
  </si>
  <si>
    <t>TAXI KURIR GOTEBORG</t>
  </si>
  <si>
    <t>LISEBERGS REST</t>
  </si>
  <si>
    <t>CAFE CURRY</t>
  </si>
  <si>
    <t>BANKOMAT 11.51</t>
  </si>
  <si>
    <t>SJ BISTRO OMBORD</t>
  </si>
  <si>
    <t>GRATTISMOP</t>
  </si>
  <si>
    <t>7-ELEVEN 4216151</t>
  </si>
  <si>
    <t>SJ AB OMBORD</t>
  </si>
  <si>
    <t>CONCILIANCE</t>
  </si>
  <si>
    <t>CONCILIANCE PLAN 1:2</t>
  </si>
  <si>
    <t>PRESSBYRAN 4128121</t>
  </si>
  <si>
    <t>Okänd insättning missad</t>
  </si>
  <si>
    <t>Vet ingen som satt in detta</t>
  </si>
  <si>
    <t>o hittar inget utdrag i allkort eller gamla KO</t>
  </si>
  <si>
    <t>Kontoutdrag Stämmer 1,20053300634027E-10</t>
  </si>
  <si>
    <t>QUALITY P PHILI</t>
  </si>
  <si>
    <t>PARMA KOK BAR</t>
  </si>
  <si>
    <t>TAXI 020 AB</t>
  </si>
  <si>
    <t>STHLM FIELDS</t>
  </si>
  <si>
    <t>INTERSPORT SKARHOLME</t>
  </si>
  <si>
    <t>BANKOMAT 11.57</t>
  </si>
  <si>
    <t>RASTA MARIESTAD</t>
  </si>
  <si>
    <t>stockholms stads bostadskö</t>
  </si>
  <si>
    <t>HEMKOP GOTEBORG</t>
  </si>
  <si>
    <t>BANKOMAT 13.10</t>
  </si>
  <si>
    <t>NARHALSAN</t>
  </si>
  <si>
    <t>KD APOTEK</t>
  </si>
  <si>
    <t>BOMBAY</t>
  </si>
  <si>
    <t>KAPTEN NEMOS</t>
  </si>
  <si>
    <t>IZ UBEJO EVENEMAN</t>
  </si>
  <si>
    <t>HOTELL VILLAN AB</t>
  </si>
  <si>
    <t>NA ALVSTRANDEN SERVI</t>
  </si>
  <si>
    <t>WEBHALLEN</t>
  </si>
  <si>
    <t>STATOIL GAARDA 2</t>
  </si>
  <si>
    <t>NYA TEMPLE PUB</t>
  </si>
  <si>
    <t>KINGS HEAD</t>
  </si>
  <si>
    <t>7-ELEVEN 4117142</t>
  </si>
  <si>
    <t>PIZZREIA LA SULTANA</t>
  </si>
  <si>
    <t>THE BISHOP S ARMS JA</t>
  </si>
  <si>
    <t>CAFÉ ELENA HB</t>
  </si>
  <si>
    <t>köstar det nåt</t>
  </si>
  <si>
    <t>TACOMANIA</t>
  </si>
  <si>
    <t>PRESSBYRAN 4150113</t>
  </si>
  <si>
    <t>Buffalo</t>
  </si>
  <si>
    <t>HOTELBOLLE</t>
  </si>
  <si>
    <t>WILLYS SISJON</t>
  </si>
  <si>
    <t>barnsMinusKort</t>
  </si>
  <si>
    <t>VSLNLARMET</t>
  </si>
  <si>
    <t>ÅRSAVGIFT</t>
  </si>
  <si>
    <t>CYRANO ERIKSBERG</t>
  </si>
  <si>
    <t>HEM HOBBY SKOVDE</t>
  </si>
  <si>
    <t>CHINA TOWN</t>
  </si>
  <si>
    <t>INET SISJON</t>
  </si>
  <si>
    <t>GOOD THINGS</t>
  </si>
  <si>
    <t>GODISAFFAREN</t>
  </si>
  <si>
    <t>JERKSTRANDS KONDITOR</t>
  </si>
  <si>
    <t>HEDENSGATUKOK</t>
  </si>
  <si>
    <t>Bio Roy</t>
  </si>
  <si>
    <t>Övernatt</t>
  </si>
  <si>
    <t>GIBRALTAR PIZZERIA</t>
  </si>
  <si>
    <t>WILLYS HEMMA TUVE</t>
  </si>
  <si>
    <t>PRESSBYRAN 4028142</t>
  </si>
  <si>
    <t>PIZZA HUT 214</t>
  </si>
  <si>
    <t>Lägenhet</t>
  </si>
  <si>
    <t>buffer</t>
  </si>
  <si>
    <t>LÄGENHET</t>
  </si>
  <si>
    <t>SPOTIFY SPOTIFY PREM</t>
  </si>
  <si>
    <t>BA 1101 GOTEBORGS KO</t>
  </si>
  <si>
    <t>VERLDSKULTURS MUSEET</t>
  </si>
  <si>
    <t>RESTAURANG TABLA</t>
  </si>
  <si>
    <t>GOTEBORGS KONST</t>
  </si>
  <si>
    <t>ICA KVANTUM SANNEGAR</t>
  </si>
  <si>
    <t>INETDATA I GOTEBORG</t>
  </si>
  <si>
    <t>HEMKOP VARNAMO</t>
  </si>
  <si>
    <t>SPICE</t>
  </si>
  <si>
    <t>JUL METAL</t>
  </si>
  <si>
    <t>ICA NARA STABBETORGE</t>
  </si>
  <si>
    <t>MARCUS BJERKST</t>
  </si>
  <si>
    <t>JACOBS CAFE</t>
  </si>
  <si>
    <t>CHISTINE DESIGN/KONS</t>
  </si>
  <si>
    <t>TRE INDIER</t>
  </si>
  <si>
    <t>SEGA GUBBEN</t>
  </si>
  <si>
    <t>PRESSBYRAN 4025156</t>
  </si>
  <si>
    <t>REST DA MARIO</t>
  </si>
  <si>
    <t>CLAS OHLSON</t>
  </si>
  <si>
    <t>Vasttrafik AB</t>
  </si>
  <si>
    <t>PRESSBYRAN 4028324</t>
  </si>
  <si>
    <t>Allkonto, plus annat</t>
  </si>
  <si>
    <t xml:space="preserve"> ' 629 011 192</t>
  </si>
  <si>
    <t>Löne</t>
  </si>
  <si>
    <t xml:space="preserve">Kontonummer:  </t>
  </si>
  <si>
    <t xml:space="preserve"> ' 629010552</t>
  </si>
  <si>
    <t>Clearing HB</t>
  </si>
  <si>
    <t xml:space="preserve"> ' 6241</t>
  </si>
  <si>
    <t>Senaste uppdaterad</t>
  </si>
  <si>
    <t>Idag</t>
  </si>
  <si>
    <t>Uppd.historik</t>
  </si>
  <si>
    <t>Statad troligt</t>
  </si>
  <si>
    <t>(eg. 2009-08-22 - 23), 2009-08-23, 2009-03-26, 2010-07-28</t>
  </si>
  <si>
    <t>Russel/vecka</t>
  </si>
  <si>
    <t>år</t>
  </si>
  <si>
    <t>(Kvar ref)</t>
  </si>
  <si>
    <t>Från tidigare</t>
  </si>
  <si>
    <t>Januari</t>
  </si>
  <si>
    <t>Februari</t>
  </si>
  <si>
    <t>Mars</t>
  </si>
  <si>
    <t>April</t>
  </si>
  <si>
    <t>Maj</t>
  </si>
  <si>
    <t>Juni</t>
  </si>
  <si>
    <t>Juli</t>
  </si>
  <si>
    <t>Augusti</t>
  </si>
  <si>
    <t>September</t>
  </si>
  <si>
    <t>Oktober</t>
  </si>
  <si>
    <t>November</t>
  </si>
  <si>
    <t>December</t>
  </si>
  <si>
    <t>Summa</t>
  </si>
  <si>
    <t>Temp (kompensera för utlägg på Lönkonto)</t>
  </si>
  <si>
    <t>Betalade kreditfakturor</t>
  </si>
  <si>
    <t xml:space="preserve">Saldo Allkonto: </t>
  </si>
  <si>
    <t xml:space="preserve">Saldo: </t>
  </si>
  <si>
    <t xml:space="preserve"> </t>
  </si>
  <si>
    <t xml:space="preserve">Saldo Lönekonto: </t>
  </si>
  <si>
    <t xml:space="preserve">: Saldo Lönekonto: </t>
  </si>
  <si>
    <t>på konto VERKLIGA</t>
  </si>
  <si>
    <t>Utan lägga undan</t>
  </si>
  <si>
    <t xml:space="preserve">Ej fakturerat: </t>
  </si>
  <si>
    <t>Bör vara</t>
  </si>
  <si>
    <t>&lt;--Ev. Fel</t>
  </si>
  <si>
    <t xml:space="preserve">Fakturerat, ej förfallet: </t>
  </si>
  <si>
    <t>Lägga undan</t>
  </si>
  <si>
    <t>UtLånat</t>
  </si>
  <si>
    <t xml:space="preserve">Ofakturerade transaktioner:  </t>
  </si>
  <si>
    <t xml:space="preserve">  </t>
  </si>
  <si>
    <t>Stulet-&gt;</t>
  </si>
  <si>
    <t>Kredit ej betald</t>
  </si>
  <si>
    <t xml:space="preserve">Fakturerat ej förfallet: </t>
  </si>
  <si>
    <t>Kvar</t>
  </si>
  <si>
    <t>&lt;-----------------------</t>
  </si>
  <si>
    <t xml:space="preserve"> =stämmer?</t>
  </si>
  <si>
    <t>&lt;--Detta är så mycket som finns att spendera</t>
  </si>
  <si>
    <t xml:space="preserve"> &lt;= detta felar</t>
  </si>
  <si>
    <t>Bara a</t>
  </si>
  <si>
    <t>Både r o a</t>
  </si>
  <si>
    <t>Russel Kvar</t>
  </si>
  <si>
    <t>Pengar in, datum:</t>
  </si>
  <si>
    <t>Med sparat</t>
  </si>
  <si>
    <t>Me kontant</t>
  </si>
  <si>
    <t>Pengar in</t>
  </si>
  <si>
    <t>Dagar kvar</t>
  </si>
  <si>
    <t>Veckor kvar</t>
  </si>
  <si>
    <t>Avrundade Veckor</t>
  </si>
  <si>
    <t>Eget Val av veckor kvar</t>
  </si>
  <si>
    <t>1850/4=</t>
  </si>
  <si>
    <t>dagar i månaden</t>
  </si>
  <si>
    <t>Russel</t>
  </si>
  <si>
    <t>veckor</t>
  </si>
  <si>
    <t>per vecka</t>
  </si>
  <si>
    <t>(Exakt)</t>
  </si>
  <si>
    <t>Kr om dan</t>
  </si>
  <si>
    <t>veckodag</t>
  </si>
  <si>
    <t>Ovan fungerar enl. följande, det som finns på konot pytsas ut till olika potter, sen när inkomst kommer så drar man av det och sätter det på nästa månads pyttsar, så det blir en illusion av förskjutning, men allt är i sin ordning för lönen används till nä</t>
  </si>
  <si>
    <t>Tot ^</t>
  </si>
  <si>
    <t>Per mån ^</t>
  </si>
  <si>
    <t>Buffert, som lönekvot</t>
  </si>
  <si>
    <t>Antalet arbetsdagar under ett år skiftar mellan 224 och 229 beroende på</t>
  </si>
  <si>
    <t>In</t>
  </si>
  <si>
    <t>IN</t>
  </si>
  <si>
    <t>Dra in</t>
  </si>
  <si>
    <t>Ändra helst bara varje år</t>
  </si>
  <si>
    <t>Kompensation av felgissade potter</t>
  </si>
  <si>
    <t>Kvar ref</t>
  </si>
  <si>
    <t>hygien (disk, tvätt o tvål etc)</t>
  </si>
  <si>
    <t>hemlagad lunch</t>
  </si>
  <si>
    <t>russel tot</t>
  </si>
  <si>
    <t>Buss etc i samband med  supa</t>
  </si>
  <si>
    <t>SommarRussel plan:</t>
  </si>
  <si>
    <t>spara till dator</t>
  </si>
  <si>
    <t>SommarRussel verklighet:</t>
  </si>
  <si>
    <t>Back</t>
  </si>
  <si>
    <t>övrigt i samband med supa</t>
  </si>
  <si>
    <t>Lite oväntat in</t>
  </si>
  <si>
    <t>hushåll, reparationer etc inköp av nya husshållsmaskiner</t>
  </si>
  <si>
    <t>Om A-kassa</t>
  </si>
  <si>
    <t>Om man tar av russel, så ska framtida russel tas in=</t>
  </si>
  <si>
    <t>Summa utan hyra</t>
  </si>
  <si>
    <t>Planerade Utbetalningar</t>
  </si>
  <si>
    <t>Över</t>
  </si>
  <si>
    <t xml:space="preserve"> +/- per år</t>
  </si>
  <si>
    <t>Kvar på supa i mån:</t>
  </si>
  <si>
    <t>utvald period</t>
  </si>
  <si>
    <t>Utan hyra</t>
  </si>
  <si>
    <t>Halva kvar (nöje)</t>
  </si>
  <si>
    <t>juni-&gt;juli</t>
  </si>
  <si>
    <t>Ut</t>
  </si>
  <si>
    <t>UT</t>
  </si>
  <si>
    <t>Månader &gt;</t>
  </si>
  <si>
    <t>Snitt/mån</t>
  </si>
  <si>
    <t>Jmfr med plan</t>
  </si>
  <si>
    <t>L ute okt+nov</t>
  </si>
  <si>
    <t>Kv</t>
  </si>
  <si>
    <t>KVAR</t>
  </si>
  <si>
    <t>Hyra kompenseras av amorteringsspar</t>
  </si>
  <si>
    <t>Täcka upp felbedömningar/slös ja, man kan ju låta bli att gå back, o sen i början på varje månad se vad som gått åt och ev. ändra om det gått back för länge trots lite slös…eller överdrivet mycket i någon pott</t>
  </si>
  <si>
    <t>HMat+Hygien_HemmaMat</t>
  </si>
  <si>
    <t>AllMat+Alko-Lunch ute</t>
  </si>
  <si>
    <t>Alkohol+Mart</t>
  </si>
  <si>
    <t>Sparat+Lönekonto</t>
  </si>
  <si>
    <t>Summa russel</t>
  </si>
  <si>
    <t>Summerade kategorier</t>
  </si>
  <si>
    <t>Fasta månadskostnader</t>
  </si>
  <si>
    <t>El (Rörliga månadskostnader)</t>
  </si>
  <si>
    <t>Mat o Hygien (nkl pizza o bagg)</t>
  </si>
  <si>
    <t>Lunch</t>
  </si>
  <si>
    <t>Lunch utemat</t>
  </si>
  <si>
    <t>Alkoholrelaterat</t>
  </si>
  <si>
    <t>Kläder</t>
  </si>
  <si>
    <t>Resor</t>
  </si>
  <si>
    <t>sommar</t>
  </si>
  <si>
    <t>Spara alla</t>
  </si>
  <si>
    <t>Presenter</t>
  </si>
  <si>
    <t>Med fond</t>
  </si>
  <si>
    <t>Övrigt</t>
  </si>
  <si>
    <t>Övrigt (till ammortering)</t>
  </si>
  <si>
    <t>stämmer med ovan?</t>
  </si>
  <si>
    <t>Helgnöjen in /mån</t>
  </si>
  <si>
    <t>Helgnöjen kvar</t>
  </si>
  <si>
    <t>Helgnöjen in /vecka</t>
  </si>
  <si>
    <t>Helgnöjen kvar + Lunch hemlagad + Presenter</t>
  </si>
  <si>
    <t>Mataffärsköp Orelaterat till supa</t>
  </si>
  <si>
    <t>Helgnöjen in /vald</t>
  </si>
  <si>
    <t>Byt namn på alla spara, o lägg ordet spara sist</t>
  </si>
  <si>
    <t>Kan komma in från Brf</t>
  </si>
  <si>
    <t>Nya Kategorier:</t>
  </si>
  <si>
    <t>Total sommar o frejus etc</t>
  </si>
  <si>
    <t>bjudalkohol</t>
  </si>
  <si>
    <t>Roskilde ca</t>
  </si>
  <si>
    <t>övrigt hushåll</t>
  </si>
  <si>
    <t>Frejus ca</t>
  </si>
  <si>
    <t>Kontant nånting, betyder att man har det kontant, men det är ju ingen utgift eg.</t>
  </si>
  <si>
    <t>Skräääp - chips o popcorn o sådant</t>
  </si>
  <si>
    <t>Hemmaätet nöjesmat (t.ex. me JG, kylling o röror)</t>
  </si>
  <si>
    <t>TV, el. projektor el. annan lyx,  kapitalvara</t>
  </si>
  <si>
    <t>Glödlampor o övrigt hushållsåtgång</t>
  </si>
  <si>
    <t>Byta Namn På-&gt;&gt;</t>
  </si>
  <si>
    <t>Till-&gt;&gt;</t>
  </si>
  <si>
    <t>hygien (disk, tvätt o tvål etc, hårvård o band)</t>
  </si>
  <si>
    <t>Helgnöjen, utgifter om man inte super, ex. bio</t>
  </si>
  <si>
    <t>hushåll, reparationer etc inköp av nya husshållsmaskiner (som ersätter trasiga och såna man måste ha, alltså ej nyinköp etc) Denna kat. gäller bara lagningar, reparationer och ersättningsköp etc</t>
  </si>
  <si>
    <t>Julstrul (Julklappar etc, fest på alko, och resor på vmo-resor)</t>
  </si>
  <si>
    <t>Misc återkommande (ex. Chalmersföreningen, Visa-årsavgift etc. Som man känner till men som man inte har med på egen rad)</t>
  </si>
  <si>
    <t>e</t>
  </si>
  <si>
    <t>Steg mellan varje</t>
  </si>
  <si>
    <t>Inkomster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</si>
</sst>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 ;[Red]\-#,##0\ "/>
  </numFmts>
  <fonts count="25">
    <font>
      <sz val="10.0"/>
      <color rgb="FF000000"/>
      <name val="Arial"/>
      <scheme val="minor"/>
    </font>
    <font>
      <color theme="1"/>
      <name val="Arial"/>
    </font>
    <font>
      <sz val="10.0"/>
      <color theme="1"/>
      <name val="Arial"/>
    </font>
    <font>
      <i/>
      <sz val="10.0"/>
      <color theme="1"/>
      <name val="Arial"/>
    </font>
    <font>
      <b/>
      <sz val="10.0"/>
      <color theme="1"/>
      <name val="Arial"/>
    </font>
    <font>
      <u/>
      <sz val="10.0"/>
      <color theme="1"/>
      <name val="Arial"/>
    </font>
    <font>
      <b/>
      <u/>
      <sz val="10.0"/>
      <color theme="1"/>
      <name val="Arial"/>
    </font>
    <font>
      <i/>
      <u/>
      <sz val="10.0"/>
      <color theme="1"/>
      <name val="Arial"/>
    </font>
    <font>
      <i/>
      <u/>
      <sz val="10.0"/>
      <color theme="1"/>
      <name val="Arial"/>
    </font>
    <font>
      <sz val="10.0"/>
      <color theme="1"/>
      <name val="Helvetica Neue"/>
    </font>
    <font>
      <b/>
      <u/>
      <sz val="10.0"/>
      <color theme="1"/>
      <name val="Arial"/>
    </font>
    <font>
      <i/>
      <sz val="10.0"/>
      <color rgb="FFC0C0C0"/>
      <name val="Arial"/>
    </font>
    <font>
      <b/>
      <u/>
      <sz val="10.0"/>
      <color theme="1"/>
      <name val="Arial"/>
    </font>
    <font>
      <u/>
      <sz val="10.0"/>
      <color theme="1"/>
      <name val="Arial"/>
    </font>
    <font>
      <u/>
      <sz val="10.0"/>
      <color rgb="FF0000FF"/>
      <name val="Arial"/>
    </font>
    <font>
      <i/>
      <sz val="10.0"/>
      <color rgb="FF808080"/>
      <name val="Arial"/>
    </font>
    <font>
      <sz val="10.0"/>
      <color rgb="FFC0C0C0"/>
      <name val="Arial"/>
    </font>
    <font>
      <b/>
      <i/>
      <sz val="10.0"/>
      <color rgb="FFC0C0C0"/>
      <name val="Arial"/>
    </font>
    <font>
      <sz val="10.0"/>
      <color rgb="FF969696"/>
      <name val="Arial"/>
    </font>
    <font>
      <i/>
      <sz val="10.0"/>
      <color rgb="FF969696"/>
      <name val="Arial"/>
    </font>
    <font>
      <b/>
      <sz val="10.0"/>
      <color rgb="FF969696"/>
      <name val="Arial"/>
    </font>
    <font>
      <u/>
      <sz val="10.0"/>
      <color theme="1"/>
      <name val="Arial"/>
    </font>
    <font>
      <b/>
      <u/>
      <sz val="10.0"/>
      <color theme="1"/>
      <name val="Arial"/>
    </font>
    <font>
      <b/>
      <sz val="14.0"/>
      <color theme="1"/>
      <name val="Arial"/>
    </font>
    <font>
      <b/>
      <u/>
      <sz val="10.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Font="1"/>
    <xf quotePrefix="1" borderId="0" fillId="0" fontId="2" numFmtId="0" xfId="0" applyFont="1"/>
    <xf quotePrefix="1" borderId="0" fillId="0" fontId="2" numFmtId="3" xfId="0" applyFont="1" applyNumberFormat="1"/>
    <xf borderId="0" fillId="0" fontId="2" numFmtId="0" xfId="0" applyAlignment="1" applyFont="1">
      <alignment shrinkToFit="0" wrapText="1"/>
    </xf>
    <xf borderId="0" fillId="0" fontId="2" numFmtId="4" xfId="0" applyFont="1" applyNumberFormat="1"/>
    <xf borderId="0" fillId="0" fontId="2" numFmtId="0" xfId="0" applyFont="1"/>
    <xf borderId="0" fillId="0" fontId="3" numFmtId="0" xfId="0" applyFont="1"/>
    <xf borderId="0" fillId="0" fontId="2" numFmtId="14" xfId="0" applyFont="1" applyNumberFormat="1"/>
    <xf borderId="0" fillId="0" fontId="3" numFmtId="14" xfId="0" applyFont="1" applyNumberFormat="1"/>
    <xf borderId="0" fillId="0" fontId="2" numFmtId="49" xfId="0" applyFont="1" applyNumberFormat="1"/>
    <xf borderId="0" fillId="0" fontId="2" numFmtId="2" xfId="0" applyFont="1" applyNumberFormat="1"/>
    <xf borderId="0" fillId="0" fontId="4" numFmtId="2" xfId="0" applyFont="1" applyNumberFormat="1"/>
    <xf borderId="0" fillId="0" fontId="5" numFmtId="0" xfId="0" applyFont="1"/>
    <xf borderId="0" fillId="0" fontId="6" numFmtId="4" xfId="0" applyFont="1" applyNumberFormat="1"/>
    <xf borderId="0" fillId="0" fontId="7" numFmtId="4" xfId="0" applyFont="1" applyNumberFormat="1"/>
    <xf borderId="0" fillId="0" fontId="8" numFmtId="0" xfId="0" applyFont="1"/>
    <xf borderId="0" fillId="0" fontId="3" numFmtId="4" xfId="0" applyFont="1" applyNumberFormat="1"/>
    <xf borderId="0" fillId="0" fontId="4" numFmtId="0" xfId="0" applyFont="1"/>
    <xf borderId="0" fillId="0" fontId="9" numFmtId="0" xfId="0" applyFont="1"/>
    <xf borderId="0" fillId="0" fontId="3" numFmtId="2" xfId="0" applyFont="1" applyNumberFormat="1"/>
    <xf borderId="0" fillId="0" fontId="9" numFmtId="4" xfId="0" applyFont="1" applyNumberFormat="1"/>
    <xf borderId="0" fillId="0" fontId="10" numFmtId="2" xfId="0" applyFont="1" applyNumberFormat="1"/>
    <xf borderId="0" fillId="0" fontId="11" numFmtId="4" xfId="0" applyFont="1" applyNumberFormat="1"/>
    <xf borderId="0" fillId="0" fontId="4" numFmtId="4" xfId="0" applyFont="1" applyNumberFormat="1"/>
    <xf borderId="0" fillId="0" fontId="12" numFmtId="0" xfId="0" applyFont="1"/>
    <xf borderId="0" fillId="0" fontId="2" numFmtId="1" xfId="0" applyFont="1" applyNumberFormat="1"/>
    <xf borderId="0" fillId="0" fontId="13" numFmtId="4" xfId="0" applyFont="1" applyNumberFormat="1"/>
    <xf borderId="0" fillId="0" fontId="14" numFmtId="0" xfId="0" applyFont="1"/>
    <xf borderId="0" fillId="0" fontId="15" numFmtId="4" xfId="0" applyFont="1" applyNumberFormat="1"/>
    <xf borderId="0" fillId="0" fontId="16" numFmtId="0" xfId="0" applyFont="1"/>
    <xf borderId="0" fillId="0" fontId="11" numFmtId="0" xfId="0" applyFont="1"/>
    <xf borderId="0" fillId="0" fontId="17" numFmtId="4" xfId="0" applyFont="1" applyNumberFormat="1"/>
    <xf borderId="0" fillId="0" fontId="18" numFmtId="0" xfId="0" applyFont="1"/>
    <xf borderId="0" fillId="0" fontId="18" numFmtId="2" xfId="0" applyFont="1" applyNumberFormat="1"/>
    <xf borderId="0" fillId="0" fontId="19" numFmtId="0" xfId="0" applyFont="1"/>
    <xf borderId="0" fillId="0" fontId="19" numFmtId="4" xfId="0" applyFont="1" applyNumberFormat="1"/>
    <xf borderId="0" fillId="0" fontId="18" numFmtId="4" xfId="0" applyFont="1" applyNumberFormat="1"/>
    <xf borderId="0" fillId="0" fontId="20" numFmtId="4" xfId="0" applyFont="1" applyNumberFormat="1"/>
    <xf borderId="0" fillId="0" fontId="2" numFmtId="3" xfId="0" applyFont="1" applyNumberFormat="1"/>
    <xf borderId="0" fillId="0" fontId="4" numFmtId="3" xfId="0" applyFont="1" applyNumberFormat="1"/>
    <xf borderId="0" fillId="0" fontId="21" numFmtId="49" xfId="0" applyFont="1" applyNumberFormat="1"/>
    <xf borderId="0" fillId="0" fontId="1" numFmtId="4" xfId="0" applyFont="1" applyNumberFormat="1"/>
    <xf borderId="0" fillId="0" fontId="16" numFmtId="4" xfId="0" applyFont="1" applyNumberFormat="1"/>
    <xf borderId="0" fillId="0" fontId="4" numFmtId="164" xfId="0" applyFont="1" applyNumberFormat="1"/>
    <xf borderId="0" fillId="0" fontId="22" numFmtId="164" xfId="0" applyFont="1" applyNumberFormat="1"/>
    <xf borderId="0" fillId="0" fontId="2" numFmtId="164" xfId="0" applyFont="1" applyNumberFormat="1"/>
    <xf borderId="0" fillId="0" fontId="2" numFmtId="4" xfId="0" applyAlignment="1" applyFont="1" applyNumberFormat="1">
      <alignment shrinkToFit="0" wrapText="1"/>
    </xf>
    <xf borderId="0" fillId="0" fontId="23" numFmtId="4" xfId="0" applyFont="1" applyNumberFormat="1"/>
    <xf borderId="0" fillId="0" fontId="24" numFmtId="3" xfId="0" applyFont="1" applyNumberFormat="1"/>
  </cellXfs>
  <cellStyles count="1">
    <cellStyle xfId="0" name="Normal" builtinId="0"/>
  </cellStyles>
  <dxfs count="2">
    <dxf>
      <font>
        <color rgb="FFC0C0C0"/>
      </font>
      <fill>
        <patternFill patternType="none"/>
      </fill>
      <border/>
    </dxf>
    <dxf>
      <font>
        <color rgb="FF9C0006"/>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hu" id="{51b23043-b373-4739-9639-18158ffd3ea7}" providerId="google-sheets"/>
  <x18tc:person displayName="Pelle" id="{7a49d26c-be78-4598-ab03-2008cd4d6763}" providerId="google-sheets"/>
  <x18tc:person displayName="23Gears" id="{d2329c29-3d15-4985-bb99-73c9655ca3e0}" providerId="google-sheets"/>
  <x18tc:person displayName="Per Gradeen" id="{d7c22b10-29a6-42cf-8636-380e356a3075}"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U111" dT="2026-04-24T08:15:17.00" personId="{51b23043-b373-4739-9639-18158ffd3ea7}" id="{7182e22d-a997-4183-8c63-778f2c12a8bf}" done="0">
    <x18tc:text xml:space="preserve">Är vad denna post ska gå plus med, alltså lågränteläge ger mer amortering</x18tc:text>
  </x18tc:threadedComment>
  <x18tc:threadedComment ref="B32" dT="2026-04-24T08:15:17.00" personId="{d7c22b10-29a6-42cf-8636-380e356a3075}" id="{0d1bc67e-dd67-480c-98fa-ae8ca02117d1}" done="0">
    <x18tc:text xml:space="preserve">El-bolaget ca 240kr, Nät-bolaget ca 120kr?</x18tc:text>
  </x18tc:threadedComment>
  <x18tc:threadedComment ref="V107" dT="2026-04-24T08:15:17.00" personId="{51b23043-b373-4739-9639-18158ffd3ea7}" id="{5326158d-8cec-41a0-8418-753fd5670124}" done="0">
    <x18tc:text xml:space="preserve">Kompensation för amortering.</x18tc:text>
  </x18tc:threadedComment>
  <x18tc:threadedComment ref="S138" dT="2026-04-24T08:15:17.00" personId="{51b23043-b373-4739-9639-18158ffd3ea7}" id="{63bdbdb1-562e-4cbd-97bf-9a9cd2b5d326}" done="0">
    <x18tc:text xml:space="preserve">Kan via IN, skicka pengar hit från supa etc, så blir det en slags belöning för att ha tagit det lugnt, och så kan man göra något dyrt, men nyktert. Vid lagade måltider, dra av för vad en std billig mat skulle kostat under samma period som den maten räkte...etc. ev. dra av i hemlagad lunch.</x18tc:text>
  </x18tc:threadedComment>
  <x18tc:threadedComment ref="S127" dT="2026-04-24T08:15:17.00" personId="{51b23043-b373-4739-9639-18158ffd3ea7}" id="{5ced1ef4-3f39-4fec-86fa-432c50dff984}" done="0">
    <x18tc:text xml:space="preserve">Kan vara från Mat isms oxo här...</x18tc:text>
  </x18tc:threadedComment>
  <x18tc:threadedComment ref="S126" dT="2026-04-24T08:15:17.00" personId="{d7c22b10-29a6-42cf-8636-380e356a3075}" id="{abc8f47d-98d0-460a-b456-fa3f7f90d31a}" done="0">
    <x18tc:text xml:space="preserve">Hm, bättre man äter lite så man kommer tillbaka till livet…höja denne ev.</x18tc:text>
  </x18tc:threadedComment>
  <x18tc:threadedComment ref="S123" dT="2026-04-24T08:15:17.00" personId="{d7c22b10-29a6-42cf-8636-380e356a3075}" id="{3ea508b1-efc4-4217-946c-c90f7fb98691}" done="0">
    <x18tc:text xml:space="preserve">Dessa kostnader har lagts på hemlagad. 
Kan användas för att balansera hemlagad</x18tc:text>
  </x18tc:threadedComment>
  <x18tc:threadedComment ref="B25" dT="2026-04-24T08:15:17.00" personId="{d7c22b10-29a6-42cf-8636-380e356a3075}" id="{14acc141-08a5-4404-a138-9f24bd192eee}" done="0">
    <x18tc:text xml:space="preserve">Inte inkl. 11k amortering längre, amortering är i amorterings-kategorin (spara till amortering), men inte ändrat namnet i alla system än...</x18tc:text>
  </x18tc:threadedComment>
  <x18tc:threadedComment ref="S122" dT="2026-04-24T08:15:17.00" personId="{51b23043-b373-4739-9639-18158ffd3ea7}" id="{184c57b6-cc8f-472e-9a86-95d2ba6a999e}" done="0">
    <x18tc:text xml:space="preserve">Det är troligtvis en del hygien här också. Det va det. Men inte längre. Det kan vara vitaminköp oxo.</x18tc:text>
  </x18tc:threadedComment>
  <x18tc:threadedComment ref="C50" dT="2026-04-24T08:15:17.00" personId="{7a49d26c-be78-4598-ab03-2008cd4d6763}" id="{8801a6f9-9c2f-4230-9af9-501b42d0db19}" done="0">
    <x18tc:text xml:space="preserve">9k typ rimligt för en del festivaler o supa etc.
Sen är det den vanliga kvoten på utgifter för en mån supa etc.
3000 i extra för bjuda div.
Sen bör det tillkomma ca 3k i semesterersättning.
Så runt 15k per sommar. Men kompensera bort semErs bokföringsmässigt med att lägga den klump som kommer i Spara allmänt o ha lägre månadspott på den...</x18tc:text>
  </x18tc:threadedComment>
  <x18tc:threadedComment ref="T80" dT="2026-04-24T08:15:17.00" personId="{d7c22b10-29a6-42cf-8636-380e356a3075}" id="{15af4326-8e45-403a-9408-701bc773d101}" done="0">
    <x18tc:text xml:space="preserve">El-bolaget ca 240kr, Nät-bolaget ca 120kr?</x18tc:text>
  </x18tc:threadedComment>
  <x18tc:threadedComment ref="F3" dT="2026-04-24T08:15:17.00" personId="{d7c22b10-29a6-42cf-8636-380e356a3075}" id="{333d225d-e239-453c-8edb-7e6a3e38eb73}" done="0">
    <x18tc:text xml:space="preserve">Det är definitivt en gömställe</x18tc:text>
  </x18tc:threadedComment>
  <x18tc:threadedComment ref="B129" dT="2026-04-24T08:15:17.00" personId="{d7c22b10-29a6-42cf-8636-380e356a3075}" id="{1ddaddf1-2e27-4e2f-a072-0217d37eb679}" done="0">
    <x18tc:text xml:space="preserve">Även tåg hem från galna suparesor.</x18tc:text>
  </x18tc:threadedComment>
  <x18tc:threadedComment ref="C39" dT="2026-04-24T08:15:17.00" personId="{d2329c29-3d15-4985-bb99-73c9655ca3e0}" id="{215829bf-5ece-49b0-9514-70ff1fa08dfe}" done="0">
    <x18tc:text xml:space="preserve">Istället för supa ca 300/helg. 2 helger / mån.
Efter seghet ev. Supa. Så blir det ca 2-3 utemat under vardag.
Så 250 varannan helg. 2 ggr per mån</x18tc:text>
  </x18tc:threadedComment>
  <x18tc:threadedComment ref="B130" dT="2026-04-24T08:15:17.00" personId="{d7c22b10-29a6-42cf-8636-380e356a3075}" id="{7f9c741f-c441-42dc-a4c3-21e0e832fce3}" done="0">
    <x18tc:text xml:space="preserve">Skulle kunna vara kontanter</x18tc:text>
  </x18tc:threadedComment>
  <x18tc:threadedComment ref="B179" dT="2026-04-24T08:15:17.00" personId="{7a49d26c-be78-4598-ab03-2008cd4d6763}" id="{19129ca6-8822-4b5a-8d5d-cf19ba4a445a}" done="0">
    <x18tc:text xml:space="preserve">Allt helgnöje och på vardagar som är trynköp på coop, pizza, annan utemat, även frukost och hygien och lunch hemlagat jobbet, men även folköl etc. Allt som inte är i samband med supa.</x18tc:text>
  </x18tc:threadedComment>
  <x18tc:threadedComment ref="C177" dT="2026-04-24T08:15:17.00" personId="{d2329c29-3d15-4985-bb99-73c9655ca3e0}" id="{6d23bbd9-768c-475d-a9d9-0dbf9311e6cc}" done="0">
    <x18tc:text xml:space="preserve">Man kan ta fram miniräknare i telefonen och skriva in vad man köper, sätt 750kr/helg. Sen köper man tills det är slut, alt. Tar ut cash, vid supa.</x18tc:text>
  </x18tc:threadedComment>
  <x18tc:threadedComment ref="C37" dT="2026-04-24T08:15:17.00" personId="{7a49d26c-be78-4598-ab03-2008cd4d6763}" id="{d7d94c4e-3665-4c05-be54-9de8013fc815}" done="0">
    <x18tc:text xml:space="preserve">Alternera varannan dag mellan Ärtsoppekorv o Gulashsoppa eller billigare. 226 Arbetsdagar per år uppdelat på 12 mån. Så ev. Back i början av året o plussa på under ledighet som sommar etc...</x18tc:text>
  </x18tc:threadedComment>
  <x18tc:threadedComment ref="C41" dT="2026-04-24T08:15:17.00" personId="{d2329c29-3d15-4985-bb99-73c9655ca3e0}" id="{00b1be3e-4b90-4f46-816e-c58f95f551ba}" done="0">
    <x18tc:text xml:space="preserve">ca 200 på varannan lördag.
Sen istället för supa ca 500
Efter seghet ev. Supa. Så blir det ca 2-3 utemat under vardag.
Så 250 varannan månad</x18tc:text>
  </x18tc:threadedComment>
  <x18tc:threadedComment ref="T25" dT="2026-04-24T08:15:17.00" personId="{d7c22b10-29a6-42cf-8636-380e356a3075}" id="{100a337d-1451-4f1a-a083-998830f5260f}" done="0">
    <x18tc:text xml:space="preserve">Inte inkl. 11k amortering längre, amortering är i amorterings-kategorin (spara till amortering), men inte ändrat namnet i alla system än...</x18tc:text>
  </x18tc:threadedComment>
  <x18tc:threadedComment ref="T32" dT="2026-04-24T08:15:17.00" personId="{d7c22b10-29a6-42cf-8636-380e356a3075}" id="{77462f95-1936-44f8-a020-b02fec987e85}" done="0">
    <x18tc:text xml:space="preserve">El-bolaget ca 240kr, Nät-bolaget ca 120kr?</x18tc:text>
  </x18tc:threadedComment>
  <x18tc:threadedComment ref="S118" dT="2026-04-24T08:15:17.00" personId="{51b23043-b373-4739-9639-18158ffd3ea7}" id="{38f9e7a9-0818-4f4b-9197-c7a422988dc0}" done="0">
    <x18tc:text xml:space="preserve">Kan bli en vindkraftsandel till slut?</x18tc:text>
  </x18tc:threadedComment>
  <x18tc:threadedComment ref="B38" dT="2026-04-24T08:15:17.00" personId="{d7c22b10-29a6-42cf-8636-380e356a3075}" id="{a8604ab7-d3c3-43c4-adbc-63b066e730e0}" done="0">
    <x18tc:text xml:space="preserve">Ska innefatta affärsresor, småätande där. Sedan när traktamente kommer så lägges det som inkomst.</x18tc:text>
  </x18tc:threadedComment>
  <x18tc:threadedComment ref="T179" dT="2026-04-24T08:15:17.00" personId="{7a49d26c-be78-4598-ab03-2008cd4d6763}" id="{df0475bd-5adb-4379-8f94-91992ad56bf0}" done="0">
    <x18tc:text xml:space="preserve">Allt helgnöje och på vardagar som är trynköp på coop, pizza, annan utemat, även frukost och hygien och lunch hemlagat jobbet, men även folköl etc. Allt som inte är i samband med supa.</x18tc:text>
  </x18tc:threadedComment>
  <x18tc:threadedComment ref="T86" dT="2026-04-24T08:15:17.00" personId="{d7c22b10-29a6-42cf-8636-380e356a3075}" id="{be3f3469-d03e-4fda-9225-685cd8ac5569}" done="0">
    <x18tc:text xml:space="preserve">Ska innefatta affärsresor, småätande där. Sedan när traktamente kommer så lägges det som inkomst.</x18tc:text>
  </x18tc:threadedComment>
  <x18tc:threadedComment ref="C47" dT="2026-04-24T08:15:17.00" personId="{7a49d26c-be78-4598-ab03-2008cd4d6763}" id="{a8a4ea63-6def-40d3-86c0-c813bbd4cf9f}" done="0">
    <x18tc:text xml:space="preserve">Åker i snitt på ett år varannan månad. Och alltid köpa för 95 kångt i förväg. Eller med poäng...</x18tc:text>
  </x18tc:threadedComment>
  <x18tc:threadedComment ref="C45" dT="2026-04-24T08:15:17.00" personId="{7a49d26c-be78-4598-ab03-2008cd4d6763}" id="{dec413ed-e5a9-4a4d-bd60-91c34c468e72}" done="0">
    <x18tc:text xml:space="preserve">2 st 3-mån kort per år. Resten cykla etc.
+10 per mån för köp av annat i samband med köp av kort på ex. Pressbyrån. + Liten komp. för stigande priser</x18tc:text>
  </x18tc:threadedComment>
  <x18tc:threadedComment ref="B40" dT="2026-04-24T08:15:17.00" personId="{d7c22b10-29a6-42cf-8636-380e356a3075}" id="{fb18a603-a26d-4cbf-8120-508e2f0303f7}" done="0">
    <x18tc:text xml:space="preserve">ev. flytta hit 200 xtra från alk.</x18tc:text>
  </x18tc:threadedComment>
  <x18tc:threadedComment ref="S120" dT="2026-04-24T08:15:17.00" personId="{d2329c29-3d15-4985-bb99-73c9655ca3e0}" id="{3f5bd27b-92b6-4fb6-bddf-57d19dc8a7ba}" done="0">
    <x18tc:text xml:space="preserve">ev. skrapa till ny telefon.
Byter man abbonnemang så kan man ibland få gratismånader etc. och då kan denna jämna ut sig</x18tc:text>
  </x18tc:threadedComment>
  <x18tc:threadedComment ref="B50" dT="2026-04-24T08:15:17.00" personId="{7a49d26c-be78-4598-ab03-2008cd4d6763}" id="{04e84b3d-aec6-4550-84fc-b456bc1611e3}" done="0">
    <x18tc:text xml:space="preserve">Augusti är första insättningen på nästa års sommar (5 st insättningar på hösten). 7 på våren inkl. Juli som tanken är att det ska användas</x18tc:text>
  </x18tc:threadedComment>
  <x18tc:threadedComment ref="S135" dT="2026-04-24T08:15:17.00" personId="{d7c22b10-29a6-42cf-8636-380e356a3075}" id="{4594e78f-04d4-4b95-9041-d78e4721121c}" done="0">
    <x18tc:text xml:space="preserve">Tar ut hyran, och får de som e över på hyran.
Spara 50 000 i buffert och sen amortera med det som överstiger. Ex. spara upp till 100k och amortera 50k</x18tc:text>
  </x18tc:threadedComment>
  <x18tc:threadedComment ref="E22" dT="2026-04-24T08:15:17.00" personId="{d7c22b10-29a6-42cf-8636-380e356a3075}" id="{38a2dfef-3224-4639-b65d-07e0fe2de1b6}" done="0">
    <x18tc:text xml:space="preserve">Månader innan supande kan börja igen</x18tc:text>
  </x18tc:threadedComment>
  <x18tc:threadedComment ref="T111" dT="2026-04-24T08:15:17.00" personId="{d7c22b10-29a6-42cf-8636-380e356a3075}" id="{04cb09c8-71f6-4756-bf6f-69e215c04f05}" done="0">
    <x18tc:text xml:space="preserve">Inte inkl. 11k amortering längre, amortering är i amorterings-kategorin (spara till amortering), men inte ändrat namnet i alla system än...</x18tc:text>
  </x18tc:threadedComment>
  <x18tc:threadedComment ref="C25" dT="2026-04-24T08:15:17.00" personId="{7a49d26c-be78-4598-ab03-2008cd4d6763}" id="{f4fde91d-4654-4fae-9500-5f8c2822dac5}" done="0">
    <x18tc:text xml:space="preserve">Kan läggas stabilt med 2-3år bunden ränta runt 4000. Då blir totalen 7500</x18tc:text>
  </x18tc:threadedComment>
  <x18tc:threadedComment ref="T38" dT="2026-04-24T08:15:17.00" personId="{d7c22b10-29a6-42cf-8636-380e356a3075}" id="{f46c4b95-5f6e-4927-9171-5320cad876f5}" done="0">
    <x18tc:text xml:space="preserve">Ska innefatta affärsresor, småätande där. Sedan när traktamente kommer så lägges det som inkomst.</x18tc:text>
  </x18tc:threadedComment>
  <x18tc:threadedComment ref="T124" dT="2026-04-24T08:15:17.00" personId="{d7c22b10-29a6-42cf-8636-380e356a3075}" id="{eeedcc48-f5bb-46b9-9dbb-35201129a35e}" done="0">
    <x18tc:text xml:space="preserve">Ska innefatta affärsresor, småätande där. Sedan när traktamente kommer så lägges det som inkomst.</x18tc:text>
  </x18tc:threadedComment>
  <x18tc:threadedComment ref="T118" dT="2026-04-24T08:15:17.00" personId="{d7c22b10-29a6-42cf-8636-380e356a3075}" id="{14d76f71-570d-4398-aa04-2ba26d89371c}" done="0">
    <x18tc:text xml:space="preserve">El-bolaget ca 240kr, Nät-bolaget ca 120kr?</x18tc:text>
  </x18tc:threadedComment>
  <x18tc:threadedComment ref="S111" dT="2026-04-24T08:15:17.00" personId="{51b23043-b373-4739-9639-18158ffd3ea7}" id="{b38c228a-1e0e-4b8f-aa93-82470d73e6aa}" done="0">
    <x18tc:text xml:space="preserve">RänteReserv, skulle med rätt in varje månad, kunna flyttas till amortering varje år...</x18tc:text>
  </x18tc:threadedComment>
  <x18tc:threadedComment ref="S139" dT="2026-04-24T08:15:17.00" personId="{51b23043-b373-4739-9639-18158ffd3ea7}" id="{496d8192-cd3d-4ad5-9a99-1e7a14664d16}" done="0">
    <x18tc:text xml:space="preserve">Bälte, Behöver lite fler pike kanse, men ej riktigt.</x18tc:text>
  </x18tc:threadedComment>
  <x18tc:threadedComment ref="B41" dT="2026-04-24T08:15:17.00" personId="{7a49d26c-be78-4598-ab03-2008cd4d6763}" id="{841afe7b-d114-4968-b011-45c6b37cd4a3}" done="0">
    <x18tc:text xml:space="preserve">Cigg eg.</x18tc:text>
  </x18tc:threadedComment>
  <x18tc:threadedComment ref="T73" dT="2026-04-24T08:15:17.00" personId="{d7c22b10-29a6-42cf-8636-380e356a3075}" id="{459edf9d-093b-4e60-996a-7c7e51652b1f}" done="0">
    <x18tc:text xml:space="preserve">Inte inkl. 11k amortering längre, amortering är i amorterings-kategorin (spara till amortering), men inte ändrat namnet i alla system än...</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47" dT="2026-04-24T08:15:17.00" personId="{7a49d26c-be78-4598-ab03-2008cd4d6763}" id="{b1cf4702-7589-4571-84c1-101cc1628573}" done="0">
    <x18tc:text xml:space="preserve">Åker i snitt på ett år varannan månad. Och alltid köpa för 95 kångt i förväg. Eller med poäng...</x18tc:text>
  </x18tc:threadedComment>
  <x18tc:threadedComment ref="J25" dT="2026-04-24T08:15:17.00" personId="{7a49d26c-be78-4598-ab03-2008cd4d6763}" id="{163eb745-ee25-4180-88db-df6683fa472c}" done="0">
    <x18tc:text xml:space="preserve">Kan läggas stabilt med 2-3år bunden ränta runt 4000. Då blir totalen 7500</x18tc:text>
  </x18tc:threadedComment>
  <x18tc:threadedComment ref="V107" dT="2026-04-24T08:15:17.00" personId="{51b23043-b373-4739-9639-18158ffd3ea7}" id="{90f6eab2-7729-4b6f-9066-a4d7acf64164}" done="0">
    <x18tc:text xml:space="preserve">Kompensation för amortering.</x18tc:text>
  </x18tc:threadedComment>
  <x18tc:threadedComment ref="G41" dT="2026-04-24T08:15:17.00" personId="{d2329c29-3d15-4985-bb99-73c9655ca3e0}" id="{fc658730-ddba-4672-b4bd-a11dc809b711}" done="0">
    <x18tc:text xml:space="preserve">ca 200 på varannan lördag.
Sen istället för supa ca 500
Efter seghet ev. Supa. Så blir det ca 2-3 utemat under vardag.
Så 250 varannan månad</x18tc:text>
  </x18tc:threadedComment>
  <x18tc:threadedComment ref="K50" dT="2026-04-24T08:15:17.00" personId="{7a49d26c-be78-4598-ab03-2008cd4d6763}" id="{d5c9ee13-f2c5-4ec3-b98c-5a838944b264}" done="0">
    <x18tc:text xml:space="preserve">9k typ rimligt för en del festivaler o supa etc.
Sen är det den vanliga kvoten på utgifter för en mån supa etc.
3000 i extra för bjuda div.
Sen bör det tillkomma ca 3k i semesterersättning.
Så runt 15k per sommar. Men kompensera bort semErs bokföringsmässigt med att lägga den klump som kommer i Spara allmänt o ha lägre månadspott på den...</x18tc:text>
  </x18tc:threadedComment>
  <x18tc:threadedComment ref="S135" dT="2026-04-24T08:15:17.00" personId="{d7c22b10-29a6-42cf-8636-380e356a3075}" id="{9685a795-fbab-4336-bda2-5868fe4b7a48}" done="0">
    <x18tc:text xml:space="preserve">Tar ut hyran, och får de som e över på hyran.
Spara 50 000 i buffert och sen amortera med det som överstiger. Ex. spara upp till 100k och amortera 50k</x18tc:text>
  </x18tc:threadedComment>
  <x18tc:threadedComment ref="G37" dT="2026-04-24T08:15:17.00" personId="{7a49d26c-be78-4598-ab03-2008cd4d6763}" id="{ed8b8051-d18f-4800-993f-0d3fe6d0e790}" done="0">
    <x18tc:text xml:space="preserve">Alternera varannan dag mellan Ärtsoppekorv o Gulashsoppa eller billigare. 226 Arbetsdagar per år uppdelat på 12 mån. Så ev. Back i början av året o plussa på under ledighet som sommar etc...</x18tc:text>
  </x18tc:threadedComment>
  <x18tc:threadedComment ref="H41" dT="2026-04-24T08:15:17.00" personId="{d2329c29-3d15-4985-bb99-73c9655ca3e0}" id="{7eadaebe-ac46-4600-8011-612a68d69643}" done="0">
    <x18tc:text xml:space="preserve">ca 200 på varannan lördag.
Sen istället för supa ca 500
Efter seghet ev. Supa. Så blir det ca 2-3 utemat under vardag.
Så 250 varannan månad</x18tc:text>
  </x18tc:threadedComment>
  <x18tc:threadedComment ref="O37" dT="2026-04-24T08:15:17.00" personId="{7a49d26c-be78-4598-ab03-2008cd4d6763}" id="{b91c5d65-9b89-42aa-a359-1408c04116bc}" done="0">
    <x18tc:text xml:space="preserve">Alternera varannan dag mellan Ärtsoppekorv o Gulashsoppa eller billigare. 226 Arbetsdagar per år uppdelat på 12 mån. Så ev. Back i början av året o plussa på under ledighet som sommar etc...</x18tc:text>
  </x18tc:threadedComment>
  <x18tc:threadedComment ref="U111" dT="2026-04-24T08:15:17.00" personId="{51b23043-b373-4739-9639-18158ffd3ea7}" id="{30b8164a-37b8-49db-a9ef-dcb1305f855e}" done="0">
    <x18tc:text xml:space="preserve">Är vad denna post ska gå plus med, alltså lågränteläge ger mer amortering</x18tc:text>
  </x18tc:threadedComment>
  <x18tc:threadedComment ref="S111" dT="2026-04-24T08:15:17.00" personId="{51b23043-b373-4739-9639-18158ffd3ea7}" id="{2d4adc07-59e2-4214-9911-73c11efe7baf}" done="0">
    <x18tc:text xml:space="preserve">RänteReserv, skulle med rätt in varje månad, kunna flyttas till amortering varje år...</x18tc:text>
  </x18tc:threadedComment>
  <x18tc:threadedComment ref="P39" dT="2026-04-24T08:15:17.00" personId="{d7c22b10-29a6-42cf-8636-380e356a3075}" id="{ff1df133-c2bf-495f-9d0b-d7c78ecde14e}" done="0">
    <x18tc:text xml:space="preserve">Mysisk torggrill...</x18tc:text>
  </x18tc:threadedComment>
  <x18tc:threadedComment ref="T80" dT="2026-04-24T08:15:17.00" personId="{d7c22b10-29a6-42cf-8636-380e356a3075}" id="{c84b016c-760d-4bea-afff-e7ba0cd0183f}" done="0">
    <x18tc:text xml:space="preserve">El-bolaget ca 240kr, Nät-bolaget ca 120kr?</x18tc:text>
  </x18tc:threadedComment>
  <x18tc:threadedComment ref="L41" dT="2026-04-24T08:15:17.00" personId="{d2329c29-3d15-4985-bb99-73c9655ca3e0}" id="{403886f7-1738-41c9-b9a4-008898153c74}" done="0">
    <x18tc:text xml:space="preserve">ca 200 på varannan lördag.
Sen istället för supa ca 500
Efter seghet ev. Supa. Så blir det ca 2-3 utemat under vardag.
Så 250 varannan månad</x18tc:text>
  </x18tc:threadedComment>
  <x18tc:threadedComment ref="M47" dT="2026-04-24T08:15:17.00" personId="{7a49d26c-be78-4598-ab03-2008cd4d6763}" id="{d69097ed-457c-4612-b103-0f84e3156718}" done="0">
    <x18tc:text xml:space="preserve">Åker i snitt på ett år varannan månad. Och alltid köpa för 95 kångt i förväg. Eller med poäng...</x18tc:text>
  </x18tc:threadedComment>
  <x18tc:threadedComment ref="S122" dT="2026-04-24T08:15:17.00" personId="{51b23043-b373-4739-9639-18158ffd3ea7}" id="{2de5718e-508c-432e-9193-e5b720508967}" done="0">
    <x18tc:text xml:space="preserve">Det är troligtvis en del hygien här också. Det va det. Men inte längre. Det kan vara vitaminköp oxo.</x18tc:text>
  </x18tc:threadedComment>
  <x18tc:threadedComment ref="S138" dT="2026-04-24T08:15:17.00" personId="{51b23043-b373-4739-9639-18158ffd3ea7}" id="{2512c339-1a97-4700-be72-0de3de5a7773}" done="0">
    <x18tc:text xml:space="preserve">Kan via IN, skicka pengar hit från supa etc, så blir det en slags belöning för att ha tagit det lugnt, och så kan man göra något dyrt, men nyktert. Vid lagade måltider, dra av för vad en std billig mat skulle kostat under samma period som den maten räkte...etc. ev. dra av i hemlagad lunch.</x18tc:text>
  </x18tc:threadedComment>
  <x18tc:threadedComment ref="T38" dT="2026-04-24T08:15:17.00" personId="{d7c22b10-29a6-42cf-8636-380e356a3075}" id="{b2f733c3-2747-475c-bca8-32aa29d02048}" done="0">
    <x18tc:text xml:space="preserve">Ska innefatta affärsresor, småätande där. Sedan när traktamente kommer så lägges det som inkomst.</x18tc:text>
  </x18tc:threadedComment>
  <x18tc:threadedComment ref="O47" dT="2026-04-24T08:15:17.00" personId="{7a49d26c-be78-4598-ab03-2008cd4d6763}" id="{7491d2a4-be3f-46aa-8979-6a793168b8ff}" done="0">
    <x18tc:text xml:space="preserve">Åker i snitt på ett år varannan månad. Och alltid köpa för 95 kångt i förväg. Eller med poäng...</x18tc:text>
  </x18tc:threadedComment>
  <x18tc:threadedComment ref="M45" dT="2026-04-24T08:15:17.00" personId="{7a49d26c-be78-4598-ab03-2008cd4d6763}" id="{8b9ae123-ce50-43e8-9b43-9d301c06cdef}" done="0">
    <x18tc:text xml:space="preserve">2 st 3-mån kort per år. Resten cykla etc.
+10 per mån för köp av annat i samband med köp av kort på ex. Pressbyrån. + Liten komp. för stigande priser</x18tc:text>
  </x18tc:threadedComment>
  <x18tc:threadedComment ref="T179" dT="2026-04-24T08:15:17.00" personId="{7a49d26c-be78-4598-ab03-2008cd4d6763}" id="{e14ddde1-264d-4920-9731-46e09c0984e1}" done="0">
    <x18tc:text xml:space="preserve">Allt helgnöje och på vardagar som är trynköp på coop, pizza, annan utemat, även frukost och hygien och lunch hemlagat jobbet, men även folköl etc. Allt som inte är i samband med supa.</x18tc:text>
  </x18tc:threadedComment>
  <x18tc:threadedComment ref="M41" dT="2026-04-24T08:15:17.00" personId="{d2329c29-3d15-4985-bb99-73c9655ca3e0}" id="{26535575-a533-43e2-b43d-e8e6fede27dd}" done="0">
    <x18tc:text xml:space="preserve">ca 200 på varannan lördag.
Sen istället för supa ca 500
Efter seghet ev. Supa. Så blir det ca 2-3 utemat under vardag.
Så 250 varannan månad</x18tc:text>
  </x18tc:threadedComment>
  <x18tc:threadedComment ref="H47" dT="2026-04-24T08:15:17.00" personId="{7a49d26c-be78-4598-ab03-2008cd4d6763}" id="{2d46e7f8-557c-47cb-bca6-3a83fdc2485c}" done="0">
    <x18tc:text xml:space="preserve">Åker i snitt på ett år varannan månad. Och alltid köpa för 95 kångt i förväg. Eller med poäng...</x18tc:text>
  </x18tc:threadedComment>
  <x18tc:threadedComment ref="C41" dT="2026-04-24T08:15:17.00" personId="{d2329c29-3d15-4985-bb99-73c9655ca3e0}" id="{5e1b4cde-55ce-469b-b78c-d052b49e515f}" done="0">
    <x18tc:text xml:space="preserve">ca 200 på varannan lördag.
Sen istället för supa ca 500
Efter seghet ev. Supa. Så blir det ca 2-3 utemat under vardag.
Så 250 varannan månad</x18tc:text>
  </x18tc:threadedComment>
  <x18tc:threadedComment ref="J41" dT="2026-04-24T08:15:17.00" personId="{d2329c29-3d15-4985-bb99-73c9655ca3e0}" id="{f3afdc8b-fb57-4e25-bfa3-1f7d18476ce0}" done="0">
    <x18tc:text xml:space="preserve">ca 200 på varannan lördag.
Sen istället för supa ca 500
Efter seghet ev. Supa. Så blir det ca 2-3 utemat under vardag.
Så 250 varannan månad</x18tc:text>
  </x18tc:threadedComment>
  <x18tc:threadedComment ref="T124" dT="2026-04-24T08:15:17.00" personId="{d7c22b10-29a6-42cf-8636-380e356a3075}" id="{d8139ae5-d723-485c-ba61-5f4a7ef5510e}" done="0">
    <x18tc:text xml:space="preserve">Ska innefatta affärsresor, småätande där. Sedan när traktamente kommer så lägges det som inkomst.</x18tc:text>
  </x18tc:threadedComment>
  <x18tc:threadedComment ref="L45" dT="2026-04-24T08:15:17.00" personId="{7a49d26c-be78-4598-ab03-2008cd4d6763}" id="{76615476-7a97-42ca-bbfa-da27af5549d9}" done="0">
    <x18tc:text xml:space="preserve">2 st 3-mån kort per år. Resten cykla etc.
+10 per mån för köp av annat i samband med köp av kort på ex. Pressbyrån. + Liten komp. för stigande priser</x18tc:text>
  </x18tc:threadedComment>
  <x18tc:threadedComment ref="Q25" dT="2026-04-24T08:15:17.00" personId="{7a49d26c-be78-4598-ab03-2008cd4d6763}" id="{6f580531-a406-4dd2-9895-2908dc6a4706}" done="0">
    <x18tc:text xml:space="preserve">Kan läggas stabilt med 2-3år bunden ränta runt 4000. Då blir totalen 7500</x18tc:text>
  </x18tc:threadedComment>
  <x18tc:threadedComment ref="J45" dT="2026-04-24T08:15:17.00" personId="{7a49d26c-be78-4598-ab03-2008cd4d6763}" id="{faa3e6fd-5879-40e3-94ee-e0d7db36dfe0}" done="0">
    <x18tc:text xml:space="preserve">2 st 3-mån kort per år. Resten cykla etc.
+10 per mån för köp av annat i samband med köp av kort på ex. Pressbyrån. + Liten komp. för stigande priser</x18tc:text>
  </x18tc:threadedComment>
  <x18tc:threadedComment ref="M50" dT="2026-04-24T08:15:17.00" personId="{7a49d26c-be78-4598-ab03-2008cd4d6763}" id="{3eb1faa9-03e6-4aba-92ee-734f6b1bbacf}" done="0">
    <x18tc:text xml:space="preserve">9k typ rimligt för en del festivaler o supa etc.
Sen är det den vanliga kvoten på utgifter för en mån supa etc.
3000 i extra för bjuda div.
Sen bör det tillkomma ca 3k i semesterersättning.
Så runt 15k per sommar. Men kompensera bort semErs bokföringsmässigt med att lägga den klump som kommer i Spara allmänt o ha lägre månadspott på den...</x18tc:text>
  </x18tc:threadedComment>
  <x18tc:threadedComment ref="L37" dT="2026-04-24T08:15:17.00" personId="{7a49d26c-be78-4598-ab03-2008cd4d6763}" id="{8ccb5c22-0316-49a8-a8da-be92ddc498bc}" done="0">
    <x18tc:text xml:space="preserve">Alternera varannan dag mellan Ärtsoppekorv o Gulashsoppa eller billigare. 226 Arbetsdagar per år uppdelat på 12 mån. Så ev. Back i början av året o plussa på under ledighet som sommar etc...</x18tc:text>
  </x18tc:threadedComment>
  <x18tc:threadedComment ref="B32" dT="2026-04-24T08:15:17.00" personId="{d7c22b10-29a6-42cf-8636-380e356a3075}" id="{84461592-6685-4a90-be09-0ae7ddab2960}" done="0">
    <x18tc:text xml:space="preserve">El-bolaget ca 240kr, Nät-bolaget ca 120kr?</x18tc:text>
  </x18tc:threadedComment>
  <x18tc:threadedComment ref="Q37" dT="2026-04-24T08:15:17.00" personId="{7a49d26c-be78-4598-ab03-2008cd4d6763}" id="{50540791-448c-4059-a271-2f350b39822a}" done="0">
    <x18tc:text xml:space="preserve">Alternera varannan dag mellan Ärtsoppekorv o Gulashsoppa eller billigare. 226 Arbetsdagar per år uppdelat på 12 mån. Så ev. Back i början av året o plussa på under ledighet som sommar etc...</x18tc:text>
  </x18tc:threadedComment>
  <x18tc:threadedComment ref="K41" dT="2026-04-24T08:15:17.00" personId="{d2329c29-3d15-4985-bb99-73c9655ca3e0}" id="{dd8aed9f-1838-42a8-b8de-8ab802f89a9c}" done="0">
    <x18tc:text xml:space="preserve">ca 200 på varannan lördag.
Sen istället för supa ca 500
Efter seghet ev. Supa. Så blir det ca 2-3 utemat under vardag.
Så 250 varannan månad</x18tc:text>
  </x18tc:threadedComment>
  <x18tc:threadedComment ref="L50" dT="2026-04-24T08:15:17.00" personId="{7a49d26c-be78-4598-ab03-2008cd4d6763}" id="{51566c22-72ec-4165-a608-82e0ce026945}" done="0">
    <x18tc:text xml:space="preserve">9k typ rimligt för en del festivaler o supa etc.
Sen är det den vanliga kvoten på utgifter för en mån supa etc.
3000 i extra för bjuda div.
Sen bör det tillkomma ca 3k i semesterersättning.
Så runt 15k per sommar. Men kompensera bort semErs bokföringsmässigt med att lägga den klump som kommer i Spara allmänt o ha lägre månadspott på den...</x18tc:text>
  </x18tc:threadedComment>
  <x18tc:threadedComment ref="M37" dT="2026-04-24T08:15:17.00" personId="{7a49d26c-be78-4598-ab03-2008cd4d6763}" id="{b61c2150-b247-4c9f-9366-85d72bf4c57c}" done="0">
    <x18tc:text xml:space="preserve">Alternera varannan dag mellan Ärtsoppekorv o Gulashsoppa eller billigare. 226 Arbetsdagar per år uppdelat på 12 mån. Så ev. Back i början av året o plussa på under ledighet som sommar etc...</x18tc:text>
  </x18tc:threadedComment>
  <x18tc:threadedComment ref="O25" dT="2026-04-24T08:15:17.00" personId="{7a49d26c-be78-4598-ab03-2008cd4d6763}" id="{603e40bc-7086-4739-9b6d-b4b4216ffee1}" done="0">
    <x18tc:text xml:space="preserve">Kan läggas stabilt med 2-3år bunden ränta runt 4000. Då blir totalen 7500</x18tc:text>
  </x18tc:threadedComment>
  <x18tc:threadedComment ref="K37" dT="2026-04-24T08:15:17.00" personId="{7a49d26c-be78-4598-ab03-2008cd4d6763}" id="{4af7cefd-918f-4e68-9916-36f13abb09c7}" done="0">
    <x18tc:text xml:space="preserve">Alternera varannan dag mellan Ärtsoppekorv o Gulashsoppa eller billigare. 226 Arbetsdagar per år uppdelat på 12 mån. Så ev. Back i början av året o plussa på under ledighet som sommar etc...</x18tc:text>
  </x18tc:threadedComment>
  <x18tc:threadedComment ref="H45" dT="2026-04-24T08:15:17.00" personId="{7a49d26c-be78-4598-ab03-2008cd4d6763}" id="{974a2747-df1a-4afc-9a09-b7b77a5b01d3}" done="0">
    <x18tc:text xml:space="preserve">2 st 3-mån kort per år. Resten cykla etc.
+10 per mån för köp av annat i samband med köp av kort på ex. Pressbyrån. + Liten komp. för stigande priser</x18tc:text>
  </x18tc:threadedComment>
  <x18tc:threadedComment ref="B40" dT="2026-04-24T08:15:17.00" personId="{d7c22b10-29a6-42cf-8636-380e356a3075}" id="{2194bf80-fe20-4657-9b4a-bd754ee12d27}" done="0">
    <x18tc:text xml:space="preserve">ev. flytta hit 200 xtra från alk.</x18tc:text>
  </x18tc:threadedComment>
  <x18tc:threadedComment ref="K47" dT="2026-04-24T08:15:17.00" personId="{7a49d26c-be78-4598-ab03-2008cd4d6763}" id="{5f15975c-c88d-473a-bee2-0ee2cd92d7b8}" done="0">
    <x18tc:text xml:space="preserve">Åker i snitt på ett år varannan månad. Och alltid köpa för 95 kångt i förväg. Eller med poäng...</x18tc:text>
  </x18tc:threadedComment>
  <x18tc:threadedComment ref="Q47" dT="2026-04-24T08:15:17.00" personId="{7a49d26c-be78-4598-ab03-2008cd4d6763}" id="{57628932-48f4-4652-896e-244f8b27854f}" done="0">
    <x18tc:text xml:space="preserve">Åker i snitt på ett år varannan månad. Och alltid köpa för 95 kångt i förväg. Eller med poäng...</x18tc:text>
  </x18tc:threadedComment>
  <x18tc:threadedComment ref="J47" dT="2026-04-24T08:15:17.00" personId="{7a49d26c-be78-4598-ab03-2008cd4d6763}" id="{8b10b3c7-4a27-4f29-a071-61368d31f7c8}" done="0">
    <x18tc:text xml:space="preserve">Åker i snitt på ett år varannan månad. Och alltid köpa för 95 kångt i förväg. Eller med poäng...</x18tc:text>
  </x18tc:threadedComment>
  <x18tc:threadedComment ref="O45" dT="2026-04-24T08:15:17.00" personId="{7a49d26c-be78-4598-ab03-2008cd4d6763}" id="{2a10179e-e719-41f4-ada7-8de1bff6b8d4}" done="0">
    <x18tc:text xml:space="preserve">2 st 3-mån kort per år. Resten cykla etc.
+10 per mån för köp av annat i samband med köp av kort på ex. Pressbyrån. + Liten komp. för stigande priser</x18tc:text>
  </x18tc:threadedComment>
  <x18tc:threadedComment ref="C50" dT="2026-04-24T08:15:17.00" personId="{7a49d26c-be78-4598-ab03-2008cd4d6763}" id="{fbf3bf05-e437-4897-93f9-7a062e852f5d}" done="0">
    <x18tc:text xml:space="preserve">9k typ rimligt för en del festivaler o supa etc.
Sen är det den vanliga kvoten på utgifter för en mån supa etc.
3000 i extra för bjuda div.
Sen bör det tillkomma ca 3k i semesterersättning.
Så runt 15k per sommar. Men kompensera bort semErs bokföringsmässigt med att lägga den klump som kommer i Spara allmänt o ha lägre månadspott på den...</x18tc:text>
  </x18tc:threadedComment>
  <x18tc:threadedComment ref="B179" dT="2026-04-24T08:15:17.00" personId="{7a49d26c-be78-4598-ab03-2008cd4d6763}" id="{3b66ce68-516a-43cc-b180-d8d3bbe77e43}" done="0">
    <x18tc:text xml:space="preserve">Allt helgnöje och på vardagar som är trynköp på coop, pizza, annan utemat, även frukost och hygien och lunch hemlagat jobbet, men även folköl etc. Allt som inte är i samband med supa.</x18tc:text>
  </x18tc:threadedComment>
  <x18tc:threadedComment ref="H50" dT="2026-04-24T08:15:17.00" personId="{7a49d26c-be78-4598-ab03-2008cd4d6763}" id="{821574cf-631c-4c77-b438-fb0bb2e98791}" done="0">
    <x18tc:text xml:space="preserve">9k typ rimligt för en del festivaler o supa etc.
Sen är det den vanliga kvoten på utgifter för en mån supa etc.
3000 i extra för bjuda div.
Sen bör det tillkomma ca 3k i semesterersättning.
Så runt 15k per sommar. Men kompensera bort semErs bokföringsmässigt med att lägga den klump som kommer i Spara allmänt o ha lägre månadspott på den...</x18tc:text>
  </x18tc:threadedComment>
  <x18tc:threadedComment ref="M39" dT="2026-04-24T08:15:17.00" personId="{d2329c29-3d15-4985-bb99-73c9655ca3e0}" id="{5a884f07-e33b-4042-8cdb-2b24ac81b260}" done="0">
    <x18tc:text xml:space="preserve">Istället för supa ca 300/helg. 2 helger / mån.
Efter seghet ev. Supa. Så blir det ca 2-3 utemat under vardag.
Så 250 varannan helg. 2 ggr per mån</x18tc:text>
  </x18tc:threadedComment>
  <x18tc:threadedComment ref="B130" dT="2026-04-24T08:15:17.00" personId="{d7c22b10-29a6-42cf-8636-380e356a3075}" id="{03baf19c-6212-4787-ab95-6b2af29f189e}" done="0">
    <x18tc:text xml:space="preserve">Skulle kunna vara kontanter</x18tc:text>
  </x18tc:threadedComment>
  <x18tc:threadedComment ref="I41" dT="2026-04-24T08:15:17.00" personId="{d2329c29-3d15-4985-bb99-73c9655ca3e0}" id="{f6606385-04aa-4924-a8c5-2cb010b3efa3}" done="0">
    <x18tc:text xml:space="preserve">ca 200 på varannan lördag.
Sen istället för supa ca 500
Efter seghet ev. Supa. Så blir det ca 2-3 utemat under vardag.
Så 250 varannan månad</x18tc:text>
  </x18tc:threadedComment>
  <x18tc:threadedComment ref="I45" dT="2026-04-24T08:15:17.00" personId="{7a49d26c-be78-4598-ab03-2008cd4d6763}" id="{3d852d06-d997-448f-a1b3-1349b97a8da8}" done="0">
    <x18tc:text xml:space="preserve">2 st 3-mån kort per år. Resten cykla etc.
+10 per mån för köp av annat i samband med köp av kort på ex. Pressbyrån. + Liten komp. för stigande priser</x18tc:text>
  </x18tc:threadedComment>
  <x18tc:threadedComment ref="Q39" dT="2026-04-24T08:15:17.00" personId="{d2329c29-3d15-4985-bb99-73c9655ca3e0}" id="{6af2d294-5103-42d2-af21-437ef0880436}" done="0">
    <x18tc:text xml:space="preserve">Istället för supa ca 300/helg. 2 helger / mån.
Efter seghet ev. Supa. Så blir det ca 2-3 utemat under vardag.
Så 250 varannan helg. 2 ggr per mån</x18tc:text>
  </x18tc:threadedComment>
  <x18tc:threadedComment ref="H39" dT="2026-04-24T08:15:17.00" personId="{d2329c29-3d15-4985-bb99-73c9655ca3e0}" id="{d034c779-3536-463b-a854-1026b3ee07cf}" done="0">
    <x18tc:text xml:space="preserve">Istället för supa ca 300/helg. 2 helger / mån.
Efter seghet ev. Supa. Så blir det ca 2-3 utemat under vardag.
Så 250 varannan helg. 2 ggr per mån</x18tc:text>
  </x18tc:threadedComment>
  <x18tc:threadedComment ref="T118" dT="2026-04-24T08:15:17.00" personId="{d7c22b10-29a6-42cf-8636-380e356a3075}" id="{0529819a-50d8-4361-835d-75c41d727fa7}" done="0">
    <x18tc:text xml:space="preserve">El-bolaget ca 240kr, Nät-bolaget ca 120kr?</x18tc:text>
  </x18tc:threadedComment>
  <x18tc:threadedComment ref="T32" dT="2026-04-24T08:15:17.00" personId="{d7c22b10-29a6-42cf-8636-380e356a3075}" id="{789886d8-18a2-4be8-8959-08a784b3405c}" done="0">
    <x18tc:text xml:space="preserve">El-bolaget ca 240kr, Nät-bolaget ca 120kr?</x18tc:text>
  </x18tc:threadedComment>
  <x18tc:threadedComment ref="H25" dT="2026-04-24T08:15:17.00" personId="{7a49d26c-be78-4598-ab03-2008cd4d6763}" id="{fafe68d1-8cc1-45e2-8544-0eb6b94e5a7c}" done="0">
    <x18tc:text xml:space="preserve">Kan läggas stabilt med 2-3år bunden ränta runt 4000. Då blir totalen 7500</x18tc:text>
  </x18tc:threadedComment>
  <x18tc:threadedComment ref="K39" dT="2026-04-24T08:15:17.00" personId="{d2329c29-3d15-4985-bb99-73c9655ca3e0}" id="{7ba0f0db-5ce4-4f16-a374-4fdc58b69a2d}" done="0">
    <x18tc:text xml:space="preserve">Istället för supa ca 300/helg. 2 helger / mån.
Efter seghet ev. Supa. Så blir det ca 2-3 utemat under vardag.
Så 250 varannan helg. 2 ggr per mån</x18tc:text>
  </x18tc:threadedComment>
  <x18tc:threadedComment ref="Q50" dT="2026-04-24T08:15:17.00" personId="{7a49d26c-be78-4598-ab03-2008cd4d6763}" id="{6aefcffe-3ee0-4045-bb24-e6fed397794b}" done="0">
    <x18tc:text xml:space="preserve">9k typ rimligt för en del festivaler o supa etc.
Sen är det den vanliga kvoten på utgifter för en mån supa etc.
3000 i extra för bjuda div.
Sen bör det tillkomma ca 3k i semesterersättning.
Så runt 15k per sommar. Men kompensera bort semErs bokföringsmässigt med att lägga den klump som kommer i Spara allmänt o ha lägre månadspott på den...</x18tc:text>
  </x18tc:threadedComment>
  <x18tc:threadedComment ref="I39" dT="2026-04-24T08:15:17.00" personId="{d2329c29-3d15-4985-bb99-73c9655ca3e0}" id="{81c70e03-6d97-4e25-ab4f-341c1aae6186}" done="0">
    <x18tc:text xml:space="preserve">Istället för supa ca 300/helg. 2 helger / mån.
Efter seghet ev. Supa. Så blir det ca 2-3 utemat under vardag.
Så 250 varannan helg. 2 ggr per mån</x18tc:text>
  </x18tc:threadedComment>
  <x18tc:threadedComment ref="B38" dT="2026-04-24T08:15:17.00" personId="{d7c22b10-29a6-42cf-8636-380e356a3075}" id="{8e265a5a-4283-4388-af6f-b47c51d4527c}" done="0">
    <x18tc:text xml:space="preserve">Ska innefatta affärsresor, småätande där. Sedan när traktamente kommer så lägges det som inkomst.</x18tc:text>
  </x18tc:threadedComment>
  <x18tc:threadedComment ref="C39" dT="2026-04-24T08:15:17.00" personId="{d2329c29-3d15-4985-bb99-73c9655ca3e0}" id="{eeabaf52-5343-4768-b86f-ada4545c81f7}" done="0">
    <x18tc:text xml:space="preserve">Istället för supa ca 300/helg. 2 helger / mån.
Efter seghet ev. Supa. Så blir det ca 2-3 utemat under vardag.
Så 250 varannan helg. 2 ggr per mån</x18tc:text>
  </x18tc:threadedComment>
  <x18tc:threadedComment ref="H37" dT="2026-04-24T08:15:17.00" personId="{7a49d26c-be78-4598-ab03-2008cd4d6763}" id="{1da06126-5b43-4301-841a-9e682f9367d3}" done="0">
    <x18tc:text xml:space="preserve">Alternera varannan dag mellan Ärtsoppekorv o Gulashsoppa eller billigare. 226 Arbetsdagar per år uppdelat på 12 mån. Så ev. Back i början av året o plussa på under ledighet som sommar etc...</x18tc:text>
  </x18tc:threadedComment>
  <x18tc:threadedComment ref="C45" dT="2026-04-24T08:15:17.00" personId="{7a49d26c-be78-4598-ab03-2008cd4d6763}" id="{401b0a6e-9941-43f6-9c29-d34a61e1d871}" done="0">
    <x18tc:text xml:space="preserve">2 st 3-mån kort per år. Resten cykla etc.
+10 per mån för köp av annat i samband med köp av kort på ex. Pressbyrån. + Liten komp. för stigande priser</x18tc:text>
  </x18tc:threadedComment>
  <x18tc:threadedComment ref="T25" dT="2026-04-24T08:15:17.00" personId="{d7c22b10-29a6-42cf-8636-380e356a3075}" id="{97fe2141-31f3-4736-8885-0bc79c980bb3}" done="0">
    <x18tc:text xml:space="preserve">Inte inkl. 11k amortering längre, amortering är i amorterings-kategorin (spara till amortering), men inte ändrat namnet i alla system än...</x18tc:text>
  </x18tc:threadedComment>
  <x18tc:threadedComment ref="L25" dT="2026-04-24T08:15:17.00" personId="{7a49d26c-be78-4598-ab03-2008cd4d6763}" id="{744c264e-c281-473c-af55-a54b50669d87}" done="0">
    <x18tc:text xml:space="preserve">Kan läggas stabilt med 2-3år bunden ränta runt 4000. Då blir totalen 7500</x18tc:text>
  </x18tc:threadedComment>
  <x18tc:threadedComment ref="K45" dT="2026-04-24T08:15:17.00" personId="{7a49d26c-be78-4598-ab03-2008cd4d6763}" id="{2957f622-7d7f-46d7-a5c9-b3c61773da24}" done="0">
    <x18tc:text xml:space="preserve">2 st 3-mån kort per år. Resten cykla etc.
+10 per mån för köp av annat i samband med köp av kort på ex. Pressbyrån. + Liten komp. för stigande priser</x18tc:text>
  </x18tc:threadedComment>
  <x18tc:threadedComment ref="C25" dT="2026-04-24T08:15:17.00" personId="{7a49d26c-be78-4598-ab03-2008cd4d6763}" id="{690edb90-e4c3-44cd-83d6-10745ba163db}" done="0">
    <x18tc:text xml:space="preserve">Kan läggas stabilt med 2-3år bunden ränta runt 4000. Då blir totalen 7500</x18tc:text>
  </x18tc:threadedComment>
  <x18tc:threadedComment ref="I25" dT="2026-04-24T08:15:17.00" personId="{7a49d26c-be78-4598-ab03-2008cd4d6763}" id="{e3a192da-dbf2-430b-b18d-34e181749b97}" done="0">
    <x18tc:text xml:space="preserve">Kan läggas stabilt med 2-3år bunden ränta runt 4000. Då blir totalen 7500</x18tc:text>
  </x18tc:threadedComment>
  <x18tc:threadedComment ref="E22" dT="2026-04-24T08:15:17.00" personId="{d7c22b10-29a6-42cf-8636-380e356a3075}" id="{b6a0330b-f098-46a5-b3f5-41293a74c393}" done="0">
    <x18tc:text xml:space="preserve">Månader innan supande kan börja igen</x18tc:text>
  </x18tc:threadedComment>
  <x18tc:threadedComment ref="S126" dT="2026-04-24T08:15:17.00" personId="{d7c22b10-29a6-42cf-8636-380e356a3075}" id="{92ed1b2d-2a51-48da-92db-9784b1ca33d2}" done="0">
    <x18tc:text xml:space="preserve">Hm, bättre man äter lite så man kommer tillbaka till livet…höja denne ev.</x18tc:text>
  </x18tc:threadedComment>
  <x18tc:threadedComment ref="C37" dT="2026-04-24T08:15:17.00" personId="{7a49d26c-be78-4598-ab03-2008cd4d6763}" id="{77a99cd4-00e7-4c84-bba1-82ff18c983bd}" done="0">
    <x18tc:text xml:space="preserve">Alternera varannan dag mellan Ärtsoppekorv o Gulashsoppa eller billigare. 226 Arbetsdagar per år uppdelat på 12 mån. Så ev. Back i början av året o plussa på under ledighet som sommar etc...</x18tc:text>
  </x18tc:threadedComment>
  <x18tc:threadedComment ref="S120" dT="2026-04-24T08:15:17.00" personId="{d2329c29-3d15-4985-bb99-73c9655ca3e0}" id="{cea819af-a857-4f22-9b8c-3c75b0728225}" done="0">
    <x18tc:text xml:space="preserve">ev. skrapa till ny telefon.
Byter man abbonnemang så kan man ibland få gratismånader etc. och då kan denna jämna ut sig</x18tc:text>
  </x18tc:threadedComment>
  <x18tc:threadedComment ref="G39" dT="2026-04-24T08:15:17.00" personId="{d2329c29-3d15-4985-bb99-73c9655ca3e0}" id="{91f8de3c-1c84-4937-973c-4ac3f3c5e67a}" done="0">
    <x18tc:text xml:space="preserve">Istället för supa ca 300/helg. 2 helger / mån.
Efter seghet ev. Supa. Så blir det ca 2-3 utemat under vardag.
Så 250 varannan helg. 2 ggr per mån</x18tc:text>
  </x18tc:threadedComment>
  <x18tc:threadedComment ref="J50" dT="2026-04-24T08:15:17.00" personId="{7a49d26c-be78-4598-ab03-2008cd4d6763}" id="{9f85829a-8c8d-44a1-8a9a-d981b4ad774e}" done="0">
    <x18tc:text xml:space="preserve">9k typ rimligt för en del festivaler o supa etc.
Sen är det den vanliga kvoten på utgifter för en mån supa etc.
3000 i extra för bjuda div.
Sen bör det tillkomma ca 3k i semesterersättning.
Så runt 15k per sommar. Men kompensera bort semErs bokföringsmässigt med att lägga den klump som kommer i Spara allmänt o ha lägre månadspott på den...</x18tc:text>
  </x18tc:threadedComment>
  <x18tc:threadedComment ref="B41" dT="2026-04-24T08:15:17.00" personId="{7a49d26c-be78-4598-ab03-2008cd4d6763}" id="{b33a241a-a015-4758-91b7-e48087caa5bd}" done="0">
    <x18tc:text xml:space="preserve">Cigg eg.</x18tc:text>
  </x18tc:threadedComment>
  <x18tc:threadedComment ref="L47" dT="2026-04-24T08:15:17.00" personId="{7a49d26c-be78-4598-ab03-2008cd4d6763}" id="{dcc2129f-dc2b-464f-9705-e9ce0fc101d6}" done="0">
    <x18tc:text xml:space="preserve">Åker i snitt på ett år varannan månad. Och alltid köpa för 95 kångt i förväg. Eller med poäng...</x18tc:text>
  </x18tc:threadedComment>
  <x18tc:threadedComment ref="B50" dT="2026-04-24T08:15:17.00" personId="{7a49d26c-be78-4598-ab03-2008cd4d6763}" id="{beb829ba-26e4-4781-8290-f9292107a5bd}" done="0">
    <x18tc:text xml:space="preserve">Augusti är första insättningen på nästa års sommar (5 st insättningar på hösten). 7 på våren inkl. Juli som tanken är att det ska användas</x18tc:text>
  </x18tc:threadedComment>
  <x18tc:threadedComment ref="F3" dT="2026-04-24T08:15:17.00" personId="{d7c22b10-29a6-42cf-8636-380e356a3075}" id="{1149b6fa-61fe-447a-a05f-ac3c16a7ebe5}" done="0">
    <x18tc:text xml:space="preserve">Det är definitivt en gömställe</x18tc:text>
  </x18tc:threadedComment>
  <x18tc:threadedComment ref="T111" dT="2026-04-24T08:15:17.00" personId="{d7c22b10-29a6-42cf-8636-380e356a3075}" id="{727c3176-8306-4af7-b5f7-12da7f1be736}" done="0">
    <x18tc:text xml:space="preserve">Inte inkl. 11k amortering längre, amortering är i amorterings-kategorin (spara till amortering), men inte ändrat namnet i alla system än...</x18tc:text>
  </x18tc:threadedComment>
  <x18tc:threadedComment ref="G45" dT="2026-04-24T08:15:17.00" personId="{7a49d26c-be78-4598-ab03-2008cd4d6763}" id="{bc5c12d3-d137-40db-80ad-42b1bbc5801f}" done="0">
    <x18tc:text xml:space="preserve">2 st 3-mån kort per år. Resten cykla etc.
+10 per mån för köp av annat i samband med köp av kort på ex. Pressbyrån. + Liten komp. för stigande priser</x18tc:text>
  </x18tc:threadedComment>
  <x18tc:threadedComment ref="I37" dT="2026-04-24T08:15:17.00" personId="{7a49d26c-be78-4598-ab03-2008cd4d6763}" id="{adaad399-1a88-4c64-a4c5-74905317186b}" done="0">
    <x18tc:text xml:space="preserve">Alternera varannan dag mellan Ärtsoppekorv o Gulashsoppa eller billigare. 226 Arbetsdagar per år uppdelat på 12 mån. Så ev. Back i början av året o plussa på under ledighet som sommar etc...</x18tc:text>
  </x18tc:threadedComment>
  <x18tc:threadedComment ref="G50" dT="2026-04-24T08:15:17.00" personId="{7a49d26c-be78-4598-ab03-2008cd4d6763}" id="{18481819-4a5c-4e0f-801d-e66e4d66749b}" done="0">
    <x18tc:text xml:space="preserve">9k typ rimligt för en del festivaler o supa etc.
Sen är det den vanliga kvoten på utgifter för en mån supa etc.
3000 i extra för bjuda div.
Sen bör det tillkomma ca 3k i semesterersättning.
Så runt 15k per sommar. Men kompensera bort semErs bokföringsmässigt med att lägga den klump som kommer i Spara allmänt o ha lägre månadspott på den...</x18tc:text>
  </x18tc:threadedComment>
  <x18tc:threadedComment ref="L39" dT="2026-04-24T08:15:17.00" personId="{d2329c29-3d15-4985-bb99-73c9655ca3e0}" id="{10fda934-0e7a-42eb-8840-d386d79959b9}" done="0">
    <x18tc:text xml:space="preserve">Istället för supa ca 300/helg. 2 helger / mån.
Efter seghet ev. Supa. Så blir det ca 2-3 utemat under vardag.
Så 250 varannan helg. 2 ggr per mån</x18tc:text>
  </x18tc:threadedComment>
  <x18tc:threadedComment ref="Q45" dT="2026-04-24T08:15:17.00" personId="{7a49d26c-be78-4598-ab03-2008cd4d6763}" id="{f6a6b135-3d34-4fa6-b62d-417e0a710c46}" done="0">
    <x18tc:text xml:space="preserve">2 st 3-mån kort per år. Resten cykla etc.
+10 per mån för köp av annat i samband med köp av kort på ex. Pressbyrån. + Liten komp. för stigande priser</x18tc:text>
  </x18tc:threadedComment>
  <x18tc:threadedComment ref="C47" dT="2026-04-24T08:15:17.00" personId="{7a49d26c-be78-4598-ab03-2008cd4d6763}" id="{832560f3-590d-4f72-87e8-04560ecc012e}" done="0">
    <x18tc:text xml:space="preserve">Åker i snitt på ett år varannan månad. Och alltid köpa för 95 kångt i förväg. Eller med poäng...</x18tc:text>
  </x18tc:threadedComment>
  <x18tc:threadedComment ref="S123" dT="2026-04-24T08:15:17.00" personId="{d7c22b10-29a6-42cf-8636-380e356a3075}" id="{9a69de4b-19eb-477c-a796-dc164900c840}" done="0">
    <x18tc:text xml:space="preserve">Dessa kostnader har lagts på hemlagad. 
Kan användas för att balansera hemlagad</x18tc:text>
  </x18tc:threadedComment>
  <x18tc:threadedComment ref="S139" dT="2026-04-24T08:15:17.00" personId="{51b23043-b373-4739-9639-18158ffd3ea7}" id="{5c73f29f-4124-417e-ab9a-e7b453ca52d2}" done="0">
    <x18tc:text xml:space="preserve">Bälte, Behöver lite fler pike kanse, men ej riktigt.</x18tc:text>
  </x18tc:threadedComment>
  <x18tc:threadedComment ref="B129" dT="2026-04-24T08:15:17.00" personId="{d7c22b10-29a6-42cf-8636-380e356a3075}" id="{862dc7ed-e9bc-4c11-a214-3a40c406a398}" done="0">
    <x18tc:text xml:space="preserve">Även tåg hem från galna suparesor.</x18tc:text>
  </x18tc:threadedComment>
  <x18tc:threadedComment ref="O39" dT="2026-04-24T08:15:17.00" personId="{d2329c29-3d15-4985-bb99-73c9655ca3e0}" id="{da6cb9f2-4a07-4137-b36f-31fc316e373f}" done="0">
    <x18tc:text xml:space="preserve">Istället för supa ca 300/helg. 2 helger / mån.
Efter seghet ev. Supa. Så blir det ca 2-3 utemat under vardag.
Så 250 varannan helg. 2 ggr per mån</x18tc:text>
  </x18tc:threadedComment>
  <x18tc:threadedComment ref="S118" dT="2026-04-24T08:15:17.00" personId="{51b23043-b373-4739-9639-18158ffd3ea7}" id="{810f8621-a5de-41b0-a643-9c754c40a138}" done="0">
    <x18tc:text xml:space="preserve">Kan bli en vindkraftsandel till slut?</x18tc:text>
  </x18tc:threadedComment>
  <x18tc:threadedComment ref="T86" dT="2026-04-24T08:15:17.00" personId="{d7c22b10-29a6-42cf-8636-380e356a3075}" id="{29abb191-539a-4898-b7ce-d06a3bda707b}" done="0">
    <x18tc:text xml:space="preserve">Ska innefatta affärsresor, småätande där. Sedan när traktamente kommer så lägges det som inkomst.</x18tc:text>
  </x18tc:threadedComment>
  <x18tc:threadedComment ref="G47" dT="2026-04-24T08:15:17.00" personId="{7a49d26c-be78-4598-ab03-2008cd4d6763}" id="{c5175e45-e139-4bad-b70d-42808c785d8b}" done="0">
    <x18tc:text xml:space="preserve">Åker i snitt på ett år varannan månad. Och alltid köpa för 95 kångt i förväg. Eller med poäng...</x18tc:text>
  </x18tc:threadedComment>
  <x18tc:threadedComment ref="J39" dT="2026-04-24T08:15:17.00" personId="{d2329c29-3d15-4985-bb99-73c9655ca3e0}" id="{2801c35a-4a90-4383-bf1a-e7f0fc7544d7}" done="0">
    <x18tc:text xml:space="preserve">Istället för supa ca 300/helg. 2 helger / mån.
Efter seghet ev. Supa. Så blir det ca 2-3 utemat under vardag.
Så 250 varannan helg. 2 ggr per mån</x18tc:text>
  </x18tc:threadedComment>
  <x18tc:threadedComment ref="O41" dT="2026-04-24T08:15:17.00" personId="{d2329c29-3d15-4985-bb99-73c9655ca3e0}" id="{e2285256-90a0-4b98-a78e-56b622f51f90}" done="0">
    <x18tc:text xml:space="preserve">ca 200 på varannan lördag.
Sen istället för supa ca 500
Efter seghet ev. Supa. Så blir det ca 2-3 utemat under vardag.
Så 250 varannan månad</x18tc:text>
  </x18tc:threadedComment>
  <x18tc:threadedComment ref="I50" dT="2026-04-24T08:15:17.00" personId="{7a49d26c-be78-4598-ab03-2008cd4d6763}" id="{a10da4be-1668-4f86-9961-a977f42a9211}" done="0">
    <x18tc:text xml:space="preserve">9k typ rimligt för en del festivaler o supa etc.
Sen är det den vanliga kvoten på utgifter för en mån supa etc.
3000 i extra för bjuda div.
Sen bör det tillkomma ca 3k i semesterersättning.
Så runt 15k per sommar. Men kompensera bort semErs bokföringsmässigt med att lägga den klump som kommer i Spara allmänt o ha lägre månadspott på den...</x18tc:text>
  </x18tc:threadedComment>
  <x18tc:threadedComment ref="T73" dT="2026-04-24T08:15:17.00" personId="{d7c22b10-29a6-42cf-8636-380e356a3075}" id="{a38af0bc-a253-46a8-b822-19e5d4c128ce}" done="0">
    <x18tc:text xml:space="preserve">Inte inkl. 11k amortering längre, amortering är i amorterings-kategorin (spara till amortering), men inte ändrat namnet i alla system än...</x18tc:text>
  </x18tc:threadedComment>
  <x18tc:threadedComment ref="O50" dT="2026-04-24T08:15:17.00" personId="{7a49d26c-be78-4598-ab03-2008cd4d6763}" id="{aaf752ed-66e8-48cf-b37d-ce3bad76e6a6}" done="0">
    <x18tc:text xml:space="preserve">9k typ rimligt för en del festivaler o supa etc.
Sen är det den vanliga kvoten på utgifter för en mån supa etc.
3000 i extra för bjuda div.
Sen bör det tillkomma ca 3k i semesterersättning.
Så runt 15k per sommar. Men kompensera bort semErs bokföringsmässigt med att lägga den klump som kommer i Spara allmänt o ha lägre månadspott på den...</x18tc:text>
  </x18tc:threadedComment>
  <x18tc:threadedComment ref="S127" dT="2026-04-24T08:15:17.00" personId="{51b23043-b373-4739-9639-18158ffd3ea7}" id="{dd103104-8ef0-43d5-b46a-fd06c2506e3b}" done="0">
    <x18tc:text xml:space="preserve">Kan vara från Mat isms oxo här...</x18tc:text>
  </x18tc:threadedComment>
  <x18tc:threadedComment ref="G25" dT="2026-04-24T08:15:17.00" personId="{7a49d26c-be78-4598-ab03-2008cd4d6763}" id="{ed5be909-424f-4583-a64d-ec7362f5e6a3}" done="0">
    <x18tc:text xml:space="preserve">Kan läggas stabilt med 2-3år bunden ränta runt 4000. Då blir totalen 7500</x18tc:text>
  </x18tc:threadedComment>
  <x18tc:threadedComment ref="K25" dT="2026-04-24T08:15:17.00" personId="{7a49d26c-be78-4598-ab03-2008cd4d6763}" id="{14b29e5e-99a7-4e1c-a421-cd68ac4dc8c3}" done="0">
    <x18tc:text xml:space="preserve">Kan läggas stabilt med 2-3år bunden ränta runt 4000. Då blir totalen 7500</x18tc:text>
  </x18tc:threadedComment>
  <x18tc:threadedComment ref="C177" dT="2026-04-24T08:15:17.00" personId="{d2329c29-3d15-4985-bb99-73c9655ca3e0}" id="{8c58e969-7efa-4292-9b9e-114788e52251}" done="0">
    <x18tc:text xml:space="preserve">Man kan ta fram miniräknare i telefonen och skriva in vad man köper, sätt 750kr/helg. Sen köper man tills det är slut, alt. Tar ut cash, vid supa.</x18tc:text>
  </x18tc:threadedComment>
  <x18tc:threadedComment ref="M25" dT="2026-04-24T08:15:17.00" personId="{7a49d26c-be78-4598-ab03-2008cd4d6763}" id="{14d85c3b-21a9-46ec-8d66-7ec7138a42f5}" done="0">
    <x18tc:text xml:space="preserve">Kan läggas stabilt med 2-3år bunden ränta runt 4000. Då blir totalen 7500</x18tc:text>
  </x18tc:threadedComment>
  <x18tc:threadedComment ref="B25" dT="2026-04-24T08:15:17.00" personId="{d7c22b10-29a6-42cf-8636-380e356a3075}" id="{863857d2-ad73-4191-abe1-07a019184b44}" done="0">
    <x18tc:text xml:space="preserve">Inte inkl. 11k amortering längre, amortering är i amorterings-kategorin (spara till amortering), men inte ändrat namnet i alla system än...</x18tc:text>
  </x18tc:threadedComment>
  <x18tc:threadedComment ref="Q41" dT="2026-04-24T08:15:17.00" personId="{d2329c29-3d15-4985-bb99-73c9655ca3e0}" id="{ebfa8bec-5b7c-4d79-be96-f1bda387d8e0}" done="0">
    <x18tc:text xml:space="preserve">ca 200 på varannan lördag.
Sen istället för supa ca 500
Efter seghet ev. Supa. Så blir det ca 2-3 utemat under vardag.
Så 250 varannan månad</x18tc:text>
  </x18tc:threadedComment>
  <x18tc:threadedComment ref="J37" dT="2026-04-24T08:15:17.00" personId="{7a49d26c-be78-4598-ab03-2008cd4d6763}" id="{30d42515-c33f-4d29-8e6b-1d06c48fd40c}" done="0">
    <x18tc:text xml:space="preserve">Alternera varannan dag mellan Ärtsoppekorv o Gulashsoppa eller billigare. 226 Arbetsdagar per år uppdelat på 12 mån. Så ev. Back i början av året o plussa på under ledighet som sommar etc...</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4.xml"/><Relationship Id="rId5"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6.88"/>
    <col customWidth="1" min="2" max="2" width="3.0"/>
    <col customWidth="1" min="3" max="3" width="4.38"/>
    <col customWidth="1" min="4" max="4" width="57.38"/>
    <col customWidth="1" min="5" max="5" width="9.75"/>
    <col customWidth="1" min="6" max="7" width="9.0"/>
    <col customWidth="1" min="8" max="8" width="26.25"/>
    <col customWidth="1" min="9" max="9" width="8.63"/>
    <col customWidth="1" min="10" max="10" width="9.38"/>
    <col customWidth="1" min="11" max="11" width="10.88"/>
    <col customWidth="1" min="12" max="12" width="7.25"/>
    <col customWidth="1" min="13" max="26" width="8.63"/>
  </cols>
  <sheetData>
    <row r="1" ht="12.75" customHeight="1">
      <c r="A1" s="1" t="s">
        <v>0</v>
      </c>
      <c r="B1" s="1" t="s">
        <v>1</v>
      </c>
      <c r="C1" s="1" t="s">
        <v>2</v>
      </c>
      <c r="D1" s="1" t="s">
        <v>3</v>
      </c>
      <c r="E1" s="1" t="s">
        <v>4</v>
      </c>
      <c r="F1" s="1" t="s">
        <v>5</v>
      </c>
      <c r="G1" s="1" t="s">
        <v>6</v>
      </c>
      <c r="H1" s="1" t="s">
        <v>7</v>
      </c>
      <c r="I1" s="1"/>
      <c r="J1" s="1"/>
      <c r="K1" s="1"/>
      <c r="L1" s="1" t="s">
        <v>8</v>
      </c>
    </row>
    <row r="2" ht="12.75" customHeight="1">
      <c r="A2" s="2">
        <v>2015.0</v>
      </c>
      <c r="B2" s="2">
        <v>12.0</v>
      </c>
      <c r="C2" s="2">
        <v>30.0</v>
      </c>
      <c r="D2" s="2" t="s">
        <v>9</v>
      </c>
      <c r="E2" s="2">
        <v>-7824.0</v>
      </c>
      <c r="F2" s="2">
        <v>0.0</v>
      </c>
      <c r="G2" s="2">
        <f t="shared" ref="G2:G1655" si="1">E2</f>
        <v>-7824</v>
      </c>
      <c r="H2" s="2" t="s">
        <v>10</v>
      </c>
      <c r="L2" s="2" t="s">
        <v>11</v>
      </c>
    </row>
    <row r="3" ht="12.75" customHeight="1">
      <c r="A3" s="2">
        <v>2015.0</v>
      </c>
      <c r="B3" s="2">
        <v>12.0</v>
      </c>
      <c r="C3" s="2">
        <v>30.0</v>
      </c>
      <c r="D3" s="2" t="s">
        <v>12</v>
      </c>
      <c r="E3" s="2">
        <v>-11093.58</v>
      </c>
      <c r="F3" s="2">
        <v>0.0</v>
      </c>
      <c r="G3" s="2">
        <f t="shared" si="1"/>
        <v>-11093.58</v>
      </c>
      <c r="H3" s="2" t="s">
        <v>13</v>
      </c>
      <c r="L3" s="2" t="s">
        <v>11</v>
      </c>
    </row>
    <row r="4" ht="12.75" customHeight="1">
      <c r="A4" s="2">
        <v>2015.0</v>
      </c>
      <c r="B4" s="2">
        <v>12.0</v>
      </c>
      <c r="C4" s="2">
        <v>30.0</v>
      </c>
      <c r="D4" s="2" t="s">
        <v>14</v>
      </c>
      <c r="E4" s="2">
        <v>-4007.0</v>
      </c>
      <c r="F4" s="2">
        <v>0.0</v>
      </c>
      <c r="G4" s="2">
        <f t="shared" si="1"/>
        <v>-4007</v>
      </c>
      <c r="H4" s="2" t="s">
        <v>10</v>
      </c>
      <c r="L4" s="2" t="s">
        <v>11</v>
      </c>
    </row>
    <row r="5" ht="12.75" customHeight="1">
      <c r="A5" s="2">
        <v>2015.0</v>
      </c>
      <c r="B5" s="2">
        <v>12.0</v>
      </c>
      <c r="C5" s="2">
        <v>30.0</v>
      </c>
      <c r="D5" s="2" t="s">
        <v>15</v>
      </c>
      <c r="E5" s="2">
        <v>-207.8</v>
      </c>
      <c r="F5" s="2">
        <v>0.0</v>
      </c>
      <c r="G5" s="2">
        <f t="shared" si="1"/>
        <v>-207.8</v>
      </c>
      <c r="H5" s="2" t="s">
        <v>10</v>
      </c>
      <c r="L5" s="2" t="s">
        <v>11</v>
      </c>
    </row>
    <row r="6" ht="12.75" customHeight="1">
      <c r="A6" s="2">
        <v>2015.0</v>
      </c>
      <c r="B6" s="2">
        <v>12.0</v>
      </c>
      <c r="C6" s="2">
        <v>30.0</v>
      </c>
      <c r="D6" s="2" t="s">
        <v>16</v>
      </c>
      <c r="E6" s="2">
        <v>-153.0</v>
      </c>
      <c r="F6" s="2">
        <v>0.0</v>
      </c>
      <c r="G6" s="2">
        <f t="shared" si="1"/>
        <v>-153</v>
      </c>
      <c r="H6" s="2" t="s">
        <v>17</v>
      </c>
      <c r="L6" s="2" t="s">
        <v>11</v>
      </c>
    </row>
    <row r="7" ht="12.75" customHeight="1">
      <c r="A7" s="2">
        <v>2015.0</v>
      </c>
      <c r="B7" s="2">
        <v>12.0</v>
      </c>
      <c r="C7" s="2">
        <v>30.0</v>
      </c>
      <c r="D7" s="2">
        <v>4.7516877E7</v>
      </c>
      <c r="E7" s="2">
        <v>1000.0</v>
      </c>
      <c r="F7" s="2">
        <v>0.0</v>
      </c>
      <c r="G7" s="2">
        <f t="shared" si="1"/>
        <v>1000</v>
      </c>
      <c r="H7" s="2" t="s">
        <v>18</v>
      </c>
      <c r="L7" s="2" t="s">
        <v>11</v>
      </c>
    </row>
    <row r="8" ht="12.75" customHeight="1">
      <c r="A8" s="2">
        <v>2015.0</v>
      </c>
      <c r="B8" s="2">
        <v>12.0</v>
      </c>
      <c r="C8" s="2">
        <v>29.0</v>
      </c>
      <c r="D8" s="2" t="s">
        <v>19</v>
      </c>
      <c r="E8" s="2">
        <v>-320.0</v>
      </c>
      <c r="F8" s="2">
        <v>0.0</v>
      </c>
      <c r="G8" s="2">
        <f t="shared" si="1"/>
        <v>-320</v>
      </c>
      <c r="H8" s="2" t="s">
        <v>20</v>
      </c>
      <c r="L8" s="2" t="s">
        <v>11</v>
      </c>
    </row>
    <row r="9" ht="12.75" customHeight="1">
      <c r="A9" s="2">
        <v>2015.0</v>
      </c>
      <c r="B9" s="2">
        <v>12.0</v>
      </c>
      <c r="C9" s="2">
        <v>29.0</v>
      </c>
      <c r="D9" s="2" t="s">
        <v>21</v>
      </c>
      <c r="E9" s="2">
        <v>-299.0</v>
      </c>
      <c r="F9" s="2">
        <v>0.0</v>
      </c>
      <c r="G9" s="2">
        <f t="shared" si="1"/>
        <v>-299</v>
      </c>
      <c r="H9" s="2" t="s">
        <v>22</v>
      </c>
      <c r="L9" s="2" t="s">
        <v>11</v>
      </c>
    </row>
    <row r="10" ht="12.75" customHeight="1">
      <c r="A10" s="2">
        <v>2015.0</v>
      </c>
      <c r="B10" s="2">
        <v>12.0</v>
      </c>
      <c r="C10" s="2">
        <v>29.0</v>
      </c>
      <c r="D10" s="2" t="s">
        <v>23</v>
      </c>
      <c r="E10" s="2">
        <v>-298.0</v>
      </c>
      <c r="F10" s="2">
        <v>0.0</v>
      </c>
      <c r="G10" s="2">
        <f t="shared" si="1"/>
        <v>-298</v>
      </c>
      <c r="H10" s="2" t="s">
        <v>24</v>
      </c>
      <c r="L10" s="2" t="s">
        <v>11</v>
      </c>
    </row>
    <row r="11" ht="12.75" customHeight="1">
      <c r="A11" s="2">
        <v>2015.0</v>
      </c>
      <c r="B11" s="2">
        <v>12.0</v>
      </c>
      <c r="C11" s="2">
        <v>28.0</v>
      </c>
      <c r="D11" s="2" t="s">
        <v>25</v>
      </c>
      <c r="E11" s="2">
        <v>-100.0</v>
      </c>
      <c r="F11" s="2">
        <v>0.0</v>
      </c>
      <c r="G11" s="2">
        <f t="shared" si="1"/>
        <v>-100</v>
      </c>
      <c r="H11" s="2" t="s">
        <v>26</v>
      </c>
      <c r="L11" s="2" t="s">
        <v>11</v>
      </c>
    </row>
    <row r="12" ht="12.75" customHeight="1">
      <c r="A12" s="2">
        <v>2015.0</v>
      </c>
      <c r="B12" s="2">
        <v>12.0</v>
      </c>
      <c r="C12" s="2">
        <v>28.0</v>
      </c>
      <c r="D12" s="2" t="s">
        <v>27</v>
      </c>
      <c r="E12" s="2">
        <v>-5000.0</v>
      </c>
      <c r="F12" s="2">
        <v>0.0</v>
      </c>
      <c r="G12" s="2">
        <f t="shared" si="1"/>
        <v>-5000</v>
      </c>
      <c r="H12" s="2" t="s">
        <v>28</v>
      </c>
      <c r="L12" s="2" t="s">
        <v>11</v>
      </c>
    </row>
    <row r="13" ht="12.75" customHeight="1">
      <c r="A13" s="2">
        <v>2015.0</v>
      </c>
      <c r="B13" s="2">
        <v>12.0</v>
      </c>
      <c r="C13" s="2">
        <v>28.0</v>
      </c>
      <c r="D13" s="2" t="s">
        <v>27</v>
      </c>
      <c r="E13" s="2">
        <v>5000.0</v>
      </c>
      <c r="F13" s="2">
        <v>0.0</v>
      </c>
      <c r="G13" s="2">
        <f t="shared" si="1"/>
        <v>5000</v>
      </c>
      <c r="H13" s="2" t="s">
        <v>28</v>
      </c>
      <c r="L13" s="2" t="s">
        <v>11</v>
      </c>
    </row>
    <row r="14" ht="12.75" customHeight="1">
      <c r="A14" s="2">
        <v>2015.0</v>
      </c>
      <c r="B14" s="2">
        <v>12.0</v>
      </c>
      <c r="C14" s="2">
        <v>28.0</v>
      </c>
      <c r="D14" s="2" t="s">
        <v>29</v>
      </c>
      <c r="E14" s="2">
        <v>-1250.0</v>
      </c>
      <c r="F14" s="2">
        <v>0.0</v>
      </c>
      <c r="G14" s="2">
        <f t="shared" si="1"/>
        <v>-1250</v>
      </c>
      <c r="H14" s="2" t="s">
        <v>18</v>
      </c>
      <c r="L14" s="2" t="s">
        <v>11</v>
      </c>
    </row>
    <row r="15" ht="12.75" customHeight="1">
      <c r="A15" s="2">
        <v>2015.0</v>
      </c>
      <c r="B15" s="2">
        <v>12.0</v>
      </c>
      <c r="C15" s="2">
        <v>27.0</v>
      </c>
      <c r="D15" s="2" t="s">
        <v>30</v>
      </c>
      <c r="E15" s="2">
        <v>-402.65</v>
      </c>
      <c r="F15" s="2">
        <v>0.0</v>
      </c>
      <c r="G15" s="2">
        <f t="shared" si="1"/>
        <v>-402.65</v>
      </c>
      <c r="H15" s="2" t="s">
        <v>31</v>
      </c>
      <c r="L15" s="2" t="s">
        <v>11</v>
      </c>
    </row>
    <row r="16" ht="12.75" customHeight="1">
      <c r="A16" s="2">
        <v>2015.0</v>
      </c>
      <c r="B16" s="2">
        <v>12.0</v>
      </c>
      <c r="C16" s="2">
        <v>25.0</v>
      </c>
      <c r="D16" s="2" t="s">
        <v>32</v>
      </c>
      <c r="E16" s="2">
        <v>60.0</v>
      </c>
      <c r="F16" s="2">
        <v>0.0</v>
      </c>
      <c r="G16" s="2">
        <f t="shared" si="1"/>
        <v>60</v>
      </c>
      <c r="H16" s="2" t="s">
        <v>31</v>
      </c>
      <c r="L16" s="2" t="s">
        <v>11</v>
      </c>
    </row>
    <row r="17" ht="12.75" customHeight="1">
      <c r="A17" s="2">
        <v>2015.0</v>
      </c>
      <c r="B17" s="2">
        <v>12.0</v>
      </c>
      <c r="C17" s="2">
        <v>25.0</v>
      </c>
      <c r="D17" s="2" t="s">
        <v>33</v>
      </c>
      <c r="E17" s="2">
        <v>-278.4</v>
      </c>
      <c r="F17" s="2">
        <v>0.0</v>
      </c>
      <c r="G17" s="2">
        <f t="shared" si="1"/>
        <v>-278.4</v>
      </c>
      <c r="H17" s="2" t="s">
        <v>31</v>
      </c>
      <c r="L17" s="2" t="s">
        <v>11</v>
      </c>
    </row>
    <row r="18" ht="12.75" customHeight="1">
      <c r="A18" s="2">
        <v>2015.0</v>
      </c>
      <c r="B18" s="2">
        <v>12.0</v>
      </c>
      <c r="C18" s="2">
        <v>25.0</v>
      </c>
      <c r="D18" s="2" t="s">
        <v>33</v>
      </c>
      <c r="E18" s="2">
        <v>-113.0</v>
      </c>
      <c r="F18" s="2">
        <v>0.0</v>
      </c>
      <c r="G18" s="2">
        <f t="shared" si="1"/>
        <v>-113</v>
      </c>
      <c r="H18" s="2" t="s">
        <v>31</v>
      </c>
      <c r="L18" s="2" t="s">
        <v>11</v>
      </c>
    </row>
    <row r="19" ht="12.75" customHeight="1">
      <c r="A19" s="2">
        <v>2015.0</v>
      </c>
      <c r="B19" s="2">
        <v>12.0</v>
      </c>
      <c r="C19" s="2">
        <v>24.0</v>
      </c>
      <c r="D19" s="2" t="s">
        <v>34</v>
      </c>
      <c r="E19" s="2">
        <v>1000.0</v>
      </c>
      <c r="F19" s="2">
        <v>0.0</v>
      </c>
      <c r="G19" s="2">
        <f t="shared" si="1"/>
        <v>1000</v>
      </c>
      <c r="H19" s="2" t="s">
        <v>35</v>
      </c>
      <c r="L19" s="2" t="s">
        <v>11</v>
      </c>
    </row>
    <row r="20" ht="12.75" customHeight="1">
      <c r="A20" s="2">
        <v>2015.0</v>
      </c>
      <c r="B20" s="2">
        <v>12.0</v>
      </c>
      <c r="C20" s="2">
        <v>23.0</v>
      </c>
      <c r="D20" s="2" t="s">
        <v>36</v>
      </c>
      <c r="E20" s="2">
        <v>-306.17</v>
      </c>
      <c r="F20" s="2">
        <v>0.0</v>
      </c>
      <c r="G20" s="2">
        <f t="shared" si="1"/>
        <v>-306.17</v>
      </c>
      <c r="H20" s="2" t="s">
        <v>31</v>
      </c>
      <c r="L20" s="2" t="s">
        <v>11</v>
      </c>
    </row>
    <row r="21" ht="12.75" customHeight="1">
      <c r="A21" s="2">
        <v>2015.0</v>
      </c>
      <c r="B21" s="2">
        <v>12.0</v>
      </c>
      <c r="C21" s="2">
        <v>23.0</v>
      </c>
      <c r="D21" s="2" t="s">
        <v>37</v>
      </c>
      <c r="E21" s="2">
        <v>-110.0</v>
      </c>
      <c r="F21" s="2">
        <v>0.0</v>
      </c>
      <c r="G21" s="2">
        <f t="shared" si="1"/>
        <v>-110</v>
      </c>
      <c r="H21" s="2" t="s">
        <v>38</v>
      </c>
      <c r="L21" s="2" t="s">
        <v>11</v>
      </c>
    </row>
    <row r="22" ht="12.75" customHeight="1">
      <c r="A22" s="2">
        <v>2015.0</v>
      </c>
      <c r="B22" s="2">
        <v>12.0</v>
      </c>
      <c r="C22" s="2">
        <v>22.0</v>
      </c>
      <c r="D22" s="2" t="s">
        <v>39</v>
      </c>
      <c r="E22" s="2">
        <v>28687.0</v>
      </c>
      <c r="F22" s="2">
        <v>0.0</v>
      </c>
      <c r="G22" s="2">
        <f t="shared" si="1"/>
        <v>28687</v>
      </c>
      <c r="H22" s="2" t="s">
        <v>40</v>
      </c>
      <c r="L22" s="2" t="s">
        <v>11</v>
      </c>
    </row>
    <row r="23" ht="12.75" customHeight="1">
      <c r="A23" s="2">
        <v>2015.0</v>
      </c>
      <c r="B23" s="2">
        <v>12.0</v>
      </c>
      <c r="C23" s="2">
        <v>21.0</v>
      </c>
      <c r="D23" s="2" t="s">
        <v>41</v>
      </c>
      <c r="E23" s="2">
        <v>-103.0</v>
      </c>
      <c r="F23" s="2">
        <v>0.0</v>
      </c>
      <c r="G23" s="2">
        <f t="shared" si="1"/>
        <v>-103</v>
      </c>
      <c r="H23" s="2" t="s">
        <v>42</v>
      </c>
      <c r="L23" s="2" t="s">
        <v>11</v>
      </c>
    </row>
    <row r="24" ht="12.75" customHeight="1">
      <c r="A24" s="2">
        <v>2015.0</v>
      </c>
      <c r="B24" s="2">
        <v>12.0</v>
      </c>
      <c r="C24" s="2">
        <v>21.0</v>
      </c>
      <c r="D24" s="2" t="s">
        <v>43</v>
      </c>
      <c r="E24" s="2">
        <v>-79.0</v>
      </c>
      <c r="F24" s="2">
        <v>0.0</v>
      </c>
      <c r="G24" s="2">
        <f t="shared" si="1"/>
        <v>-79</v>
      </c>
      <c r="H24" s="2" t="s">
        <v>38</v>
      </c>
      <c r="L24" s="2" t="s">
        <v>11</v>
      </c>
    </row>
    <row r="25" ht="12.75" customHeight="1">
      <c r="A25" s="2">
        <v>2015.0</v>
      </c>
      <c r="B25" s="2">
        <v>12.0</v>
      </c>
      <c r="C25" s="2">
        <v>18.0</v>
      </c>
      <c r="D25" s="2" t="s">
        <v>44</v>
      </c>
      <c r="E25" s="2">
        <v>-28.8</v>
      </c>
      <c r="F25" s="2">
        <v>0.0</v>
      </c>
      <c r="G25" s="2">
        <f t="shared" si="1"/>
        <v>-28.8</v>
      </c>
      <c r="H25" s="2" t="s">
        <v>35</v>
      </c>
      <c r="L25" s="2" t="s">
        <v>11</v>
      </c>
    </row>
    <row r="26" ht="12.75" customHeight="1">
      <c r="A26" s="2">
        <v>2015.0</v>
      </c>
      <c r="B26" s="2">
        <v>12.0</v>
      </c>
      <c r="C26" s="2">
        <v>17.0</v>
      </c>
      <c r="D26" s="2" t="s">
        <v>43</v>
      </c>
      <c r="E26" s="2">
        <v>-79.0</v>
      </c>
      <c r="F26" s="2">
        <v>0.0</v>
      </c>
      <c r="G26" s="2">
        <f t="shared" si="1"/>
        <v>-79</v>
      </c>
      <c r="H26" s="2" t="s">
        <v>38</v>
      </c>
      <c r="L26" s="2" t="s">
        <v>11</v>
      </c>
    </row>
    <row r="27" ht="12.75" customHeight="1">
      <c r="A27" s="2">
        <v>2015.0</v>
      </c>
      <c r="B27" s="2">
        <v>12.0</v>
      </c>
      <c r="C27" s="2">
        <v>16.0</v>
      </c>
      <c r="D27" s="2" t="s">
        <v>43</v>
      </c>
      <c r="E27" s="2">
        <v>-79.0</v>
      </c>
      <c r="F27" s="2">
        <v>0.0</v>
      </c>
      <c r="G27" s="2">
        <f t="shared" si="1"/>
        <v>-79</v>
      </c>
      <c r="H27" s="2" t="s">
        <v>38</v>
      </c>
      <c r="L27" s="2" t="s">
        <v>11</v>
      </c>
    </row>
    <row r="28" ht="12.75" customHeight="1">
      <c r="A28" s="2">
        <v>2015.0</v>
      </c>
      <c r="B28" s="2">
        <v>12.0</v>
      </c>
      <c r="C28" s="2">
        <v>15.0</v>
      </c>
      <c r="D28" s="2" t="s">
        <v>45</v>
      </c>
      <c r="E28" s="2">
        <v>-700.0</v>
      </c>
      <c r="F28" s="2">
        <v>0.0</v>
      </c>
      <c r="G28" s="2">
        <f t="shared" si="1"/>
        <v>-700</v>
      </c>
      <c r="H28" s="2" t="s">
        <v>35</v>
      </c>
      <c r="L28" s="2" t="s">
        <v>11</v>
      </c>
    </row>
    <row r="29" ht="12.75" customHeight="1">
      <c r="A29" s="2">
        <v>2015.0</v>
      </c>
      <c r="B29" s="2">
        <v>12.0</v>
      </c>
      <c r="C29" s="2">
        <v>13.0</v>
      </c>
      <c r="D29" s="2" t="s">
        <v>46</v>
      </c>
      <c r="E29" s="2">
        <v>-78.0</v>
      </c>
      <c r="F29" s="2">
        <v>0.0</v>
      </c>
      <c r="G29" s="2">
        <f t="shared" si="1"/>
        <v>-78</v>
      </c>
      <c r="H29" s="2" t="s">
        <v>47</v>
      </c>
      <c r="L29" s="2" t="s">
        <v>11</v>
      </c>
    </row>
    <row r="30" ht="12.75" customHeight="1">
      <c r="A30" s="2">
        <v>2015.0</v>
      </c>
      <c r="B30" s="2">
        <v>12.0</v>
      </c>
      <c r="C30" s="2">
        <v>12.0</v>
      </c>
      <c r="D30" s="2" t="s">
        <v>48</v>
      </c>
      <c r="E30" s="2">
        <v>-830.0</v>
      </c>
      <c r="F30" s="2">
        <v>0.0</v>
      </c>
      <c r="G30" s="2">
        <f t="shared" si="1"/>
        <v>-830</v>
      </c>
      <c r="H30" s="2" t="s">
        <v>35</v>
      </c>
      <c r="L30" s="2" t="s">
        <v>11</v>
      </c>
    </row>
    <row r="31" ht="12.75" customHeight="1">
      <c r="A31" s="2">
        <v>2015.0</v>
      </c>
      <c r="B31" s="2">
        <v>12.0</v>
      </c>
      <c r="C31" s="2">
        <v>11.0</v>
      </c>
      <c r="D31" s="2" t="s">
        <v>49</v>
      </c>
      <c r="E31" s="2">
        <v>-374.0</v>
      </c>
      <c r="F31" s="2">
        <v>0.0</v>
      </c>
      <c r="G31" s="2">
        <f t="shared" si="1"/>
        <v>-374</v>
      </c>
      <c r="H31" s="2" t="s">
        <v>50</v>
      </c>
      <c r="L31" s="2" t="s">
        <v>11</v>
      </c>
    </row>
    <row r="32" ht="12.75" customHeight="1">
      <c r="A32" s="2">
        <v>2015.0</v>
      </c>
      <c r="B32" s="2">
        <v>12.0</v>
      </c>
      <c r="C32" s="2">
        <v>11.0</v>
      </c>
      <c r="D32" s="2" t="s">
        <v>51</v>
      </c>
      <c r="E32" s="2">
        <v>-419.0</v>
      </c>
      <c r="F32" s="2">
        <v>0.0</v>
      </c>
      <c r="G32" s="2">
        <f t="shared" si="1"/>
        <v>-419</v>
      </c>
      <c r="H32" s="2" t="s">
        <v>52</v>
      </c>
      <c r="L32" s="2" t="s">
        <v>11</v>
      </c>
    </row>
    <row r="33" ht="12.75" customHeight="1">
      <c r="A33" s="2">
        <v>2015.0</v>
      </c>
      <c r="B33" s="2">
        <v>12.0</v>
      </c>
      <c r="C33" s="2">
        <v>11.0</v>
      </c>
      <c r="D33" s="2" t="s">
        <v>53</v>
      </c>
      <c r="E33" s="2">
        <v>-792.13</v>
      </c>
      <c r="F33" s="2">
        <v>0.0</v>
      </c>
      <c r="G33" s="2">
        <f t="shared" si="1"/>
        <v>-792.13</v>
      </c>
      <c r="H33" s="2" t="s">
        <v>54</v>
      </c>
      <c r="L33" s="2" t="s">
        <v>11</v>
      </c>
    </row>
    <row r="34" ht="12.75" customHeight="1">
      <c r="A34" s="2">
        <v>2015.0</v>
      </c>
      <c r="B34" s="2">
        <v>12.0</v>
      </c>
      <c r="C34" s="2">
        <v>11.0</v>
      </c>
      <c r="D34" s="2" t="s">
        <v>55</v>
      </c>
      <c r="E34" s="2">
        <v>-60.0</v>
      </c>
      <c r="F34" s="2">
        <v>0.0</v>
      </c>
      <c r="G34" s="2">
        <f t="shared" si="1"/>
        <v>-60</v>
      </c>
      <c r="H34" s="2" t="s">
        <v>52</v>
      </c>
      <c r="L34" s="2" t="s">
        <v>11</v>
      </c>
    </row>
    <row r="35" ht="12.75" customHeight="1">
      <c r="A35" s="2">
        <v>2015.0</v>
      </c>
      <c r="B35" s="2">
        <v>12.0</v>
      </c>
      <c r="C35" s="2">
        <v>11.0</v>
      </c>
      <c r="D35" s="2" t="s">
        <v>56</v>
      </c>
      <c r="E35" s="2">
        <v>-62.0</v>
      </c>
      <c r="F35" s="2">
        <v>0.0</v>
      </c>
      <c r="G35" s="2">
        <f t="shared" si="1"/>
        <v>-62</v>
      </c>
      <c r="H35" s="2" t="s">
        <v>35</v>
      </c>
      <c r="L35" s="2" t="s">
        <v>11</v>
      </c>
    </row>
    <row r="36" ht="12.75" customHeight="1">
      <c r="A36" s="2">
        <v>2015.0</v>
      </c>
      <c r="B36" s="2">
        <v>12.0</v>
      </c>
      <c r="C36" s="2">
        <v>11.0</v>
      </c>
      <c r="D36" s="2" t="s">
        <v>57</v>
      </c>
      <c r="E36" s="2">
        <v>-22.0</v>
      </c>
      <c r="F36" s="2">
        <v>0.0</v>
      </c>
      <c r="G36" s="2">
        <f t="shared" si="1"/>
        <v>-22</v>
      </c>
      <c r="H36" s="2" t="s">
        <v>42</v>
      </c>
      <c r="L36" s="2" t="s">
        <v>11</v>
      </c>
    </row>
    <row r="37" ht="12.75" customHeight="1">
      <c r="A37" s="2">
        <v>2015.0</v>
      </c>
      <c r="B37" s="2">
        <v>12.0</v>
      </c>
      <c r="C37" s="2">
        <v>10.0</v>
      </c>
      <c r="D37" s="2" t="s">
        <v>55</v>
      </c>
      <c r="E37" s="2">
        <v>-72.0</v>
      </c>
      <c r="F37" s="2">
        <v>0.0</v>
      </c>
      <c r="G37" s="2">
        <f t="shared" si="1"/>
        <v>-72</v>
      </c>
      <c r="H37" s="2" t="s">
        <v>52</v>
      </c>
      <c r="L37" s="2" t="s">
        <v>11</v>
      </c>
    </row>
    <row r="38" ht="12.75" customHeight="1">
      <c r="A38" s="2">
        <v>2015.0</v>
      </c>
      <c r="B38" s="2">
        <v>12.0</v>
      </c>
      <c r="C38" s="2">
        <v>10.0</v>
      </c>
      <c r="D38" s="2" t="s">
        <v>55</v>
      </c>
      <c r="E38" s="2">
        <v>-36.0</v>
      </c>
      <c r="F38" s="2">
        <v>0.0</v>
      </c>
      <c r="G38" s="2">
        <f t="shared" si="1"/>
        <v>-36</v>
      </c>
      <c r="H38" s="2" t="s">
        <v>52</v>
      </c>
      <c r="L38" s="2" t="s">
        <v>11</v>
      </c>
    </row>
    <row r="39" ht="12.75" customHeight="1">
      <c r="A39" s="2">
        <v>2015.0</v>
      </c>
      <c r="B39" s="2">
        <v>12.0</v>
      </c>
      <c r="C39" s="2">
        <v>8.0</v>
      </c>
      <c r="D39" s="2" t="s">
        <v>58</v>
      </c>
      <c r="E39" s="2">
        <v>-110.0</v>
      </c>
      <c r="F39" s="2">
        <v>0.0</v>
      </c>
      <c r="G39" s="2">
        <f t="shared" si="1"/>
        <v>-110</v>
      </c>
      <c r="H39" s="2" t="s">
        <v>38</v>
      </c>
      <c r="L39" s="2" t="s">
        <v>11</v>
      </c>
    </row>
    <row r="40" ht="12.75" customHeight="1">
      <c r="A40" s="2">
        <v>2015.0</v>
      </c>
      <c r="B40" s="2">
        <v>12.0</v>
      </c>
      <c r="C40" s="2">
        <v>7.0</v>
      </c>
      <c r="D40" s="2" t="s">
        <v>59</v>
      </c>
      <c r="E40" s="2">
        <v>-95.0</v>
      </c>
      <c r="F40" s="2">
        <v>0.0</v>
      </c>
      <c r="G40" s="2">
        <f t="shared" si="1"/>
        <v>-95</v>
      </c>
      <c r="H40" s="2" t="s">
        <v>38</v>
      </c>
      <c r="L40" s="2" t="s">
        <v>11</v>
      </c>
    </row>
    <row r="41" ht="12.75" customHeight="1">
      <c r="A41" s="2">
        <v>2015.0</v>
      </c>
      <c r="B41" s="2">
        <v>12.0</v>
      </c>
      <c r="C41" s="2">
        <v>6.0</v>
      </c>
      <c r="D41" s="2" t="s">
        <v>60</v>
      </c>
      <c r="E41" s="2">
        <v>-22.0</v>
      </c>
      <c r="F41" s="2">
        <v>0.0</v>
      </c>
      <c r="G41" s="2">
        <f t="shared" si="1"/>
        <v>-22</v>
      </c>
      <c r="H41" s="2" t="s">
        <v>47</v>
      </c>
      <c r="L41" s="2" t="s">
        <v>11</v>
      </c>
    </row>
    <row r="42" ht="12.75" customHeight="1">
      <c r="A42" s="2">
        <v>2015.0</v>
      </c>
      <c r="B42" s="2">
        <v>12.0</v>
      </c>
      <c r="C42" s="2">
        <v>6.0</v>
      </c>
      <c r="D42" s="2" t="s">
        <v>60</v>
      </c>
      <c r="E42" s="2">
        <v>-165.0</v>
      </c>
      <c r="F42" s="2">
        <v>0.0</v>
      </c>
      <c r="G42" s="2">
        <f t="shared" si="1"/>
        <v>-165</v>
      </c>
      <c r="H42" s="2" t="s">
        <v>47</v>
      </c>
      <c r="L42" s="2" t="s">
        <v>11</v>
      </c>
    </row>
    <row r="43" ht="12.75" customHeight="1">
      <c r="A43" s="2">
        <v>2015.0</v>
      </c>
      <c r="B43" s="2">
        <v>12.0</v>
      </c>
      <c r="C43" s="2">
        <v>6.0</v>
      </c>
      <c r="D43" s="2" t="s">
        <v>61</v>
      </c>
      <c r="E43" s="2">
        <v>-555.0</v>
      </c>
      <c r="F43" s="2">
        <v>0.0</v>
      </c>
      <c r="G43" s="2">
        <f t="shared" si="1"/>
        <v>-555</v>
      </c>
      <c r="H43" s="2" t="s">
        <v>31</v>
      </c>
      <c r="L43" s="2" t="s">
        <v>11</v>
      </c>
    </row>
    <row r="44" ht="12.75" customHeight="1">
      <c r="A44" s="2">
        <v>2015.0</v>
      </c>
      <c r="B44" s="2">
        <v>12.0</v>
      </c>
      <c r="C44" s="2">
        <v>5.0</v>
      </c>
      <c r="D44" s="2" t="s">
        <v>62</v>
      </c>
      <c r="E44" s="2">
        <v>-225.0</v>
      </c>
      <c r="F44" s="2">
        <v>0.0</v>
      </c>
      <c r="G44" s="2">
        <f t="shared" si="1"/>
        <v>-225</v>
      </c>
      <c r="H44" s="2" t="s">
        <v>47</v>
      </c>
      <c r="L44" s="2" t="s">
        <v>11</v>
      </c>
    </row>
    <row r="45" ht="12.75" customHeight="1">
      <c r="A45" s="2">
        <v>2015.0</v>
      </c>
      <c r="B45" s="2">
        <v>12.0</v>
      </c>
      <c r="C45" s="2">
        <v>5.0</v>
      </c>
      <c r="D45" s="2" t="s">
        <v>62</v>
      </c>
      <c r="E45" s="2">
        <v>-185.0</v>
      </c>
      <c r="F45" s="2">
        <v>0.0</v>
      </c>
      <c r="G45" s="2">
        <f t="shared" si="1"/>
        <v>-185</v>
      </c>
      <c r="H45" s="2" t="s">
        <v>47</v>
      </c>
      <c r="L45" s="2" t="s">
        <v>11</v>
      </c>
    </row>
    <row r="46" ht="12.75" customHeight="1">
      <c r="A46" s="2">
        <v>2015.0</v>
      </c>
      <c r="B46" s="2">
        <v>12.0</v>
      </c>
      <c r="C46" s="2">
        <v>5.0</v>
      </c>
      <c r="D46" s="2" t="s">
        <v>63</v>
      </c>
      <c r="E46" s="2">
        <v>-242.15</v>
      </c>
      <c r="F46" s="2">
        <v>0.0</v>
      </c>
      <c r="G46" s="2">
        <f t="shared" si="1"/>
        <v>-242.15</v>
      </c>
      <c r="H46" s="2" t="s">
        <v>54</v>
      </c>
      <c r="L46" s="2" t="s">
        <v>11</v>
      </c>
    </row>
    <row r="47" ht="12.75" customHeight="1">
      <c r="A47" s="2">
        <v>2015.0</v>
      </c>
      <c r="B47" s="2">
        <v>12.0</v>
      </c>
      <c r="C47" s="2">
        <v>4.0</v>
      </c>
      <c r="D47" s="2" t="s">
        <v>64</v>
      </c>
      <c r="E47" s="2">
        <v>-80.0</v>
      </c>
      <c r="F47" s="2">
        <v>0.0</v>
      </c>
      <c r="G47" s="2">
        <f t="shared" si="1"/>
        <v>-80</v>
      </c>
      <c r="H47" s="2" t="s">
        <v>47</v>
      </c>
      <c r="L47" s="2" t="s">
        <v>11</v>
      </c>
    </row>
    <row r="48" ht="12.75" customHeight="1">
      <c r="A48" s="2">
        <v>2015.0</v>
      </c>
      <c r="B48" s="2">
        <v>12.0</v>
      </c>
      <c r="C48" s="2">
        <v>4.0</v>
      </c>
      <c r="D48" s="2" t="s">
        <v>65</v>
      </c>
      <c r="E48" s="2">
        <v>-290.0</v>
      </c>
      <c r="F48" s="2">
        <v>0.0</v>
      </c>
      <c r="G48" s="2">
        <f t="shared" si="1"/>
        <v>-290</v>
      </c>
      <c r="H48" s="2" t="s">
        <v>31</v>
      </c>
      <c r="L48" s="2" t="s">
        <v>11</v>
      </c>
    </row>
    <row r="49" ht="12.75" customHeight="1">
      <c r="A49" s="2">
        <v>2015.0</v>
      </c>
      <c r="B49" s="2">
        <v>12.0</v>
      </c>
      <c r="C49" s="2">
        <v>3.0</v>
      </c>
      <c r="D49" s="2" t="s">
        <v>66</v>
      </c>
      <c r="E49" s="2">
        <v>-95.0</v>
      </c>
      <c r="F49" s="2">
        <v>0.0</v>
      </c>
      <c r="G49" s="2">
        <f t="shared" si="1"/>
        <v>-95</v>
      </c>
      <c r="H49" s="2" t="s">
        <v>38</v>
      </c>
      <c r="L49" s="2" t="s">
        <v>11</v>
      </c>
    </row>
    <row r="50" ht="12.75" customHeight="1">
      <c r="A50" s="2">
        <v>2015.0</v>
      </c>
      <c r="B50" s="2">
        <v>12.0</v>
      </c>
      <c r="C50" s="2">
        <v>3.0</v>
      </c>
      <c r="D50" s="2" t="s">
        <v>67</v>
      </c>
      <c r="E50" s="2">
        <v>-1582.38</v>
      </c>
      <c r="F50" s="2">
        <v>0.0</v>
      </c>
      <c r="G50" s="2">
        <f t="shared" si="1"/>
        <v>-1582.38</v>
      </c>
      <c r="H50" s="2" t="s">
        <v>54</v>
      </c>
      <c r="L50" s="2" t="s">
        <v>11</v>
      </c>
    </row>
    <row r="51" ht="12.75" customHeight="1">
      <c r="A51" s="2">
        <v>2015.0</v>
      </c>
      <c r="B51" s="2">
        <v>12.0</v>
      </c>
      <c r="C51" s="2">
        <v>3.0</v>
      </c>
      <c r="D51" s="2" t="s">
        <v>68</v>
      </c>
      <c r="E51" s="2">
        <v>-260.0</v>
      </c>
      <c r="F51" s="2">
        <v>0.0</v>
      </c>
      <c r="G51" s="2">
        <f t="shared" si="1"/>
        <v>-260</v>
      </c>
      <c r="H51" s="2" t="s">
        <v>52</v>
      </c>
      <c r="L51" s="2" t="s">
        <v>11</v>
      </c>
    </row>
    <row r="52" ht="12.75" customHeight="1">
      <c r="A52" s="2">
        <v>2015.0</v>
      </c>
      <c r="B52" s="2">
        <v>12.0</v>
      </c>
      <c r="C52" s="2">
        <v>3.0</v>
      </c>
      <c r="D52" s="2" t="s">
        <v>68</v>
      </c>
      <c r="E52" s="2">
        <v>-104.0</v>
      </c>
      <c r="F52" s="2">
        <v>0.0</v>
      </c>
      <c r="G52" s="2">
        <f t="shared" si="1"/>
        <v>-104</v>
      </c>
      <c r="H52" s="2" t="s">
        <v>52</v>
      </c>
      <c r="L52" s="2" t="s">
        <v>11</v>
      </c>
    </row>
    <row r="53" ht="12.75" customHeight="1">
      <c r="A53" s="2">
        <v>2015.0</v>
      </c>
      <c r="B53" s="2">
        <v>12.0</v>
      </c>
      <c r="C53" s="2">
        <v>1.0</v>
      </c>
      <c r="D53" s="2" t="s">
        <v>69</v>
      </c>
      <c r="E53" s="2">
        <v>-491.0</v>
      </c>
      <c r="F53" s="2">
        <v>0.0</v>
      </c>
      <c r="G53" s="2">
        <f t="shared" si="1"/>
        <v>-491</v>
      </c>
      <c r="H53" s="2" t="s">
        <v>35</v>
      </c>
      <c r="L53" s="2" t="s">
        <v>11</v>
      </c>
    </row>
    <row r="54" ht="12.75" customHeight="1">
      <c r="A54" s="2">
        <v>2015.0</v>
      </c>
      <c r="B54" s="2">
        <v>12.0</v>
      </c>
      <c r="C54" s="2">
        <v>1.0</v>
      </c>
      <c r="D54" s="2" t="s">
        <v>70</v>
      </c>
      <c r="E54" s="2">
        <v>1340.0</v>
      </c>
      <c r="F54" s="2">
        <v>0.0</v>
      </c>
      <c r="G54" s="2">
        <f t="shared" si="1"/>
        <v>1340</v>
      </c>
      <c r="H54" s="2" t="s">
        <v>31</v>
      </c>
      <c r="L54" s="2" t="s">
        <v>11</v>
      </c>
    </row>
    <row r="55" ht="12.75" customHeight="1">
      <c r="A55" s="2">
        <v>2015.0</v>
      </c>
      <c r="B55" s="2">
        <v>12.0</v>
      </c>
      <c r="C55" s="2">
        <v>1.0</v>
      </c>
      <c r="D55" s="2" t="s">
        <v>9</v>
      </c>
      <c r="E55" s="2">
        <v>-7914.0</v>
      </c>
      <c r="F55" s="2">
        <v>0.0</v>
      </c>
      <c r="G55" s="2">
        <f t="shared" si="1"/>
        <v>-7914</v>
      </c>
      <c r="H55" s="2" t="s">
        <v>10</v>
      </c>
      <c r="L55" s="2" t="s">
        <v>11</v>
      </c>
    </row>
    <row r="56" ht="12.75" customHeight="1">
      <c r="A56" s="2">
        <v>2015.0</v>
      </c>
      <c r="B56" s="2">
        <v>12.0</v>
      </c>
      <c r="C56" s="2">
        <v>1.0</v>
      </c>
      <c r="D56" s="2" t="s">
        <v>71</v>
      </c>
      <c r="E56" s="2">
        <v>-228.0</v>
      </c>
      <c r="F56" s="2">
        <v>0.0</v>
      </c>
      <c r="G56" s="2">
        <f t="shared" si="1"/>
        <v>-228</v>
      </c>
      <c r="H56" s="2" t="s">
        <v>72</v>
      </c>
      <c r="L56" s="2" t="s">
        <v>11</v>
      </c>
    </row>
    <row r="57" ht="12.75" customHeight="1">
      <c r="A57" s="2">
        <v>2015.0</v>
      </c>
      <c r="B57" s="2">
        <v>12.0</v>
      </c>
      <c r="C57" s="2">
        <v>1.0</v>
      </c>
      <c r="D57" s="2" t="s">
        <v>73</v>
      </c>
      <c r="E57" s="2">
        <v>-8833.0</v>
      </c>
      <c r="F57" s="2">
        <v>0.0</v>
      </c>
      <c r="G57" s="2">
        <f t="shared" si="1"/>
        <v>-8833</v>
      </c>
      <c r="H57" s="2" t="s">
        <v>10</v>
      </c>
      <c r="L57" s="2" t="s">
        <v>11</v>
      </c>
    </row>
    <row r="58" ht="12.75" customHeight="1">
      <c r="A58" s="2">
        <v>2015.0</v>
      </c>
      <c r="B58" s="2">
        <v>12.0</v>
      </c>
      <c r="C58" s="2">
        <v>1.0</v>
      </c>
      <c r="D58" s="2" t="s">
        <v>74</v>
      </c>
      <c r="E58" s="2">
        <v>-2020.0</v>
      </c>
      <c r="F58" s="2">
        <v>0.0</v>
      </c>
      <c r="G58" s="2">
        <f t="shared" si="1"/>
        <v>-2020</v>
      </c>
      <c r="H58" s="2" t="s">
        <v>35</v>
      </c>
      <c r="L58" s="2" t="s">
        <v>11</v>
      </c>
    </row>
    <row r="59" ht="12.75" customHeight="1">
      <c r="A59" s="2">
        <v>2015.0</v>
      </c>
      <c r="B59" s="2">
        <v>11.0</v>
      </c>
      <c r="C59" s="2">
        <v>30.0</v>
      </c>
      <c r="D59" s="2" t="s">
        <v>25</v>
      </c>
      <c r="E59" s="2">
        <v>-100.0</v>
      </c>
      <c r="F59" s="2">
        <v>0.0</v>
      </c>
      <c r="G59" s="2">
        <f t="shared" si="1"/>
        <v>-100</v>
      </c>
      <c r="H59" s="2" t="s">
        <v>26</v>
      </c>
      <c r="L59" s="2" t="s">
        <v>11</v>
      </c>
    </row>
    <row r="60" ht="12.75" customHeight="1">
      <c r="A60" s="2">
        <v>2015.0</v>
      </c>
      <c r="B60" s="2">
        <v>11.0</v>
      </c>
      <c r="C60" s="2">
        <v>30.0</v>
      </c>
      <c r="D60" s="2" t="s">
        <v>12</v>
      </c>
      <c r="E60" s="2">
        <v>-17312.64</v>
      </c>
      <c r="F60" s="2">
        <v>0.0</v>
      </c>
      <c r="G60" s="2">
        <f t="shared" si="1"/>
        <v>-17312.64</v>
      </c>
      <c r="H60" s="2" t="s">
        <v>13</v>
      </c>
      <c r="L60" s="2" t="s">
        <v>11</v>
      </c>
    </row>
    <row r="61" ht="12.75" customHeight="1">
      <c r="A61" s="2">
        <v>2015.0</v>
      </c>
      <c r="B61" s="2">
        <v>11.0</v>
      </c>
      <c r="C61" s="2">
        <v>30.0</v>
      </c>
      <c r="D61" s="2" t="s">
        <v>14</v>
      </c>
      <c r="E61" s="2">
        <v>-4007.0</v>
      </c>
      <c r="F61" s="2">
        <v>0.0</v>
      </c>
      <c r="G61" s="2">
        <f t="shared" si="1"/>
        <v>-4007</v>
      </c>
      <c r="H61" s="2" t="s">
        <v>10</v>
      </c>
      <c r="L61" s="2" t="s">
        <v>11</v>
      </c>
    </row>
    <row r="62" ht="12.75" customHeight="1">
      <c r="A62" s="2">
        <v>2015.0</v>
      </c>
      <c r="B62" s="2">
        <v>11.0</v>
      </c>
      <c r="C62" s="2">
        <v>30.0</v>
      </c>
      <c r="D62" s="2" t="s">
        <v>15</v>
      </c>
      <c r="E62" s="2">
        <v>-207.8</v>
      </c>
      <c r="F62" s="2">
        <v>0.0</v>
      </c>
      <c r="G62" s="2">
        <f t="shared" si="1"/>
        <v>-207.8</v>
      </c>
      <c r="H62" s="2" t="s">
        <v>10</v>
      </c>
      <c r="L62" s="2" t="s">
        <v>11</v>
      </c>
    </row>
    <row r="63" ht="12.75" customHeight="1">
      <c r="A63" s="2">
        <v>2015.0</v>
      </c>
      <c r="B63" s="2">
        <v>11.0</v>
      </c>
      <c r="C63" s="2">
        <v>30.0</v>
      </c>
      <c r="D63" s="2" t="s">
        <v>16</v>
      </c>
      <c r="E63" s="2">
        <v>-151.0</v>
      </c>
      <c r="F63" s="2">
        <v>0.0</v>
      </c>
      <c r="G63" s="2">
        <f t="shared" si="1"/>
        <v>-151</v>
      </c>
      <c r="H63" s="2" t="s">
        <v>17</v>
      </c>
      <c r="L63" s="2" t="s">
        <v>11</v>
      </c>
    </row>
    <row r="64" ht="12.75" customHeight="1">
      <c r="A64" s="2">
        <v>2015.0</v>
      </c>
      <c r="B64" s="2">
        <v>11.0</v>
      </c>
      <c r="C64" s="2">
        <v>30.0</v>
      </c>
      <c r="D64" s="2" t="s">
        <v>75</v>
      </c>
      <c r="E64" s="2">
        <v>-3061.0</v>
      </c>
      <c r="F64" s="2">
        <v>0.0</v>
      </c>
      <c r="G64" s="2">
        <f t="shared" si="1"/>
        <v>-3061</v>
      </c>
      <c r="H64" s="2" t="s">
        <v>76</v>
      </c>
      <c r="L64" s="2" t="s">
        <v>11</v>
      </c>
    </row>
    <row r="65" ht="12.75" customHeight="1">
      <c r="A65" s="2">
        <v>2015.0</v>
      </c>
      <c r="B65" s="2">
        <v>11.0</v>
      </c>
      <c r="C65" s="2">
        <v>30.0</v>
      </c>
      <c r="D65" s="2">
        <v>4.7516877E7</v>
      </c>
      <c r="E65" s="2">
        <v>1000.0</v>
      </c>
      <c r="F65" s="2">
        <v>0.0</v>
      </c>
      <c r="G65" s="2">
        <f t="shared" si="1"/>
        <v>1000</v>
      </c>
      <c r="H65" s="2" t="s">
        <v>18</v>
      </c>
      <c r="L65" s="2" t="s">
        <v>11</v>
      </c>
    </row>
    <row r="66" ht="12.75" customHeight="1">
      <c r="A66" s="2">
        <v>2015.0</v>
      </c>
      <c r="B66" s="2">
        <v>11.0</v>
      </c>
      <c r="C66" s="2">
        <v>28.0</v>
      </c>
      <c r="D66" s="2" t="s">
        <v>60</v>
      </c>
      <c r="E66" s="2">
        <v>-110.0</v>
      </c>
      <c r="F66" s="2">
        <v>0.0</v>
      </c>
      <c r="G66" s="2">
        <f t="shared" si="1"/>
        <v>-110</v>
      </c>
      <c r="H66" s="2" t="s">
        <v>42</v>
      </c>
      <c r="L66" s="2" t="s">
        <v>11</v>
      </c>
    </row>
    <row r="67" ht="12.75" customHeight="1">
      <c r="A67" s="2">
        <v>2015.0</v>
      </c>
      <c r="B67" s="2">
        <v>11.0</v>
      </c>
      <c r="C67" s="2">
        <v>28.0</v>
      </c>
      <c r="D67" s="2" t="s">
        <v>77</v>
      </c>
      <c r="E67" s="2">
        <v>-111.0</v>
      </c>
      <c r="F67" s="2">
        <v>0.0</v>
      </c>
      <c r="G67" s="2">
        <f t="shared" si="1"/>
        <v>-111</v>
      </c>
      <c r="H67" s="2" t="s">
        <v>31</v>
      </c>
      <c r="L67" s="2" t="s">
        <v>11</v>
      </c>
    </row>
    <row r="68" ht="12.75" customHeight="1">
      <c r="A68" s="2">
        <v>2015.0</v>
      </c>
      <c r="B68" s="2">
        <v>11.0</v>
      </c>
      <c r="C68" s="2">
        <v>28.0</v>
      </c>
      <c r="D68" s="2" t="s">
        <v>78</v>
      </c>
      <c r="E68" s="2">
        <v>-129.0</v>
      </c>
      <c r="F68" s="2">
        <v>0.0</v>
      </c>
      <c r="G68" s="2">
        <f t="shared" si="1"/>
        <v>-129</v>
      </c>
      <c r="H68" s="2" t="s">
        <v>47</v>
      </c>
      <c r="L68" s="2" t="s">
        <v>11</v>
      </c>
    </row>
    <row r="69" ht="12.75" customHeight="1">
      <c r="A69" s="2">
        <v>2015.0</v>
      </c>
      <c r="B69" s="2">
        <v>11.0</v>
      </c>
      <c r="C69" s="2">
        <v>28.0</v>
      </c>
      <c r="D69" s="2" t="s">
        <v>79</v>
      </c>
      <c r="E69" s="2">
        <v>79.0</v>
      </c>
      <c r="F69" s="2">
        <v>0.0</v>
      </c>
      <c r="G69" s="2">
        <f t="shared" si="1"/>
        <v>79</v>
      </c>
      <c r="H69" s="2" t="s">
        <v>31</v>
      </c>
      <c r="L69" s="2" t="s">
        <v>11</v>
      </c>
    </row>
    <row r="70" ht="12.75" customHeight="1">
      <c r="A70" s="2">
        <v>2015.0</v>
      </c>
      <c r="B70" s="2">
        <v>11.0</v>
      </c>
      <c r="C70" s="2">
        <v>27.0</v>
      </c>
      <c r="D70" s="2" t="s">
        <v>19</v>
      </c>
      <c r="E70" s="2">
        <v>-320.0</v>
      </c>
      <c r="F70" s="2">
        <v>0.0</v>
      </c>
      <c r="G70" s="2">
        <f t="shared" si="1"/>
        <v>-320</v>
      </c>
      <c r="H70" s="2" t="s">
        <v>20</v>
      </c>
      <c r="L70" s="2" t="s">
        <v>11</v>
      </c>
    </row>
    <row r="71" ht="12.75" customHeight="1">
      <c r="A71" s="2">
        <v>2015.0</v>
      </c>
      <c r="B71" s="2">
        <v>11.0</v>
      </c>
      <c r="C71" s="2">
        <v>27.0</v>
      </c>
      <c r="D71" s="2" t="s">
        <v>21</v>
      </c>
      <c r="E71" s="2">
        <v>-299.0</v>
      </c>
      <c r="F71" s="2">
        <v>0.0</v>
      </c>
      <c r="G71" s="2">
        <f t="shared" si="1"/>
        <v>-299</v>
      </c>
      <c r="H71" s="2" t="s">
        <v>22</v>
      </c>
      <c r="L71" s="2" t="s">
        <v>11</v>
      </c>
    </row>
    <row r="72" ht="12.75" customHeight="1">
      <c r="A72" s="2">
        <v>2015.0</v>
      </c>
      <c r="B72" s="2">
        <v>11.0</v>
      </c>
      <c r="C72" s="2">
        <v>27.0</v>
      </c>
      <c r="D72" s="2" t="s">
        <v>23</v>
      </c>
      <c r="E72" s="2">
        <v>-303.0</v>
      </c>
      <c r="F72" s="2">
        <v>0.0</v>
      </c>
      <c r="G72" s="2">
        <f t="shared" si="1"/>
        <v>-303</v>
      </c>
      <c r="H72" s="2" t="s">
        <v>24</v>
      </c>
      <c r="L72" s="2" t="s">
        <v>11</v>
      </c>
    </row>
    <row r="73" ht="12.75" customHeight="1">
      <c r="A73" s="2">
        <v>2015.0</v>
      </c>
      <c r="B73" s="2">
        <v>11.0</v>
      </c>
      <c r="C73" s="2">
        <v>26.0</v>
      </c>
      <c r="D73" s="2" t="s">
        <v>66</v>
      </c>
      <c r="E73" s="2">
        <v>-141.0</v>
      </c>
      <c r="F73" s="2">
        <v>0.0</v>
      </c>
      <c r="G73" s="2">
        <f t="shared" si="1"/>
        <v>-141</v>
      </c>
      <c r="H73" s="2" t="s">
        <v>52</v>
      </c>
      <c r="L73" s="2" t="s">
        <v>11</v>
      </c>
    </row>
    <row r="74" ht="12.75" customHeight="1">
      <c r="A74" s="2">
        <v>2015.0</v>
      </c>
      <c r="B74" s="2">
        <v>11.0</v>
      </c>
      <c r="C74" s="2">
        <v>26.0</v>
      </c>
      <c r="D74" s="2" t="s">
        <v>29</v>
      </c>
      <c r="E74" s="2">
        <v>-1250.0</v>
      </c>
      <c r="F74" s="2">
        <v>0.0</v>
      </c>
      <c r="G74" s="2">
        <f t="shared" si="1"/>
        <v>-1250</v>
      </c>
      <c r="H74" s="2" t="s">
        <v>18</v>
      </c>
      <c r="L74" s="2" t="s">
        <v>11</v>
      </c>
    </row>
    <row r="75" ht="12.75" customHeight="1">
      <c r="A75" s="2">
        <v>2015.0</v>
      </c>
      <c r="B75" s="2">
        <v>11.0</v>
      </c>
      <c r="C75" s="2">
        <v>26.0</v>
      </c>
      <c r="D75" s="2" t="s">
        <v>80</v>
      </c>
      <c r="E75" s="2">
        <v>-70.0</v>
      </c>
      <c r="F75" s="2">
        <v>0.0</v>
      </c>
      <c r="G75" s="2">
        <f t="shared" si="1"/>
        <v>-70</v>
      </c>
      <c r="H75" s="2" t="s">
        <v>52</v>
      </c>
      <c r="L75" s="2" t="s">
        <v>11</v>
      </c>
    </row>
    <row r="76" ht="12.75" customHeight="1">
      <c r="A76" s="2">
        <v>2015.0</v>
      </c>
      <c r="B76" s="2">
        <v>11.0</v>
      </c>
      <c r="C76" s="2">
        <v>26.0</v>
      </c>
      <c r="D76" s="2" t="s">
        <v>81</v>
      </c>
      <c r="E76" s="2">
        <v>-69.0</v>
      </c>
      <c r="F76" s="2">
        <v>0.0</v>
      </c>
      <c r="G76" s="2">
        <f t="shared" si="1"/>
        <v>-69</v>
      </c>
      <c r="H76" s="2" t="s">
        <v>52</v>
      </c>
      <c r="L76" s="2" t="s">
        <v>11</v>
      </c>
    </row>
    <row r="77" ht="12.75" customHeight="1">
      <c r="A77" s="2">
        <v>2015.0</v>
      </c>
      <c r="B77" s="2">
        <v>11.0</v>
      </c>
      <c r="C77" s="2">
        <v>26.0</v>
      </c>
      <c r="D77" s="2" t="s">
        <v>81</v>
      </c>
      <c r="E77" s="2">
        <v>-65.0</v>
      </c>
      <c r="F77" s="2">
        <v>0.0</v>
      </c>
      <c r="G77" s="2">
        <f t="shared" si="1"/>
        <v>-65</v>
      </c>
      <c r="H77" s="2" t="s">
        <v>52</v>
      </c>
      <c r="L77" s="2" t="s">
        <v>11</v>
      </c>
    </row>
    <row r="78" ht="12.75" customHeight="1">
      <c r="A78" s="2">
        <v>2015.0</v>
      </c>
      <c r="B78" s="2">
        <v>11.0</v>
      </c>
      <c r="C78" s="2">
        <v>26.0</v>
      </c>
      <c r="D78" s="2" t="s">
        <v>81</v>
      </c>
      <c r="E78" s="2">
        <v>-133.0</v>
      </c>
      <c r="F78" s="2">
        <v>0.0</v>
      </c>
      <c r="G78" s="2">
        <f t="shared" si="1"/>
        <v>-133</v>
      </c>
      <c r="H78" s="2" t="s">
        <v>52</v>
      </c>
      <c r="L78" s="2" t="s">
        <v>11</v>
      </c>
    </row>
    <row r="79" ht="12.75" customHeight="1">
      <c r="A79" s="2">
        <v>2015.0</v>
      </c>
      <c r="B79" s="2">
        <v>11.0</v>
      </c>
      <c r="C79" s="2">
        <v>26.0</v>
      </c>
      <c r="D79" s="2" t="s">
        <v>81</v>
      </c>
      <c r="E79" s="2">
        <v>-108.0</v>
      </c>
      <c r="F79" s="2">
        <v>0.0</v>
      </c>
      <c r="G79" s="2">
        <f t="shared" si="1"/>
        <v>-108</v>
      </c>
      <c r="H79" s="2" t="s">
        <v>52</v>
      </c>
      <c r="L79" s="2" t="s">
        <v>11</v>
      </c>
    </row>
    <row r="80" ht="12.75" customHeight="1">
      <c r="A80" s="2">
        <v>2015.0</v>
      </c>
      <c r="B80" s="2">
        <v>11.0</v>
      </c>
      <c r="C80" s="2">
        <v>25.0</v>
      </c>
      <c r="D80" s="2" t="s">
        <v>27</v>
      </c>
      <c r="E80" s="2">
        <v>-5000.0</v>
      </c>
      <c r="F80" s="2">
        <v>0.0</v>
      </c>
      <c r="G80" s="2">
        <f t="shared" si="1"/>
        <v>-5000</v>
      </c>
      <c r="H80" s="2" t="s">
        <v>28</v>
      </c>
      <c r="L80" s="2" t="s">
        <v>11</v>
      </c>
    </row>
    <row r="81" ht="12.75" customHeight="1">
      <c r="A81" s="2">
        <v>2015.0</v>
      </c>
      <c r="B81" s="2">
        <v>11.0</v>
      </c>
      <c r="C81" s="2">
        <v>25.0</v>
      </c>
      <c r="D81" s="2" t="s">
        <v>27</v>
      </c>
      <c r="E81" s="2">
        <v>5000.0</v>
      </c>
      <c r="F81" s="2">
        <v>0.0</v>
      </c>
      <c r="G81" s="2">
        <f t="shared" si="1"/>
        <v>5000</v>
      </c>
      <c r="H81" s="2" t="s">
        <v>28</v>
      </c>
      <c r="L81" s="2" t="s">
        <v>11</v>
      </c>
    </row>
    <row r="82" ht="12.75" customHeight="1">
      <c r="A82" s="2">
        <v>2015.0</v>
      </c>
      <c r="B82" s="2">
        <v>11.0</v>
      </c>
      <c r="C82" s="2">
        <v>24.0</v>
      </c>
      <c r="D82" s="2" t="s">
        <v>39</v>
      </c>
      <c r="E82" s="2">
        <v>28687.0</v>
      </c>
      <c r="F82" s="2">
        <v>0.0</v>
      </c>
      <c r="G82" s="2">
        <f t="shared" si="1"/>
        <v>28687</v>
      </c>
      <c r="H82" s="2" t="s">
        <v>40</v>
      </c>
      <c r="L82" s="2" t="s">
        <v>11</v>
      </c>
    </row>
    <row r="83" ht="12.75" customHeight="1">
      <c r="A83" s="2">
        <v>2015.0</v>
      </c>
      <c r="B83" s="2">
        <v>11.0</v>
      </c>
      <c r="C83" s="2">
        <v>24.0</v>
      </c>
      <c r="D83" s="2" t="s">
        <v>82</v>
      </c>
      <c r="E83" s="2">
        <v>-100.0</v>
      </c>
      <c r="F83" s="2">
        <v>0.0</v>
      </c>
      <c r="G83" s="2">
        <f t="shared" si="1"/>
        <v>-100</v>
      </c>
      <c r="H83" s="2" t="s">
        <v>13</v>
      </c>
      <c r="L83" s="2" t="s">
        <v>11</v>
      </c>
    </row>
    <row r="84" ht="12.75" customHeight="1">
      <c r="A84" s="2">
        <v>2015.0</v>
      </c>
      <c r="B84" s="2">
        <v>11.0</v>
      </c>
      <c r="C84" s="2">
        <v>24.0</v>
      </c>
      <c r="D84" s="2" t="s">
        <v>83</v>
      </c>
      <c r="E84" s="2">
        <v>148.0</v>
      </c>
      <c r="F84" s="2">
        <v>0.0</v>
      </c>
      <c r="G84" s="2">
        <f t="shared" si="1"/>
        <v>148</v>
      </c>
      <c r="H84" s="2" t="s">
        <v>13</v>
      </c>
      <c r="L84" s="2" t="s">
        <v>11</v>
      </c>
    </row>
    <row r="85" ht="12.75" customHeight="1">
      <c r="A85" s="2">
        <v>2015.0</v>
      </c>
      <c r="B85" s="2">
        <v>11.0</v>
      </c>
      <c r="C85" s="2">
        <v>22.0</v>
      </c>
      <c r="D85" s="2" t="s">
        <v>84</v>
      </c>
      <c r="E85" s="2">
        <v>-170.0</v>
      </c>
      <c r="F85" s="2">
        <v>0.0</v>
      </c>
      <c r="G85" s="2">
        <f t="shared" si="1"/>
        <v>-170</v>
      </c>
      <c r="H85" s="2" t="s">
        <v>13</v>
      </c>
      <c r="L85" s="2" t="s">
        <v>11</v>
      </c>
    </row>
    <row r="86" ht="12.75" customHeight="1">
      <c r="A86" s="2">
        <v>2015.0</v>
      </c>
      <c r="B86" s="2">
        <v>11.0</v>
      </c>
      <c r="C86" s="2">
        <v>22.0</v>
      </c>
      <c r="D86" s="2" t="s">
        <v>85</v>
      </c>
      <c r="E86" s="2">
        <v>-805.3</v>
      </c>
      <c r="F86" s="2">
        <v>0.0</v>
      </c>
      <c r="G86" s="2">
        <f t="shared" si="1"/>
        <v>-805.3</v>
      </c>
      <c r="H86" s="2" t="s">
        <v>54</v>
      </c>
      <c r="L86" s="2" t="s">
        <v>11</v>
      </c>
    </row>
    <row r="87" ht="12.75" customHeight="1">
      <c r="A87" s="2">
        <v>2015.0</v>
      </c>
      <c r="B87" s="2">
        <v>11.0</v>
      </c>
      <c r="C87" s="2">
        <v>21.0</v>
      </c>
      <c r="D87" s="2" t="s">
        <v>86</v>
      </c>
      <c r="E87" s="2">
        <v>-125.0</v>
      </c>
      <c r="F87" s="2">
        <v>0.0</v>
      </c>
      <c r="G87" s="2">
        <f t="shared" si="1"/>
        <v>-125</v>
      </c>
      <c r="H87" s="2" t="s">
        <v>13</v>
      </c>
      <c r="L87" s="2" t="s">
        <v>11</v>
      </c>
    </row>
    <row r="88" ht="12.75" customHeight="1">
      <c r="A88" s="2">
        <v>2015.0</v>
      </c>
      <c r="B88" s="2">
        <v>11.0</v>
      </c>
      <c r="C88" s="2">
        <v>20.0</v>
      </c>
      <c r="D88" s="2" t="s">
        <v>51</v>
      </c>
      <c r="E88" s="2">
        <v>-227.5</v>
      </c>
      <c r="F88" s="2">
        <v>0.0</v>
      </c>
      <c r="G88" s="2">
        <f t="shared" si="1"/>
        <v>-227.5</v>
      </c>
      <c r="H88" s="2" t="s">
        <v>52</v>
      </c>
      <c r="L88" s="2" t="s">
        <v>11</v>
      </c>
    </row>
    <row r="89" ht="12.75" customHeight="1">
      <c r="A89" s="2">
        <v>2015.0</v>
      </c>
      <c r="B89" s="2">
        <v>11.0</v>
      </c>
      <c r="C89" s="2">
        <v>20.0</v>
      </c>
      <c r="D89" s="2" t="s">
        <v>59</v>
      </c>
      <c r="E89" s="2">
        <v>-95.0</v>
      </c>
      <c r="F89" s="2">
        <v>0.0</v>
      </c>
      <c r="G89" s="2">
        <f t="shared" si="1"/>
        <v>-95</v>
      </c>
      <c r="H89" s="2" t="s">
        <v>38</v>
      </c>
      <c r="L89" s="2" t="s">
        <v>11</v>
      </c>
    </row>
    <row r="90" ht="12.75" customHeight="1">
      <c r="A90" s="2">
        <v>2015.0</v>
      </c>
      <c r="B90" s="2">
        <v>11.0</v>
      </c>
      <c r="C90" s="2">
        <v>19.0</v>
      </c>
      <c r="D90" s="2" t="s">
        <v>66</v>
      </c>
      <c r="E90" s="2">
        <v>-95.0</v>
      </c>
      <c r="F90" s="2">
        <v>0.0</v>
      </c>
      <c r="G90" s="2">
        <f t="shared" si="1"/>
        <v>-95</v>
      </c>
      <c r="H90" s="2" t="s">
        <v>52</v>
      </c>
      <c r="L90" s="2" t="s">
        <v>11</v>
      </c>
    </row>
    <row r="91" ht="12.75" customHeight="1">
      <c r="A91" s="2">
        <v>2015.0</v>
      </c>
      <c r="B91" s="2">
        <v>11.0</v>
      </c>
      <c r="C91" s="2">
        <v>19.0</v>
      </c>
      <c r="D91" s="2" t="s">
        <v>87</v>
      </c>
      <c r="E91" s="2">
        <v>-110.0</v>
      </c>
      <c r="F91" s="2">
        <v>0.0</v>
      </c>
      <c r="G91" s="2">
        <f t="shared" si="1"/>
        <v>-110</v>
      </c>
      <c r="H91" s="2" t="s">
        <v>13</v>
      </c>
      <c r="L91" s="2" t="s">
        <v>11</v>
      </c>
    </row>
    <row r="92" ht="12.75" customHeight="1">
      <c r="A92" s="2">
        <v>2015.0</v>
      </c>
      <c r="B92" s="2">
        <v>11.0</v>
      </c>
      <c r="C92" s="2">
        <v>18.0</v>
      </c>
      <c r="D92" s="2" t="s">
        <v>66</v>
      </c>
      <c r="E92" s="2">
        <v>-95.0</v>
      </c>
      <c r="F92" s="2">
        <v>0.0</v>
      </c>
      <c r="G92" s="2">
        <f t="shared" si="1"/>
        <v>-95</v>
      </c>
      <c r="H92" s="2" t="s">
        <v>38</v>
      </c>
      <c r="L92" s="2" t="s">
        <v>11</v>
      </c>
    </row>
    <row r="93" ht="12.75" customHeight="1">
      <c r="A93" s="2">
        <v>2015.0</v>
      </c>
      <c r="B93" s="2">
        <v>11.0</v>
      </c>
      <c r="C93" s="2">
        <v>17.0</v>
      </c>
      <c r="D93" s="2" t="s">
        <v>88</v>
      </c>
      <c r="E93" s="2">
        <v>-204.5</v>
      </c>
      <c r="F93" s="2">
        <v>0.0</v>
      </c>
      <c r="G93" s="2">
        <f t="shared" si="1"/>
        <v>-204.5</v>
      </c>
      <c r="H93" s="2" t="s">
        <v>52</v>
      </c>
      <c r="L93" s="2" t="s">
        <v>11</v>
      </c>
    </row>
    <row r="94" ht="12.75" customHeight="1">
      <c r="A94" s="2">
        <v>2015.0</v>
      </c>
      <c r="B94" s="2">
        <v>11.0</v>
      </c>
      <c r="C94" s="2">
        <v>17.0</v>
      </c>
      <c r="D94" s="2" t="s">
        <v>89</v>
      </c>
      <c r="E94" s="2">
        <v>-129.0</v>
      </c>
      <c r="F94" s="2">
        <v>0.0</v>
      </c>
      <c r="G94" s="2">
        <f t="shared" si="1"/>
        <v>-129</v>
      </c>
      <c r="H94" s="2" t="s">
        <v>35</v>
      </c>
      <c r="L94" s="2" t="s">
        <v>11</v>
      </c>
    </row>
    <row r="95" ht="12.75" customHeight="1">
      <c r="A95" s="2">
        <v>2015.0</v>
      </c>
      <c r="B95" s="2">
        <v>11.0</v>
      </c>
      <c r="C95" s="2">
        <v>16.0</v>
      </c>
      <c r="D95" s="2" t="s">
        <v>90</v>
      </c>
      <c r="E95" s="2">
        <v>-120.0</v>
      </c>
      <c r="F95" s="2">
        <v>0.0</v>
      </c>
      <c r="G95" s="2">
        <f t="shared" si="1"/>
        <v>-120</v>
      </c>
      <c r="H95" s="2" t="s">
        <v>47</v>
      </c>
      <c r="L95" s="2" t="s">
        <v>11</v>
      </c>
    </row>
    <row r="96" ht="12.75" customHeight="1">
      <c r="A96" s="2">
        <v>2015.0</v>
      </c>
      <c r="B96" s="2">
        <v>11.0</v>
      </c>
      <c r="C96" s="2">
        <v>16.0</v>
      </c>
      <c r="D96" s="2" t="s">
        <v>91</v>
      </c>
      <c r="E96" s="2">
        <v>-80.0</v>
      </c>
      <c r="F96" s="2">
        <v>0.0</v>
      </c>
      <c r="G96" s="2">
        <f t="shared" si="1"/>
        <v>-80</v>
      </c>
      <c r="H96" s="2" t="s">
        <v>38</v>
      </c>
      <c r="L96" s="2" t="s">
        <v>11</v>
      </c>
    </row>
    <row r="97" ht="12.75" customHeight="1">
      <c r="A97" s="2">
        <v>2015.0</v>
      </c>
      <c r="B97" s="2">
        <v>11.0</v>
      </c>
      <c r="C97" s="2">
        <v>15.0</v>
      </c>
      <c r="D97" s="2" t="s">
        <v>71</v>
      </c>
      <c r="E97" s="2">
        <v>-235.0</v>
      </c>
      <c r="F97" s="2">
        <v>-235.0</v>
      </c>
      <c r="G97" s="2">
        <f t="shared" si="1"/>
        <v>-235</v>
      </c>
      <c r="H97" s="2" t="s">
        <v>72</v>
      </c>
      <c r="L97" s="2" t="s">
        <v>11</v>
      </c>
    </row>
    <row r="98" ht="12.75" customHeight="1">
      <c r="A98" s="2">
        <v>2015.0</v>
      </c>
      <c r="B98" s="2">
        <v>11.0</v>
      </c>
      <c r="C98" s="2">
        <v>15.0</v>
      </c>
      <c r="D98" s="2" t="s">
        <v>71</v>
      </c>
      <c r="E98" s="2">
        <v>-235.0</v>
      </c>
      <c r="F98" s="2">
        <v>0.0</v>
      </c>
      <c r="G98" s="2">
        <f t="shared" si="1"/>
        <v>-235</v>
      </c>
      <c r="H98" s="2" t="s">
        <v>72</v>
      </c>
      <c r="L98" s="2" t="s">
        <v>11</v>
      </c>
    </row>
    <row r="99" ht="12.75" customHeight="1">
      <c r="A99" s="2">
        <v>2015.0</v>
      </c>
      <c r="B99" s="2">
        <v>11.0</v>
      </c>
      <c r="C99" s="2">
        <v>15.0</v>
      </c>
      <c r="D99" s="2" t="s">
        <v>71</v>
      </c>
      <c r="E99" s="2">
        <v>219.0</v>
      </c>
      <c r="F99" s="2">
        <v>0.0</v>
      </c>
      <c r="G99" s="2">
        <f t="shared" si="1"/>
        <v>219</v>
      </c>
      <c r="H99" s="2" t="s">
        <v>72</v>
      </c>
      <c r="L99" s="2" t="s">
        <v>11</v>
      </c>
    </row>
    <row r="100" ht="12.75" customHeight="1">
      <c r="A100" s="2">
        <v>2015.0</v>
      </c>
      <c r="B100" s="2">
        <v>11.0</v>
      </c>
      <c r="C100" s="2">
        <v>13.0</v>
      </c>
      <c r="D100" s="2" t="s">
        <v>92</v>
      </c>
      <c r="E100" s="2">
        <v>-110.0</v>
      </c>
      <c r="F100" s="2">
        <v>0.0</v>
      </c>
      <c r="G100" s="2">
        <f t="shared" si="1"/>
        <v>-110</v>
      </c>
      <c r="H100" s="2" t="s">
        <v>47</v>
      </c>
      <c r="L100" s="2" t="s">
        <v>11</v>
      </c>
    </row>
    <row r="101" ht="12.75" customHeight="1">
      <c r="A101" s="2">
        <v>2015.0</v>
      </c>
      <c r="B101" s="2">
        <v>11.0</v>
      </c>
      <c r="C101" s="2">
        <v>13.0</v>
      </c>
      <c r="D101" s="2" t="s">
        <v>58</v>
      </c>
      <c r="E101" s="2">
        <v>-110.0</v>
      </c>
      <c r="F101" s="2">
        <v>0.0</v>
      </c>
      <c r="G101" s="2">
        <f t="shared" si="1"/>
        <v>-110</v>
      </c>
      <c r="H101" s="2" t="s">
        <v>38</v>
      </c>
      <c r="L101" s="2" t="s">
        <v>11</v>
      </c>
    </row>
    <row r="102" ht="12.75" customHeight="1">
      <c r="A102" s="2">
        <v>2015.0</v>
      </c>
      <c r="B102" s="2">
        <v>11.0</v>
      </c>
      <c r="C102" s="2">
        <v>12.0</v>
      </c>
      <c r="D102" s="2" t="s">
        <v>9</v>
      </c>
      <c r="E102" s="2">
        <v>-7914.0</v>
      </c>
      <c r="F102" s="2">
        <v>0.0</v>
      </c>
      <c r="G102" s="2">
        <f t="shared" si="1"/>
        <v>-7914</v>
      </c>
      <c r="H102" s="2" t="s">
        <v>10</v>
      </c>
      <c r="L102" s="2" t="s">
        <v>11</v>
      </c>
    </row>
    <row r="103" ht="12.75" customHeight="1">
      <c r="A103" s="2">
        <v>2015.0</v>
      </c>
      <c r="B103" s="2">
        <v>11.0</v>
      </c>
      <c r="C103" s="2">
        <v>12.0</v>
      </c>
      <c r="D103" s="2" t="s">
        <v>93</v>
      </c>
      <c r="E103" s="2">
        <v>-830.0</v>
      </c>
      <c r="F103" s="2">
        <v>0.0</v>
      </c>
      <c r="G103" s="2">
        <f t="shared" si="1"/>
        <v>-830</v>
      </c>
      <c r="H103" s="2" t="s">
        <v>38</v>
      </c>
      <c r="L103" s="2" t="s">
        <v>11</v>
      </c>
    </row>
    <row r="104" ht="12.75" customHeight="1">
      <c r="A104" s="2">
        <v>2015.0</v>
      </c>
      <c r="B104" s="2">
        <v>11.0</v>
      </c>
      <c r="C104" s="2">
        <v>11.0</v>
      </c>
      <c r="D104" s="2" t="s">
        <v>94</v>
      </c>
      <c r="E104" s="2">
        <v>368.0</v>
      </c>
      <c r="F104" s="2">
        <v>0.0</v>
      </c>
      <c r="G104" s="2">
        <f t="shared" si="1"/>
        <v>368</v>
      </c>
      <c r="H104" s="2" t="s">
        <v>13</v>
      </c>
      <c r="L104" s="2" t="s">
        <v>11</v>
      </c>
    </row>
    <row r="105" ht="12.75" customHeight="1">
      <c r="A105" s="2">
        <v>2015.0</v>
      </c>
      <c r="B105" s="2">
        <v>11.0</v>
      </c>
      <c r="C105" s="2">
        <v>11.0</v>
      </c>
      <c r="D105" s="2" t="s">
        <v>95</v>
      </c>
      <c r="E105" s="2">
        <v>-150.0</v>
      </c>
      <c r="F105" s="2">
        <v>0.0</v>
      </c>
      <c r="G105" s="2">
        <f t="shared" si="1"/>
        <v>-150</v>
      </c>
      <c r="H105" s="2" t="s">
        <v>47</v>
      </c>
      <c r="L105" s="2" t="s">
        <v>11</v>
      </c>
    </row>
    <row r="106" ht="12.75" customHeight="1">
      <c r="A106" s="2">
        <v>2015.0</v>
      </c>
      <c r="B106" s="2">
        <v>11.0</v>
      </c>
      <c r="C106" s="2">
        <v>11.0</v>
      </c>
      <c r="D106" s="2" t="s">
        <v>95</v>
      </c>
      <c r="E106" s="2">
        <v>-15.0</v>
      </c>
      <c r="F106" s="2">
        <v>0.0</v>
      </c>
      <c r="G106" s="2">
        <f t="shared" si="1"/>
        <v>-15</v>
      </c>
      <c r="H106" s="2" t="s">
        <v>47</v>
      </c>
      <c r="L106" s="2" t="s">
        <v>11</v>
      </c>
    </row>
    <row r="107" ht="12.75" customHeight="1">
      <c r="A107" s="2">
        <v>2015.0</v>
      </c>
      <c r="B107" s="2">
        <v>11.0</v>
      </c>
      <c r="C107" s="2">
        <v>10.0</v>
      </c>
      <c r="D107" s="2" t="s">
        <v>58</v>
      </c>
      <c r="E107" s="2">
        <v>-70.0</v>
      </c>
      <c r="F107" s="2">
        <v>0.0</v>
      </c>
      <c r="G107" s="2">
        <f t="shared" si="1"/>
        <v>-70</v>
      </c>
      <c r="H107" s="2" t="s">
        <v>38</v>
      </c>
      <c r="L107" s="2" t="s">
        <v>11</v>
      </c>
    </row>
    <row r="108" ht="12.75" customHeight="1">
      <c r="A108" s="2">
        <v>2015.0</v>
      </c>
      <c r="B108" s="2">
        <v>11.0</v>
      </c>
      <c r="C108" s="2">
        <v>9.0</v>
      </c>
      <c r="D108" s="2" t="s">
        <v>96</v>
      </c>
      <c r="E108" s="2">
        <v>-75.0</v>
      </c>
      <c r="F108" s="2">
        <v>0.0</v>
      </c>
      <c r="G108" s="2">
        <f t="shared" si="1"/>
        <v>-75</v>
      </c>
      <c r="H108" s="2" t="s">
        <v>38</v>
      </c>
      <c r="L108" s="2" t="s">
        <v>11</v>
      </c>
    </row>
    <row r="109" ht="12.75" customHeight="1">
      <c r="A109" s="2">
        <v>2015.0</v>
      </c>
      <c r="B109" s="2">
        <v>11.0</v>
      </c>
      <c r="C109" s="2">
        <v>9.0</v>
      </c>
      <c r="D109" s="2" t="s">
        <v>97</v>
      </c>
      <c r="E109" s="2">
        <v>-362.0</v>
      </c>
      <c r="F109" s="2">
        <v>0.0</v>
      </c>
      <c r="G109" s="2">
        <f t="shared" si="1"/>
        <v>-362</v>
      </c>
      <c r="H109" s="2" t="s">
        <v>47</v>
      </c>
      <c r="L109" s="2" t="s">
        <v>11</v>
      </c>
    </row>
    <row r="110" ht="12.75" customHeight="1">
      <c r="A110" s="2">
        <v>2015.0</v>
      </c>
      <c r="B110" s="2">
        <v>11.0</v>
      </c>
      <c r="C110" s="2">
        <v>6.0</v>
      </c>
      <c r="D110" s="2" t="s">
        <v>98</v>
      </c>
      <c r="E110" s="2">
        <v>-46.0</v>
      </c>
      <c r="F110" s="2">
        <v>0.0</v>
      </c>
      <c r="G110" s="2">
        <f t="shared" si="1"/>
        <v>-46</v>
      </c>
      <c r="H110" s="2" t="s">
        <v>52</v>
      </c>
      <c r="L110" s="2" t="s">
        <v>11</v>
      </c>
    </row>
    <row r="111" ht="12.75" customHeight="1">
      <c r="A111" s="2">
        <v>2015.0</v>
      </c>
      <c r="B111" s="2">
        <v>11.0</v>
      </c>
      <c r="C111" s="2">
        <v>6.0</v>
      </c>
      <c r="D111" s="2" t="s">
        <v>98</v>
      </c>
      <c r="E111" s="2">
        <v>-368.0</v>
      </c>
      <c r="F111" s="2">
        <v>0.0</v>
      </c>
      <c r="G111" s="2">
        <f t="shared" si="1"/>
        <v>-368</v>
      </c>
      <c r="H111" s="2" t="s">
        <v>52</v>
      </c>
      <c r="L111" s="2" t="s">
        <v>11</v>
      </c>
    </row>
    <row r="112" ht="12.75" customHeight="1">
      <c r="A112" s="2">
        <v>2015.0</v>
      </c>
      <c r="B112" s="2">
        <v>11.0</v>
      </c>
      <c r="C112" s="2">
        <v>6.0</v>
      </c>
      <c r="D112" s="2" t="s">
        <v>98</v>
      </c>
      <c r="E112" s="2">
        <v>-300.0</v>
      </c>
      <c r="F112" s="2">
        <v>0.0</v>
      </c>
      <c r="G112" s="2">
        <f t="shared" si="1"/>
        <v>-300</v>
      </c>
      <c r="H112" s="2" t="s">
        <v>52</v>
      </c>
      <c r="L112" s="2" t="s">
        <v>11</v>
      </c>
    </row>
    <row r="113" ht="12.75" customHeight="1">
      <c r="A113" s="2">
        <v>2015.0</v>
      </c>
      <c r="B113" s="2">
        <v>11.0</v>
      </c>
      <c r="C113" s="2">
        <v>6.0</v>
      </c>
      <c r="D113" s="2" t="s">
        <v>99</v>
      </c>
      <c r="E113" s="2">
        <v>-200.0</v>
      </c>
      <c r="F113" s="2">
        <v>0.0</v>
      </c>
      <c r="G113" s="2">
        <f t="shared" si="1"/>
        <v>-200</v>
      </c>
      <c r="H113" s="2" t="s">
        <v>31</v>
      </c>
      <c r="L113" s="2" t="s">
        <v>11</v>
      </c>
    </row>
    <row r="114" ht="12.75" customHeight="1">
      <c r="A114" s="2">
        <v>2015.0</v>
      </c>
      <c r="B114" s="2">
        <v>11.0</v>
      </c>
      <c r="C114" s="2">
        <v>6.0</v>
      </c>
      <c r="D114" s="2" t="s">
        <v>100</v>
      </c>
      <c r="E114" s="2">
        <v>-1500.0</v>
      </c>
      <c r="F114" s="2">
        <v>0.0</v>
      </c>
      <c r="G114" s="2">
        <f t="shared" si="1"/>
        <v>-1500</v>
      </c>
      <c r="H114" s="2" t="s">
        <v>52</v>
      </c>
      <c r="L114" s="2" t="s">
        <v>11</v>
      </c>
    </row>
    <row r="115" ht="12.75" customHeight="1">
      <c r="A115" s="2">
        <v>2015.0</v>
      </c>
      <c r="B115" s="2">
        <v>11.0</v>
      </c>
      <c r="C115" s="2">
        <v>5.0</v>
      </c>
      <c r="D115" s="2" t="s">
        <v>58</v>
      </c>
      <c r="E115" s="2">
        <v>-110.0</v>
      </c>
      <c r="F115" s="2">
        <v>0.0</v>
      </c>
      <c r="G115" s="2">
        <f t="shared" si="1"/>
        <v>-110</v>
      </c>
      <c r="H115" s="2" t="s">
        <v>38</v>
      </c>
      <c r="L115" s="2" t="s">
        <v>11</v>
      </c>
    </row>
    <row r="116" ht="12.75" customHeight="1">
      <c r="A116" s="2">
        <v>2015.0</v>
      </c>
      <c r="B116" s="2">
        <v>11.0</v>
      </c>
      <c r="C116" s="2">
        <v>4.0</v>
      </c>
      <c r="D116" s="2" t="s">
        <v>101</v>
      </c>
      <c r="E116" s="2">
        <v>-110.0</v>
      </c>
      <c r="F116" s="2">
        <v>0.0</v>
      </c>
      <c r="G116" s="2">
        <f t="shared" si="1"/>
        <v>-110</v>
      </c>
      <c r="H116" s="2" t="s">
        <v>54</v>
      </c>
      <c r="L116" s="2" t="s">
        <v>11</v>
      </c>
    </row>
    <row r="117" ht="12.75" customHeight="1">
      <c r="A117" s="2">
        <v>2015.0</v>
      </c>
      <c r="B117" s="2">
        <v>11.0</v>
      </c>
      <c r="C117" s="2">
        <v>4.0</v>
      </c>
      <c r="D117" s="2" t="s">
        <v>102</v>
      </c>
      <c r="E117" s="2">
        <v>-251.0</v>
      </c>
      <c r="F117" s="2">
        <v>0.0</v>
      </c>
      <c r="G117" s="2">
        <f t="shared" si="1"/>
        <v>-251</v>
      </c>
      <c r="H117" s="2" t="s">
        <v>103</v>
      </c>
      <c r="L117" s="2" t="s">
        <v>11</v>
      </c>
    </row>
    <row r="118" ht="12.75" customHeight="1">
      <c r="A118" s="2">
        <v>2015.0</v>
      </c>
      <c r="B118" s="2">
        <v>11.0</v>
      </c>
      <c r="C118" s="2">
        <v>4.0</v>
      </c>
      <c r="D118" s="2" t="s">
        <v>58</v>
      </c>
      <c r="E118" s="2">
        <v>-110.0</v>
      </c>
      <c r="F118" s="2">
        <v>0.0</v>
      </c>
      <c r="G118" s="2">
        <f t="shared" si="1"/>
        <v>-110</v>
      </c>
      <c r="H118" s="2" t="s">
        <v>38</v>
      </c>
      <c r="L118" s="2" t="s">
        <v>11</v>
      </c>
    </row>
    <row r="119" ht="12.75" customHeight="1">
      <c r="A119" s="2">
        <v>2015.0</v>
      </c>
      <c r="B119" s="2">
        <v>11.0</v>
      </c>
      <c r="C119" s="2">
        <v>3.0</v>
      </c>
      <c r="D119" s="2" t="s">
        <v>91</v>
      </c>
      <c r="E119" s="2">
        <v>-80.0</v>
      </c>
      <c r="F119" s="2">
        <v>0.0</v>
      </c>
      <c r="G119" s="2">
        <f t="shared" si="1"/>
        <v>-80</v>
      </c>
      <c r="H119" s="2" t="s">
        <v>38</v>
      </c>
      <c r="L119" s="2" t="s">
        <v>11</v>
      </c>
    </row>
    <row r="120" ht="12.75" customHeight="1">
      <c r="A120" s="2">
        <v>2015.0</v>
      </c>
      <c r="B120" s="2">
        <v>11.0</v>
      </c>
      <c r="C120" s="2">
        <v>3.0</v>
      </c>
      <c r="D120" s="2" t="s">
        <v>104</v>
      </c>
      <c r="E120" s="2">
        <v>-10.0</v>
      </c>
      <c r="F120" s="2">
        <v>0.0</v>
      </c>
      <c r="G120" s="2">
        <f t="shared" si="1"/>
        <v>-10</v>
      </c>
      <c r="H120" s="2" t="s">
        <v>13</v>
      </c>
      <c r="L120" s="2" t="s">
        <v>11</v>
      </c>
    </row>
    <row r="121" ht="12.75" customHeight="1">
      <c r="A121" s="2">
        <v>2015.0</v>
      </c>
      <c r="B121" s="2">
        <v>11.0</v>
      </c>
      <c r="C121" s="2">
        <v>3.0</v>
      </c>
      <c r="D121" s="2" t="s">
        <v>104</v>
      </c>
      <c r="E121" s="2">
        <v>10.0</v>
      </c>
      <c r="F121" s="2">
        <v>0.0</v>
      </c>
      <c r="G121" s="2">
        <f t="shared" si="1"/>
        <v>10</v>
      </c>
      <c r="H121" s="2" t="s">
        <v>13</v>
      </c>
      <c r="L121" s="2" t="s">
        <v>11</v>
      </c>
    </row>
    <row r="122" ht="12.75" customHeight="1">
      <c r="A122" s="2">
        <v>2015.0</v>
      </c>
      <c r="B122" s="2">
        <v>11.0</v>
      </c>
      <c r="C122" s="2">
        <v>2.0</v>
      </c>
      <c r="D122" s="2" t="s">
        <v>73</v>
      </c>
      <c r="E122" s="2">
        <v>-8872.0</v>
      </c>
      <c r="F122" s="2">
        <v>0.0</v>
      </c>
      <c r="G122" s="2">
        <f t="shared" si="1"/>
        <v>-8872</v>
      </c>
      <c r="H122" s="2" t="s">
        <v>10</v>
      </c>
      <c r="L122" s="2" t="s">
        <v>11</v>
      </c>
    </row>
    <row r="123" ht="12.75" customHeight="1">
      <c r="A123" s="2">
        <v>2015.0</v>
      </c>
      <c r="B123" s="2">
        <v>10.0</v>
      </c>
      <c r="C123" s="2">
        <v>30.0</v>
      </c>
      <c r="D123" s="2" t="s">
        <v>12</v>
      </c>
      <c r="E123" s="2">
        <v>-18527.86</v>
      </c>
      <c r="F123" s="2">
        <v>0.0</v>
      </c>
      <c r="G123" s="2">
        <f t="shared" si="1"/>
        <v>-18527.86</v>
      </c>
      <c r="H123" s="2" t="s">
        <v>13</v>
      </c>
      <c r="L123" s="2" t="s">
        <v>11</v>
      </c>
    </row>
    <row r="124" ht="12.75" customHeight="1">
      <c r="A124" s="2">
        <v>2015.0</v>
      </c>
      <c r="B124" s="2">
        <v>10.0</v>
      </c>
      <c r="C124" s="2">
        <v>30.0</v>
      </c>
      <c r="D124" s="2" t="s">
        <v>14</v>
      </c>
      <c r="E124" s="2">
        <v>-4007.0</v>
      </c>
      <c r="F124" s="2">
        <v>0.0</v>
      </c>
      <c r="G124" s="2">
        <f t="shared" si="1"/>
        <v>-4007</v>
      </c>
      <c r="H124" s="2" t="s">
        <v>10</v>
      </c>
      <c r="L124" s="2" t="s">
        <v>11</v>
      </c>
    </row>
    <row r="125" ht="12.75" customHeight="1">
      <c r="A125" s="2">
        <v>2015.0</v>
      </c>
      <c r="B125" s="2">
        <v>10.0</v>
      </c>
      <c r="C125" s="2">
        <v>30.0</v>
      </c>
      <c r="D125" s="2" t="s">
        <v>15</v>
      </c>
      <c r="E125" s="2">
        <v>-207.8</v>
      </c>
      <c r="F125" s="2">
        <v>0.0</v>
      </c>
      <c r="G125" s="2">
        <f t="shared" si="1"/>
        <v>-207.8</v>
      </c>
      <c r="H125" s="2" t="s">
        <v>10</v>
      </c>
      <c r="L125" s="2" t="s">
        <v>11</v>
      </c>
    </row>
    <row r="126" ht="12.75" customHeight="1">
      <c r="A126" s="2">
        <v>2015.0</v>
      </c>
      <c r="B126" s="2">
        <v>10.0</v>
      </c>
      <c r="C126" s="2">
        <v>30.0</v>
      </c>
      <c r="D126" s="2" t="s">
        <v>16</v>
      </c>
      <c r="E126" s="2">
        <v>-153.0</v>
      </c>
      <c r="F126" s="2">
        <v>0.0</v>
      </c>
      <c r="G126" s="2">
        <f t="shared" si="1"/>
        <v>-153</v>
      </c>
      <c r="H126" s="2" t="s">
        <v>17</v>
      </c>
      <c r="L126" s="2" t="s">
        <v>11</v>
      </c>
    </row>
    <row r="127" ht="12.75" customHeight="1">
      <c r="A127" s="2">
        <v>2015.0</v>
      </c>
      <c r="B127" s="2">
        <v>10.0</v>
      </c>
      <c r="C127" s="2">
        <v>30.0</v>
      </c>
      <c r="D127" s="2" t="s">
        <v>105</v>
      </c>
      <c r="E127" s="2">
        <v>-841.0</v>
      </c>
      <c r="F127" s="2">
        <v>0.0</v>
      </c>
      <c r="G127" s="2">
        <f t="shared" si="1"/>
        <v>-841</v>
      </c>
      <c r="H127" s="2" t="s">
        <v>22</v>
      </c>
      <c r="L127" s="2" t="s">
        <v>11</v>
      </c>
    </row>
    <row r="128" ht="12.75" customHeight="1">
      <c r="A128" s="2">
        <v>2015.0</v>
      </c>
      <c r="B128" s="2">
        <v>10.0</v>
      </c>
      <c r="C128" s="2">
        <v>30.0</v>
      </c>
      <c r="D128" s="2">
        <v>4.7516877E7</v>
      </c>
      <c r="E128" s="2">
        <v>1000.0</v>
      </c>
      <c r="F128" s="2">
        <v>0.0</v>
      </c>
      <c r="G128" s="2">
        <f t="shared" si="1"/>
        <v>1000</v>
      </c>
      <c r="H128" s="2" t="s">
        <v>18</v>
      </c>
      <c r="L128" s="2" t="s">
        <v>11</v>
      </c>
    </row>
    <row r="129" ht="12.75" customHeight="1">
      <c r="A129" s="2">
        <v>2015.0</v>
      </c>
      <c r="B129" s="2">
        <v>10.0</v>
      </c>
      <c r="C129" s="2">
        <v>29.0</v>
      </c>
      <c r="D129" s="2" t="s">
        <v>19</v>
      </c>
      <c r="E129" s="2">
        <v>-320.0</v>
      </c>
      <c r="F129" s="2">
        <v>0.0</v>
      </c>
      <c r="G129" s="2">
        <f t="shared" si="1"/>
        <v>-320</v>
      </c>
      <c r="H129" s="2" t="s">
        <v>20</v>
      </c>
      <c r="L129" s="2" t="s">
        <v>11</v>
      </c>
    </row>
    <row r="130" ht="12.75" customHeight="1">
      <c r="A130" s="2">
        <v>2015.0</v>
      </c>
      <c r="B130" s="2">
        <v>10.0</v>
      </c>
      <c r="C130" s="2">
        <v>29.0</v>
      </c>
      <c r="D130" s="2" t="s">
        <v>106</v>
      </c>
      <c r="E130" s="2">
        <v>-880.0</v>
      </c>
      <c r="F130" s="2">
        <v>0.0</v>
      </c>
      <c r="G130" s="2">
        <f t="shared" si="1"/>
        <v>-880</v>
      </c>
      <c r="H130" s="2" t="s">
        <v>47</v>
      </c>
      <c r="L130" s="2" t="s">
        <v>11</v>
      </c>
    </row>
    <row r="131" ht="12.75" customHeight="1">
      <c r="A131" s="2">
        <v>2015.0</v>
      </c>
      <c r="B131" s="2">
        <v>10.0</v>
      </c>
      <c r="C131" s="2">
        <v>29.0</v>
      </c>
      <c r="D131" s="2" t="s">
        <v>107</v>
      </c>
      <c r="E131" s="2">
        <v>-95.0</v>
      </c>
      <c r="F131" s="2">
        <v>0.0</v>
      </c>
      <c r="G131" s="2">
        <f t="shared" si="1"/>
        <v>-95</v>
      </c>
      <c r="H131" s="2" t="s">
        <v>38</v>
      </c>
      <c r="L131" s="2" t="s">
        <v>11</v>
      </c>
    </row>
    <row r="132" ht="12.75" customHeight="1">
      <c r="A132" s="2">
        <v>2015.0</v>
      </c>
      <c r="B132" s="2">
        <v>10.0</v>
      </c>
      <c r="C132" s="2">
        <v>29.0</v>
      </c>
      <c r="D132" s="2" t="s">
        <v>108</v>
      </c>
      <c r="E132" s="2">
        <v>670.0</v>
      </c>
      <c r="F132" s="2">
        <v>0.0</v>
      </c>
      <c r="G132" s="2">
        <f t="shared" si="1"/>
        <v>670</v>
      </c>
      <c r="H132" s="2" t="s">
        <v>31</v>
      </c>
      <c r="L132" s="2" t="s">
        <v>11</v>
      </c>
    </row>
    <row r="133" ht="12.75" customHeight="1">
      <c r="A133" s="2">
        <v>2015.0</v>
      </c>
      <c r="B133" s="2">
        <v>10.0</v>
      </c>
      <c r="C133" s="2">
        <v>29.0</v>
      </c>
      <c r="D133" s="2" t="s">
        <v>109</v>
      </c>
      <c r="E133" s="2">
        <v>-40.0</v>
      </c>
      <c r="F133" s="2">
        <v>0.0</v>
      </c>
      <c r="G133" s="2">
        <f t="shared" si="1"/>
        <v>-40</v>
      </c>
      <c r="H133" s="2" t="s">
        <v>13</v>
      </c>
      <c r="L133" s="2" t="s">
        <v>11</v>
      </c>
    </row>
    <row r="134" ht="12.75" customHeight="1">
      <c r="A134" s="2">
        <v>2015.0</v>
      </c>
      <c r="B134" s="2">
        <v>10.0</v>
      </c>
      <c r="C134" s="2">
        <v>29.0</v>
      </c>
      <c r="D134" s="2" t="s">
        <v>21</v>
      </c>
      <c r="E134" s="2">
        <v>-299.0</v>
      </c>
      <c r="F134" s="2">
        <v>0.0</v>
      </c>
      <c r="G134" s="2">
        <f t="shared" si="1"/>
        <v>-299</v>
      </c>
      <c r="H134" s="2" t="s">
        <v>22</v>
      </c>
      <c r="L134" s="2" t="s">
        <v>11</v>
      </c>
    </row>
    <row r="135" ht="12.75" customHeight="1">
      <c r="A135" s="2">
        <v>2015.0</v>
      </c>
      <c r="B135" s="2">
        <v>10.0</v>
      </c>
      <c r="C135" s="2">
        <v>29.0</v>
      </c>
      <c r="D135" s="2" t="s">
        <v>23</v>
      </c>
      <c r="E135" s="2">
        <v>-303.0</v>
      </c>
      <c r="F135" s="2">
        <v>0.0</v>
      </c>
      <c r="G135" s="2">
        <f t="shared" si="1"/>
        <v>-303</v>
      </c>
      <c r="H135" s="2" t="s">
        <v>24</v>
      </c>
      <c r="L135" s="2" t="s">
        <v>11</v>
      </c>
    </row>
    <row r="136" ht="12.75" customHeight="1">
      <c r="A136" s="2">
        <v>2015.0</v>
      </c>
      <c r="B136" s="2">
        <v>10.0</v>
      </c>
      <c r="C136" s="2">
        <v>28.0</v>
      </c>
      <c r="D136" s="2" t="s">
        <v>25</v>
      </c>
      <c r="E136" s="2">
        <v>-100.0</v>
      </c>
      <c r="F136" s="2">
        <v>0.0</v>
      </c>
      <c r="G136" s="2">
        <f t="shared" si="1"/>
        <v>-100</v>
      </c>
      <c r="H136" s="2" t="s">
        <v>26</v>
      </c>
      <c r="L136" s="2" t="s">
        <v>11</v>
      </c>
    </row>
    <row r="137" ht="12.75" customHeight="1">
      <c r="A137" s="2">
        <v>2015.0</v>
      </c>
      <c r="B137" s="2">
        <v>10.0</v>
      </c>
      <c r="C137" s="2">
        <v>28.0</v>
      </c>
      <c r="D137" s="2" t="s">
        <v>107</v>
      </c>
      <c r="E137" s="2">
        <v>-95.0</v>
      </c>
      <c r="F137" s="2">
        <v>0.0</v>
      </c>
      <c r="G137" s="2">
        <f t="shared" si="1"/>
        <v>-95</v>
      </c>
      <c r="H137" s="2" t="s">
        <v>38</v>
      </c>
      <c r="L137" s="2" t="s">
        <v>11</v>
      </c>
    </row>
    <row r="138" ht="12.75" customHeight="1">
      <c r="A138" s="2">
        <v>2015.0</v>
      </c>
      <c r="B138" s="2">
        <v>10.0</v>
      </c>
      <c r="C138" s="2">
        <v>27.0</v>
      </c>
      <c r="D138" s="2" t="s">
        <v>93</v>
      </c>
      <c r="E138" s="2">
        <v>-830.0</v>
      </c>
      <c r="F138" s="2">
        <v>0.0</v>
      </c>
      <c r="G138" s="2">
        <f t="shared" si="1"/>
        <v>-830</v>
      </c>
      <c r="H138" s="2" t="s">
        <v>38</v>
      </c>
      <c r="L138" s="2" t="s">
        <v>11</v>
      </c>
    </row>
    <row r="139" ht="12.75" customHeight="1">
      <c r="A139" s="2">
        <v>2015.0</v>
      </c>
      <c r="B139" s="2">
        <v>10.0</v>
      </c>
      <c r="C139" s="2">
        <v>26.0</v>
      </c>
      <c r="D139" s="2" t="s">
        <v>110</v>
      </c>
      <c r="E139" s="2">
        <v>-4690.0</v>
      </c>
      <c r="F139" s="2">
        <v>0.0</v>
      </c>
      <c r="G139" s="2">
        <f t="shared" si="1"/>
        <v>-4690</v>
      </c>
      <c r="H139" s="2" t="s">
        <v>31</v>
      </c>
      <c r="L139" s="2" t="s">
        <v>11</v>
      </c>
    </row>
    <row r="140" ht="12.75" customHeight="1">
      <c r="A140" s="2">
        <v>2015.0</v>
      </c>
      <c r="B140" s="2">
        <v>10.0</v>
      </c>
      <c r="C140" s="2">
        <v>26.0</v>
      </c>
      <c r="D140" s="2" t="s">
        <v>111</v>
      </c>
      <c r="E140" s="2">
        <v>-1130.0</v>
      </c>
      <c r="F140" s="2">
        <v>0.0</v>
      </c>
      <c r="G140" s="2">
        <f t="shared" si="1"/>
        <v>-1130</v>
      </c>
      <c r="H140" s="2" t="s">
        <v>31</v>
      </c>
      <c r="L140" s="2" t="s">
        <v>11</v>
      </c>
    </row>
    <row r="141" ht="12.75" customHeight="1">
      <c r="A141" s="2">
        <v>2015.0</v>
      </c>
      <c r="B141" s="2">
        <v>10.0</v>
      </c>
      <c r="C141" s="2">
        <v>26.0</v>
      </c>
      <c r="D141" s="2" t="s">
        <v>27</v>
      </c>
      <c r="E141" s="2">
        <v>-5000.0</v>
      </c>
      <c r="F141" s="2">
        <v>0.0</v>
      </c>
      <c r="G141" s="2">
        <f t="shared" si="1"/>
        <v>-5000</v>
      </c>
      <c r="H141" s="2" t="s">
        <v>28</v>
      </c>
      <c r="L141" s="2" t="s">
        <v>11</v>
      </c>
    </row>
    <row r="142" ht="12.75" customHeight="1">
      <c r="A142" s="2">
        <v>2015.0</v>
      </c>
      <c r="B142" s="2">
        <v>10.0</v>
      </c>
      <c r="C142" s="2">
        <v>26.0</v>
      </c>
      <c r="D142" s="2" t="s">
        <v>27</v>
      </c>
      <c r="E142" s="2">
        <v>5000.0</v>
      </c>
      <c r="F142" s="2">
        <v>0.0</v>
      </c>
      <c r="G142" s="2">
        <f t="shared" si="1"/>
        <v>5000</v>
      </c>
      <c r="H142" s="2" t="s">
        <v>28</v>
      </c>
      <c r="L142" s="2" t="s">
        <v>11</v>
      </c>
    </row>
    <row r="143" ht="12.75" customHeight="1">
      <c r="A143" s="2">
        <v>2015.0</v>
      </c>
      <c r="B143" s="2">
        <v>10.0</v>
      </c>
      <c r="C143" s="2">
        <v>26.0</v>
      </c>
      <c r="D143" s="2" t="s">
        <v>29</v>
      </c>
      <c r="E143" s="2">
        <v>-1250.0</v>
      </c>
      <c r="F143" s="2">
        <v>0.0</v>
      </c>
      <c r="G143" s="2">
        <f t="shared" si="1"/>
        <v>-1250</v>
      </c>
      <c r="H143" s="2" t="s">
        <v>18</v>
      </c>
      <c r="L143" s="2" t="s">
        <v>11</v>
      </c>
    </row>
    <row r="144" ht="12.75" customHeight="1">
      <c r="A144" s="2">
        <v>2015.0</v>
      </c>
      <c r="B144" s="2">
        <v>10.0</v>
      </c>
      <c r="C144" s="2">
        <v>25.0</v>
      </c>
      <c r="D144" s="2" t="s">
        <v>112</v>
      </c>
      <c r="E144" s="2">
        <v>-60.0</v>
      </c>
      <c r="F144" s="2">
        <v>0.0</v>
      </c>
      <c r="G144" s="2">
        <f t="shared" si="1"/>
        <v>-60</v>
      </c>
      <c r="H144" s="2" t="s">
        <v>13</v>
      </c>
      <c r="L144" s="2" t="s">
        <v>11</v>
      </c>
    </row>
    <row r="145" ht="12.75" customHeight="1">
      <c r="A145" s="2">
        <v>2015.0</v>
      </c>
      <c r="B145" s="2">
        <v>10.0</v>
      </c>
      <c r="C145" s="2">
        <v>25.0</v>
      </c>
      <c r="D145" s="2" t="s">
        <v>113</v>
      </c>
      <c r="E145" s="2">
        <v>-1085.0</v>
      </c>
      <c r="F145" s="2">
        <v>0.0</v>
      </c>
      <c r="G145" s="2">
        <f t="shared" si="1"/>
        <v>-1085</v>
      </c>
      <c r="H145" s="2" t="s">
        <v>47</v>
      </c>
      <c r="L145" s="2" t="s">
        <v>11</v>
      </c>
    </row>
    <row r="146" ht="12.75" customHeight="1">
      <c r="A146" s="2">
        <v>2015.0</v>
      </c>
      <c r="B146" s="2">
        <v>10.0</v>
      </c>
      <c r="C146" s="2">
        <v>23.0</v>
      </c>
      <c r="D146" s="2" t="s">
        <v>114</v>
      </c>
      <c r="E146" s="2">
        <v>-330.0</v>
      </c>
      <c r="F146" s="2">
        <v>0.0</v>
      </c>
      <c r="G146" s="2">
        <f t="shared" si="1"/>
        <v>-330</v>
      </c>
      <c r="H146" s="2" t="s">
        <v>52</v>
      </c>
      <c r="L146" s="2" t="s">
        <v>11</v>
      </c>
    </row>
    <row r="147" ht="12.75" customHeight="1">
      <c r="A147" s="2">
        <v>2015.0</v>
      </c>
      <c r="B147" s="2">
        <v>10.0</v>
      </c>
      <c r="C147" s="2">
        <v>22.0</v>
      </c>
      <c r="D147" s="2" t="s">
        <v>97</v>
      </c>
      <c r="E147" s="2">
        <v>-110.0</v>
      </c>
      <c r="F147" s="2">
        <v>0.0</v>
      </c>
      <c r="G147" s="2">
        <f t="shared" si="1"/>
        <v>-110</v>
      </c>
      <c r="H147" s="2" t="s">
        <v>42</v>
      </c>
      <c r="L147" s="2" t="s">
        <v>11</v>
      </c>
    </row>
    <row r="148" ht="12.75" customHeight="1">
      <c r="A148" s="2">
        <v>2015.0</v>
      </c>
      <c r="B148" s="2">
        <v>10.0</v>
      </c>
      <c r="C148" s="2">
        <v>22.0</v>
      </c>
      <c r="D148" s="2" t="s">
        <v>115</v>
      </c>
      <c r="E148" s="2">
        <v>-85.0</v>
      </c>
      <c r="F148" s="2">
        <v>0.0</v>
      </c>
      <c r="G148" s="2">
        <f t="shared" si="1"/>
        <v>-85</v>
      </c>
      <c r="H148" s="2" t="s">
        <v>38</v>
      </c>
      <c r="L148" s="2" t="s">
        <v>11</v>
      </c>
    </row>
    <row r="149" ht="12.75" customHeight="1">
      <c r="A149" s="2">
        <v>2015.0</v>
      </c>
      <c r="B149" s="2">
        <v>10.0</v>
      </c>
      <c r="C149" s="2">
        <v>22.0</v>
      </c>
      <c r="D149" s="2" t="s">
        <v>39</v>
      </c>
      <c r="E149" s="2">
        <v>28805.0</v>
      </c>
      <c r="F149" s="2">
        <v>0.0</v>
      </c>
      <c r="G149" s="2">
        <f t="shared" si="1"/>
        <v>28805</v>
      </c>
      <c r="H149" s="2" t="s">
        <v>40</v>
      </c>
      <c r="L149" s="2" t="s">
        <v>11</v>
      </c>
    </row>
    <row r="150" ht="12.75" customHeight="1">
      <c r="A150" s="2">
        <v>2015.0</v>
      </c>
      <c r="B150" s="2">
        <v>10.0</v>
      </c>
      <c r="C150" s="2">
        <v>21.0</v>
      </c>
      <c r="D150" s="2" t="s">
        <v>107</v>
      </c>
      <c r="E150" s="2">
        <v>-95.0</v>
      </c>
      <c r="F150" s="2">
        <v>0.0</v>
      </c>
      <c r="G150" s="2">
        <f t="shared" si="1"/>
        <v>-95</v>
      </c>
      <c r="H150" s="2" t="s">
        <v>38</v>
      </c>
      <c r="L150" s="2" t="s">
        <v>11</v>
      </c>
    </row>
    <row r="151" ht="12.75" customHeight="1">
      <c r="A151" s="2">
        <v>2015.0</v>
      </c>
      <c r="B151" s="2">
        <v>10.0</v>
      </c>
      <c r="C151" s="2">
        <v>20.0</v>
      </c>
      <c r="D151" s="2" t="s">
        <v>116</v>
      </c>
      <c r="E151" s="2">
        <v>6388.0</v>
      </c>
      <c r="F151" s="2">
        <v>0.0</v>
      </c>
      <c r="G151" s="2">
        <f t="shared" si="1"/>
        <v>6388</v>
      </c>
      <c r="H151" s="2" t="s">
        <v>10</v>
      </c>
      <c r="L151" s="2" t="s">
        <v>11</v>
      </c>
    </row>
    <row r="152" ht="12.75" customHeight="1">
      <c r="A152" s="2">
        <v>2015.0</v>
      </c>
      <c r="B152" s="2">
        <v>10.0</v>
      </c>
      <c r="C152" s="2">
        <v>20.0</v>
      </c>
      <c r="D152" s="2" t="s">
        <v>117</v>
      </c>
      <c r="E152" s="2">
        <v>-278.0</v>
      </c>
      <c r="F152" s="2">
        <v>0.0</v>
      </c>
      <c r="G152" s="2">
        <f t="shared" si="1"/>
        <v>-278</v>
      </c>
      <c r="H152" s="2" t="s">
        <v>47</v>
      </c>
      <c r="L152" s="2" t="s">
        <v>11</v>
      </c>
    </row>
    <row r="153" ht="12.75" customHeight="1">
      <c r="A153" s="2">
        <v>2015.0</v>
      </c>
      <c r="B153" s="2">
        <v>10.0</v>
      </c>
      <c r="C153" s="2">
        <v>17.0</v>
      </c>
      <c r="D153" s="2" t="s">
        <v>51</v>
      </c>
      <c r="E153" s="2">
        <v>-510.5</v>
      </c>
      <c r="F153" s="2">
        <v>0.0</v>
      </c>
      <c r="G153" s="2">
        <f t="shared" si="1"/>
        <v>-510.5</v>
      </c>
      <c r="H153" s="2" t="s">
        <v>52</v>
      </c>
      <c r="L153" s="2" t="s">
        <v>11</v>
      </c>
    </row>
    <row r="154" ht="12.75" customHeight="1">
      <c r="A154" s="2">
        <v>2015.0</v>
      </c>
      <c r="B154" s="2">
        <v>10.0</v>
      </c>
      <c r="C154" s="2">
        <v>17.0</v>
      </c>
      <c r="D154" s="2" t="s">
        <v>112</v>
      </c>
      <c r="E154" s="2">
        <v>-85.0</v>
      </c>
      <c r="F154" s="2">
        <v>0.0</v>
      </c>
      <c r="G154" s="2">
        <f t="shared" si="1"/>
        <v>-85</v>
      </c>
      <c r="H154" s="2" t="s">
        <v>13</v>
      </c>
      <c r="L154" s="2" t="s">
        <v>11</v>
      </c>
    </row>
    <row r="155" ht="12.75" customHeight="1">
      <c r="A155" s="2">
        <v>2015.0</v>
      </c>
      <c r="B155" s="2">
        <v>10.0</v>
      </c>
      <c r="C155" s="2">
        <v>17.0</v>
      </c>
      <c r="D155" s="2" t="s">
        <v>63</v>
      </c>
      <c r="E155" s="2">
        <v>-483.14</v>
      </c>
      <c r="F155" s="2">
        <v>0.0</v>
      </c>
      <c r="G155" s="2">
        <f t="shared" si="1"/>
        <v>-483.14</v>
      </c>
      <c r="H155" s="2" t="s">
        <v>54</v>
      </c>
      <c r="L155" s="2" t="s">
        <v>11</v>
      </c>
    </row>
    <row r="156" ht="12.75" customHeight="1">
      <c r="A156" s="2">
        <v>2015.0</v>
      </c>
      <c r="B156" s="2">
        <v>10.0</v>
      </c>
      <c r="C156" s="2">
        <v>16.0</v>
      </c>
      <c r="D156" s="2" t="s">
        <v>118</v>
      </c>
      <c r="E156" s="2">
        <v>-119.0</v>
      </c>
      <c r="F156" s="2">
        <v>0.0</v>
      </c>
      <c r="G156" s="2">
        <f t="shared" si="1"/>
        <v>-119</v>
      </c>
      <c r="H156" s="2" t="s">
        <v>31</v>
      </c>
      <c r="L156" s="2" t="s">
        <v>11</v>
      </c>
    </row>
    <row r="157" ht="12.75" customHeight="1">
      <c r="A157" s="2">
        <v>2015.0</v>
      </c>
      <c r="B157" s="2">
        <v>10.0</v>
      </c>
      <c r="C157" s="2">
        <v>16.0</v>
      </c>
      <c r="D157" s="2" t="s">
        <v>119</v>
      </c>
      <c r="E157" s="2">
        <v>-55.0</v>
      </c>
      <c r="F157" s="2">
        <v>0.0</v>
      </c>
      <c r="G157" s="2">
        <f t="shared" si="1"/>
        <v>-55</v>
      </c>
      <c r="H157" s="2" t="s">
        <v>42</v>
      </c>
      <c r="L157" s="2" t="s">
        <v>11</v>
      </c>
    </row>
    <row r="158" ht="12.75" customHeight="1">
      <c r="A158" s="2">
        <v>2015.0</v>
      </c>
      <c r="B158" s="2">
        <v>10.0</v>
      </c>
      <c r="C158" s="2">
        <v>16.0</v>
      </c>
      <c r="D158" s="2" t="s">
        <v>120</v>
      </c>
      <c r="E158" s="2">
        <v>-900.0</v>
      </c>
      <c r="F158" s="2">
        <v>0.0</v>
      </c>
      <c r="G158" s="2">
        <f t="shared" si="1"/>
        <v>-900</v>
      </c>
      <c r="H158" s="2" t="s">
        <v>47</v>
      </c>
      <c r="L158" s="2" t="s">
        <v>11</v>
      </c>
    </row>
    <row r="159" ht="12.75" customHeight="1">
      <c r="A159" s="2">
        <v>2015.0</v>
      </c>
      <c r="B159" s="2">
        <v>10.0</v>
      </c>
      <c r="C159" s="2">
        <v>15.0</v>
      </c>
      <c r="D159" s="2" t="s">
        <v>121</v>
      </c>
      <c r="E159" s="2">
        <v>-450.0</v>
      </c>
      <c r="F159" s="2">
        <v>0.0</v>
      </c>
      <c r="G159" s="2">
        <f t="shared" si="1"/>
        <v>-450</v>
      </c>
      <c r="H159" s="2" t="s">
        <v>50</v>
      </c>
      <c r="L159" s="2" t="s">
        <v>11</v>
      </c>
    </row>
    <row r="160" ht="12.75" customHeight="1">
      <c r="A160" s="2">
        <v>2015.0</v>
      </c>
      <c r="B160" s="2">
        <v>10.0</v>
      </c>
      <c r="C160" s="2">
        <v>15.0</v>
      </c>
      <c r="D160" s="2" t="s">
        <v>58</v>
      </c>
      <c r="E160" s="2">
        <v>-110.0</v>
      </c>
      <c r="F160" s="2">
        <v>0.0</v>
      </c>
      <c r="G160" s="2">
        <f t="shared" si="1"/>
        <v>-110</v>
      </c>
      <c r="H160" s="2" t="s">
        <v>38</v>
      </c>
      <c r="L160" s="2" t="s">
        <v>11</v>
      </c>
    </row>
    <row r="161" ht="12.75" customHeight="1">
      <c r="A161" s="2">
        <v>2015.0</v>
      </c>
      <c r="B161" s="2">
        <v>10.0</v>
      </c>
      <c r="C161" s="2">
        <v>13.0</v>
      </c>
      <c r="D161" s="2" t="s">
        <v>59</v>
      </c>
      <c r="E161" s="2">
        <v>-95.0</v>
      </c>
      <c r="F161" s="2">
        <v>0.0</v>
      </c>
      <c r="G161" s="2">
        <f t="shared" si="1"/>
        <v>-95</v>
      </c>
      <c r="H161" s="2" t="s">
        <v>38</v>
      </c>
      <c r="L161" s="2" t="s">
        <v>11</v>
      </c>
    </row>
    <row r="162" ht="12.75" customHeight="1">
      <c r="A162" s="2">
        <v>2015.0</v>
      </c>
      <c r="B162" s="2">
        <v>10.0</v>
      </c>
      <c r="C162" s="2">
        <v>12.0</v>
      </c>
      <c r="D162" s="2" t="s">
        <v>122</v>
      </c>
      <c r="E162" s="2">
        <v>-3559.0</v>
      </c>
      <c r="F162" s="2">
        <v>0.0</v>
      </c>
      <c r="G162" s="2">
        <f t="shared" si="1"/>
        <v>-3559</v>
      </c>
      <c r="H162" s="2" t="s">
        <v>123</v>
      </c>
      <c r="L162" s="2" t="s">
        <v>11</v>
      </c>
    </row>
    <row r="163" ht="12.75" customHeight="1">
      <c r="A163" s="2">
        <v>2015.0</v>
      </c>
      <c r="B163" s="2">
        <v>10.0</v>
      </c>
      <c r="C163" s="2">
        <v>8.0</v>
      </c>
      <c r="D163" s="2" t="s">
        <v>95</v>
      </c>
      <c r="E163" s="2">
        <v>-75.0</v>
      </c>
      <c r="F163" s="2">
        <v>0.0</v>
      </c>
      <c r="G163" s="2">
        <f t="shared" si="1"/>
        <v>-75</v>
      </c>
      <c r="H163" s="2" t="s">
        <v>47</v>
      </c>
      <c r="L163" s="2" t="s">
        <v>11</v>
      </c>
    </row>
    <row r="164" ht="12.75" customHeight="1">
      <c r="A164" s="2">
        <v>2015.0</v>
      </c>
      <c r="B164" s="2">
        <v>10.0</v>
      </c>
      <c r="C164" s="2">
        <v>8.0</v>
      </c>
      <c r="D164" s="2" t="s">
        <v>87</v>
      </c>
      <c r="E164" s="2">
        <v>-55.0</v>
      </c>
      <c r="F164" s="2">
        <v>0.0</v>
      </c>
      <c r="G164" s="2">
        <f t="shared" si="1"/>
        <v>-55</v>
      </c>
      <c r="H164" s="2" t="s">
        <v>13</v>
      </c>
      <c r="L164" s="2" t="s">
        <v>11</v>
      </c>
    </row>
    <row r="165" ht="12.75" customHeight="1">
      <c r="A165" s="2">
        <v>2015.0</v>
      </c>
      <c r="B165" s="2">
        <v>10.0</v>
      </c>
      <c r="C165" s="2">
        <v>8.0</v>
      </c>
      <c r="D165" s="2" t="s">
        <v>124</v>
      </c>
      <c r="E165" s="2">
        <v>-69.0</v>
      </c>
      <c r="F165" s="2">
        <v>0.0</v>
      </c>
      <c r="G165" s="2">
        <f t="shared" si="1"/>
        <v>-69</v>
      </c>
      <c r="H165" s="2" t="s">
        <v>38</v>
      </c>
      <c r="L165" s="2" t="s">
        <v>11</v>
      </c>
    </row>
    <row r="166" ht="12.75" customHeight="1">
      <c r="A166" s="2">
        <v>2015.0</v>
      </c>
      <c r="B166" s="2">
        <v>10.0</v>
      </c>
      <c r="C166" s="2">
        <v>7.0</v>
      </c>
      <c r="D166" s="2" t="s">
        <v>125</v>
      </c>
      <c r="E166" s="2">
        <v>8190.0</v>
      </c>
      <c r="F166" s="2">
        <v>0.0</v>
      </c>
      <c r="G166" s="2">
        <f t="shared" si="1"/>
        <v>8190</v>
      </c>
      <c r="H166" s="2" t="s">
        <v>13</v>
      </c>
      <c r="L166" s="2" t="s">
        <v>11</v>
      </c>
    </row>
    <row r="167" ht="12.75" customHeight="1">
      <c r="A167" s="2">
        <v>2015.0</v>
      </c>
      <c r="B167" s="2">
        <v>10.0</v>
      </c>
      <c r="C167" s="2">
        <v>6.0</v>
      </c>
      <c r="D167" s="2" t="s">
        <v>88</v>
      </c>
      <c r="E167" s="2">
        <v>-49.0</v>
      </c>
      <c r="F167" s="2">
        <v>0.0</v>
      </c>
      <c r="G167" s="2">
        <f t="shared" si="1"/>
        <v>-49</v>
      </c>
      <c r="H167" s="2" t="s">
        <v>52</v>
      </c>
      <c r="L167" s="2" t="s">
        <v>11</v>
      </c>
    </row>
    <row r="168" ht="12.75" customHeight="1">
      <c r="A168" s="2">
        <v>2015.0</v>
      </c>
      <c r="B168" s="2">
        <v>10.0</v>
      </c>
      <c r="C168" s="2">
        <v>6.0</v>
      </c>
      <c r="D168" s="2" t="s">
        <v>126</v>
      </c>
      <c r="E168" s="2">
        <v>-1120.0</v>
      </c>
      <c r="F168" s="2">
        <v>0.0</v>
      </c>
      <c r="G168" s="2">
        <f t="shared" si="1"/>
        <v>-1120</v>
      </c>
      <c r="H168" s="2" t="s">
        <v>31</v>
      </c>
      <c r="L168" s="2" t="s">
        <v>11</v>
      </c>
    </row>
    <row r="169" ht="12.75" customHeight="1">
      <c r="A169" s="2">
        <v>2015.0</v>
      </c>
      <c r="B169" s="2">
        <v>10.0</v>
      </c>
      <c r="C169" s="2">
        <v>6.0</v>
      </c>
      <c r="D169" s="2" t="s">
        <v>9</v>
      </c>
      <c r="E169" s="2">
        <v>-7914.0</v>
      </c>
      <c r="F169" s="2">
        <v>0.0</v>
      </c>
      <c r="G169" s="2">
        <f t="shared" si="1"/>
        <v>-7914</v>
      </c>
      <c r="H169" s="2" t="s">
        <v>10</v>
      </c>
      <c r="L169" s="2" t="s">
        <v>11</v>
      </c>
    </row>
    <row r="170" ht="12.75" customHeight="1">
      <c r="A170" s="2">
        <v>2015.0</v>
      </c>
      <c r="B170" s="2">
        <v>10.0</v>
      </c>
      <c r="C170" s="2">
        <v>6.0</v>
      </c>
      <c r="D170" s="2" t="s">
        <v>127</v>
      </c>
      <c r="E170" s="2">
        <v>-95.0</v>
      </c>
      <c r="F170" s="2">
        <v>0.0</v>
      </c>
      <c r="G170" s="2">
        <f t="shared" si="1"/>
        <v>-95</v>
      </c>
      <c r="H170" s="2" t="s">
        <v>38</v>
      </c>
      <c r="L170" s="2" t="s">
        <v>11</v>
      </c>
    </row>
    <row r="171" ht="12.75" customHeight="1">
      <c r="A171" s="2">
        <v>2015.0</v>
      </c>
      <c r="B171" s="2">
        <v>10.0</v>
      </c>
      <c r="C171" s="2">
        <v>6.0</v>
      </c>
      <c r="D171" s="2" t="s">
        <v>128</v>
      </c>
      <c r="E171" s="2">
        <v>4697.0</v>
      </c>
      <c r="F171" s="2">
        <v>0.0</v>
      </c>
      <c r="G171" s="2">
        <f t="shared" si="1"/>
        <v>4697</v>
      </c>
      <c r="H171" s="2" t="s">
        <v>10</v>
      </c>
      <c r="L171" s="2" t="s">
        <v>11</v>
      </c>
    </row>
    <row r="172" ht="12.75" customHeight="1">
      <c r="A172" s="2">
        <v>2015.0</v>
      </c>
      <c r="B172" s="2">
        <v>10.0</v>
      </c>
      <c r="C172" s="2">
        <v>6.0</v>
      </c>
      <c r="D172" s="2" t="s">
        <v>129</v>
      </c>
      <c r="E172" s="2">
        <v>890.0</v>
      </c>
      <c r="F172" s="2">
        <v>0.0</v>
      </c>
      <c r="G172" s="2">
        <f t="shared" si="1"/>
        <v>890</v>
      </c>
      <c r="H172" s="2" t="s">
        <v>13</v>
      </c>
      <c r="L172" s="2" t="s">
        <v>11</v>
      </c>
    </row>
    <row r="173" ht="12.75" customHeight="1">
      <c r="A173" s="2">
        <v>2015.0</v>
      </c>
      <c r="B173" s="2">
        <v>10.0</v>
      </c>
      <c r="C173" s="2">
        <v>5.0</v>
      </c>
      <c r="D173" s="2" t="s">
        <v>130</v>
      </c>
      <c r="E173" s="2">
        <v>-10700.0</v>
      </c>
      <c r="F173" s="2">
        <v>0.0</v>
      </c>
      <c r="G173" s="2">
        <f t="shared" si="1"/>
        <v>-10700</v>
      </c>
      <c r="H173" s="2" t="s">
        <v>13</v>
      </c>
      <c r="L173" s="2" t="s">
        <v>11</v>
      </c>
    </row>
    <row r="174" ht="12.75" customHeight="1">
      <c r="A174" s="2">
        <v>2015.0</v>
      </c>
      <c r="B174" s="2">
        <v>10.0</v>
      </c>
      <c r="C174" s="2">
        <v>4.0</v>
      </c>
      <c r="D174" s="2" t="s">
        <v>131</v>
      </c>
      <c r="E174" s="2">
        <v>-92.0</v>
      </c>
      <c r="F174" s="2">
        <v>0.0</v>
      </c>
      <c r="G174" s="2">
        <f t="shared" si="1"/>
        <v>-92</v>
      </c>
      <c r="H174" s="2" t="s">
        <v>52</v>
      </c>
      <c r="L174" s="2" t="s">
        <v>11</v>
      </c>
    </row>
    <row r="175" ht="12.75" customHeight="1">
      <c r="A175" s="2">
        <v>2015.0</v>
      </c>
      <c r="B175" s="2">
        <v>10.0</v>
      </c>
      <c r="C175" s="2">
        <v>4.0</v>
      </c>
      <c r="D175" s="2" t="s">
        <v>131</v>
      </c>
      <c r="E175" s="2">
        <v>-49.0</v>
      </c>
      <c r="F175" s="2">
        <v>0.0</v>
      </c>
      <c r="G175" s="2">
        <f t="shared" si="1"/>
        <v>-49</v>
      </c>
      <c r="H175" s="2" t="s">
        <v>52</v>
      </c>
      <c r="L175" s="2" t="s">
        <v>11</v>
      </c>
    </row>
    <row r="176" ht="12.75" customHeight="1">
      <c r="A176" s="2">
        <v>2015.0</v>
      </c>
      <c r="B176" s="2">
        <v>10.0</v>
      </c>
      <c r="C176" s="2">
        <v>4.0</v>
      </c>
      <c r="D176" s="2" t="s">
        <v>131</v>
      </c>
      <c r="E176" s="2">
        <v>-159.0</v>
      </c>
      <c r="F176" s="2">
        <v>0.0</v>
      </c>
      <c r="G176" s="2">
        <f t="shared" si="1"/>
        <v>-159</v>
      </c>
      <c r="H176" s="2" t="s">
        <v>52</v>
      </c>
      <c r="L176" s="2" t="s">
        <v>11</v>
      </c>
    </row>
    <row r="177" ht="12.75" customHeight="1">
      <c r="A177" s="2">
        <v>2015.0</v>
      </c>
      <c r="B177" s="2">
        <v>10.0</v>
      </c>
      <c r="C177" s="2">
        <v>4.0</v>
      </c>
      <c r="D177" s="2" t="s">
        <v>131</v>
      </c>
      <c r="E177" s="2">
        <v>-105.0</v>
      </c>
      <c r="F177" s="2">
        <v>0.0</v>
      </c>
      <c r="G177" s="2">
        <f t="shared" si="1"/>
        <v>-105</v>
      </c>
      <c r="H177" s="2" t="s">
        <v>52</v>
      </c>
      <c r="L177" s="2" t="s">
        <v>11</v>
      </c>
    </row>
    <row r="178" ht="12.75" customHeight="1">
      <c r="A178" s="2">
        <v>2015.0</v>
      </c>
      <c r="B178" s="2">
        <v>10.0</v>
      </c>
      <c r="C178" s="2">
        <v>3.0</v>
      </c>
      <c r="D178" s="2" t="s">
        <v>131</v>
      </c>
      <c r="E178" s="2">
        <v>-159.0</v>
      </c>
      <c r="F178" s="2">
        <v>0.0</v>
      </c>
      <c r="G178" s="2">
        <f t="shared" si="1"/>
        <v>-159</v>
      </c>
      <c r="H178" s="2" t="s">
        <v>52</v>
      </c>
      <c r="L178" s="2" t="s">
        <v>11</v>
      </c>
    </row>
    <row r="179" ht="12.75" customHeight="1">
      <c r="A179" s="2">
        <v>2015.0</v>
      </c>
      <c r="B179" s="2">
        <v>10.0</v>
      </c>
      <c r="C179" s="2">
        <v>3.0</v>
      </c>
      <c r="D179" s="2" t="s">
        <v>132</v>
      </c>
      <c r="E179" s="2">
        <v>-75.0</v>
      </c>
      <c r="F179" s="2">
        <v>0.0</v>
      </c>
      <c r="G179" s="2">
        <f t="shared" si="1"/>
        <v>-75</v>
      </c>
      <c r="H179" s="2" t="s">
        <v>52</v>
      </c>
      <c r="L179" s="2" t="s">
        <v>11</v>
      </c>
    </row>
    <row r="180" ht="12.75" customHeight="1">
      <c r="A180" s="2">
        <v>2015.0</v>
      </c>
      <c r="B180" s="2">
        <v>10.0</v>
      </c>
      <c r="C180" s="2">
        <v>3.0</v>
      </c>
      <c r="D180" s="2" t="s">
        <v>132</v>
      </c>
      <c r="E180" s="2">
        <v>-197.0</v>
      </c>
      <c r="F180" s="2">
        <v>0.0</v>
      </c>
      <c r="G180" s="2">
        <f t="shared" si="1"/>
        <v>-197</v>
      </c>
      <c r="H180" s="2" t="s">
        <v>52</v>
      </c>
      <c r="L180" s="2" t="s">
        <v>11</v>
      </c>
    </row>
    <row r="181" ht="12.75" customHeight="1">
      <c r="A181" s="2">
        <v>2015.0</v>
      </c>
      <c r="B181" s="2">
        <v>10.0</v>
      </c>
      <c r="C181" s="2">
        <v>3.0</v>
      </c>
      <c r="D181" s="2" t="s">
        <v>132</v>
      </c>
      <c r="E181" s="2">
        <v>-189.0</v>
      </c>
      <c r="F181" s="2">
        <v>0.0</v>
      </c>
      <c r="G181" s="2">
        <f t="shared" si="1"/>
        <v>-189</v>
      </c>
      <c r="H181" s="2" t="s">
        <v>52</v>
      </c>
      <c r="L181" s="2" t="s">
        <v>11</v>
      </c>
    </row>
    <row r="182" ht="12.75" customHeight="1">
      <c r="A182" s="2">
        <v>2015.0</v>
      </c>
      <c r="B182" s="2">
        <v>10.0</v>
      </c>
      <c r="C182" s="2">
        <v>1.0</v>
      </c>
      <c r="D182" s="2" t="s">
        <v>121</v>
      </c>
      <c r="E182" s="2">
        <v>-300.0</v>
      </c>
      <c r="F182" s="2">
        <v>0.0</v>
      </c>
      <c r="G182" s="2">
        <f t="shared" si="1"/>
        <v>-300</v>
      </c>
      <c r="H182" s="2" t="s">
        <v>133</v>
      </c>
      <c r="L182" s="2" t="s">
        <v>11</v>
      </c>
    </row>
    <row r="183" ht="12.75" customHeight="1">
      <c r="A183" s="2">
        <v>2015.0</v>
      </c>
      <c r="B183" s="2">
        <v>10.0</v>
      </c>
      <c r="C183" s="2">
        <v>1.0</v>
      </c>
      <c r="D183" s="2" t="s">
        <v>73</v>
      </c>
      <c r="E183" s="2">
        <v>-8883.0</v>
      </c>
      <c r="F183" s="2">
        <v>0.0</v>
      </c>
      <c r="G183" s="2">
        <f t="shared" si="1"/>
        <v>-8883</v>
      </c>
      <c r="H183" s="2" t="s">
        <v>10</v>
      </c>
      <c r="L183" s="2" t="s">
        <v>11</v>
      </c>
    </row>
    <row r="184" ht="12.75" customHeight="1">
      <c r="A184" s="2">
        <v>2015.0</v>
      </c>
      <c r="B184" s="2">
        <v>10.0</v>
      </c>
      <c r="C184" s="2">
        <v>1.0</v>
      </c>
      <c r="D184" s="2" t="s">
        <v>55</v>
      </c>
      <c r="E184" s="2">
        <v>-100.0</v>
      </c>
      <c r="F184" s="2">
        <v>0.0</v>
      </c>
      <c r="G184" s="2">
        <f t="shared" si="1"/>
        <v>-100</v>
      </c>
      <c r="H184" s="2" t="s">
        <v>52</v>
      </c>
      <c r="L184" s="2" t="s">
        <v>11</v>
      </c>
    </row>
    <row r="185" ht="12.75" customHeight="1">
      <c r="A185" s="2">
        <v>2015.0</v>
      </c>
      <c r="B185" s="2">
        <v>10.0</v>
      </c>
      <c r="C185" s="2">
        <v>1.0</v>
      </c>
      <c r="D185" s="2" t="s">
        <v>134</v>
      </c>
      <c r="E185" s="2">
        <v>-2000.0</v>
      </c>
      <c r="F185" s="2">
        <v>0.0</v>
      </c>
      <c r="G185" s="2">
        <f t="shared" si="1"/>
        <v>-2000</v>
      </c>
      <c r="H185" s="2" t="s">
        <v>52</v>
      </c>
      <c r="L185" s="2" t="s">
        <v>11</v>
      </c>
    </row>
    <row r="186" ht="12.75" customHeight="1">
      <c r="A186" s="2">
        <v>2015.0</v>
      </c>
      <c r="B186" s="2">
        <v>10.0</v>
      </c>
      <c r="C186" s="2">
        <v>1.0</v>
      </c>
      <c r="D186" s="2" t="s">
        <v>135</v>
      </c>
      <c r="E186" s="2">
        <v>-1000.0</v>
      </c>
      <c r="F186" s="2">
        <v>0.0</v>
      </c>
      <c r="G186" s="2">
        <f t="shared" si="1"/>
        <v>-1000</v>
      </c>
      <c r="H186" s="2" t="s">
        <v>52</v>
      </c>
      <c r="L186" s="2" t="s">
        <v>11</v>
      </c>
    </row>
    <row r="187" ht="12.75" customHeight="1">
      <c r="A187" s="2">
        <v>2015.0</v>
      </c>
      <c r="B187" s="2">
        <v>10.0</v>
      </c>
      <c r="C187" s="2">
        <v>1.0</v>
      </c>
      <c r="D187" s="2" t="s">
        <v>136</v>
      </c>
      <c r="E187" s="2">
        <v>-200.0</v>
      </c>
      <c r="F187" s="2">
        <v>0.0</v>
      </c>
      <c r="G187" s="2">
        <f t="shared" si="1"/>
        <v>-200</v>
      </c>
      <c r="H187" s="2" t="s">
        <v>52</v>
      </c>
      <c r="L187" s="2" t="s">
        <v>11</v>
      </c>
    </row>
    <row r="188" ht="12.75" customHeight="1">
      <c r="A188" s="2">
        <v>2015.0</v>
      </c>
      <c r="B188" s="2">
        <v>10.0</v>
      </c>
      <c r="C188" s="2">
        <v>1.0</v>
      </c>
      <c r="D188" s="2" t="s">
        <v>137</v>
      </c>
      <c r="E188" s="2">
        <v>-2000.0</v>
      </c>
      <c r="F188" s="2">
        <v>0.0</v>
      </c>
      <c r="G188" s="2">
        <f t="shared" si="1"/>
        <v>-2000</v>
      </c>
      <c r="H188" s="2" t="s">
        <v>52</v>
      </c>
      <c r="L188" s="2" t="s">
        <v>11</v>
      </c>
    </row>
    <row r="189" ht="12.75" customHeight="1">
      <c r="A189" s="2">
        <v>2015.0</v>
      </c>
      <c r="B189" s="2">
        <v>10.0</v>
      </c>
      <c r="C189" s="2">
        <v>1.0</v>
      </c>
      <c r="D189" s="2" t="s">
        <v>100</v>
      </c>
      <c r="E189" s="2">
        <v>-1500.0</v>
      </c>
      <c r="F189" s="2">
        <v>500.0</v>
      </c>
      <c r="G189" s="2">
        <f t="shared" si="1"/>
        <v>-1500</v>
      </c>
      <c r="H189" s="2" t="s">
        <v>52</v>
      </c>
      <c r="L189" s="2" t="s">
        <v>11</v>
      </c>
    </row>
    <row r="190" ht="12.75" customHeight="1">
      <c r="A190" s="2">
        <v>2015.0</v>
      </c>
      <c r="B190" s="2">
        <v>10.0</v>
      </c>
      <c r="C190" s="2">
        <v>1.0</v>
      </c>
      <c r="D190" s="2" t="s">
        <v>100</v>
      </c>
      <c r="E190" s="2">
        <v>-1500.0</v>
      </c>
      <c r="F190" s="2">
        <v>0.0</v>
      </c>
      <c r="G190" s="2">
        <f t="shared" si="1"/>
        <v>-1500</v>
      </c>
      <c r="H190" s="2" t="s">
        <v>52</v>
      </c>
      <c r="L190" s="2" t="s">
        <v>11</v>
      </c>
    </row>
    <row r="191" ht="12.75" customHeight="1">
      <c r="A191" s="2">
        <v>2015.0</v>
      </c>
      <c r="B191" s="2">
        <v>10.0</v>
      </c>
      <c r="C191" s="2">
        <v>1.0</v>
      </c>
      <c r="D191" s="2" t="s">
        <v>57</v>
      </c>
      <c r="E191" s="2">
        <v>-105.0</v>
      </c>
      <c r="F191" s="2">
        <v>0.0</v>
      </c>
      <c r="G191" s="2">
        <f t="shared" si="1"/>
        <v>-105</v>
      </c>
      <c r="H191" s="2" t="s">
        <v>42</v>
      </c>
      <c r="L191" s="2" t="s">
        <v>11</v>
      </c>
    </row>
    <row r="192" ht="12.75" customHeight="1">
      <c r="A192" s="2">
        <v>2015.0</v>
      </c>
      <c r="B192" s="2">
        <v>9.0</v>
      </c>
      <c r="C192" s="2">
        <v>30.0</v>
      </c>
      <c r="D192" s="2" t="s">
        <v>12</v>
      </c>
      <c r="E192" s="2">
        <v>-55519.35</v>
      </c>
      <c r="F192" s="2">
        <v>0.0</v>
      </c>
      <c r="G192" s="2">
        <f t="shared" si="1"/>
        <v>-55519.35</v>
      </c>
      <c r="H192" s="2" t="s">
        <v>13</v>
      </c>
      <c r="L192" s="2" t="s">
        <v>11</v>
      </c>
    </row>
    <row r="193" ht="12.75" customHeight="1">
      <c r="A193" s="2">
        <v>2015.0</v>
      </c>
      <c r="B193" s="2">
        <v>9.0</v>
      </c>
      <c r="C193" s="2">
        <v>30.0</v>
      </c>
      <c r="D193" s="2" t="s">
        <v>138</v>
      </c>
      <c r="E193" s="2">
        <v>-74.0</v>
      </c>
      <c r="F193" s="2">
        <v>0.0</v>
      </c>
      <c r="G193" s="2">
        <f t="shared" si="1"/>
        <v>-74</v>
      </c>
      <c r="H193" s="2" t="s">
        <v>52</v>
      </c>
      <c r="L193" s="2" t="s">
        <v>11</v>
      </c>
    </row>
    <row r="194" ht="12.75" customHeight="1">
      <c r="A194" s="2">
        <v>2015.0</v>
      </c>
      <c r="B194" s="2">
        <v>9.0</v>
      </c>
      <c r="C194" s="2">
        <v>30.0</v>
      </c>
      <c r="D194" s="2" t="s">
        <v>138</v>
      </c>
      <c r="E194" s="2">
        <v>-218.0</v>
      </c>
      <c r="F194" s="2">
        <v>0.0</v>
      </c>
      <c r="G194" s="2">
        <f t="shared" si="1"/>
        <v>-218</v>
      </c>
      <c r="H194" s="2" t="s">
        <v>52</v>
      </c>
      <c r="L194" s="2" t="s">
        <v>11</v>
      </c>
    </row>
    <row r="195" ht="12.75" customHeight="1">
      <c r="A195" s="2">
        <v>2015.0</v>
      </c>
      <c r="B195" s="2">
        <v>9.0</v>
      </c>
      <c r="C195" s="2">
        <v>30.0</v>
      </c>
      <c r="D195" s="2" t="s">
        <v>14</v>
      </c>
      <c r="E195" s="2">
        <v>-4007.0</v>
      </c>
      <c r="F195" s="2">
        <v>0.0</v>
      </c>
      <c r="G195" s="2">
        <f t="shared" si="1"/>
        <v>-4007</v>
      </c>
      <c r="H195" s="2" t="s">
        <v>10</v>
      </c>
      <c r="L195" s="2" t="s">
        <v>11</v>
      </c>
    </row>
    <row r="196" ht="12.75" customHeight="1">
      <c r="A196" s="2">
        <v>2015.0</v>
      </c>
      <c r="B196" s="2">
        <v>9.0</v>
      </c>
      <c r="C196" s="2">
        <v>30.0</v>
      </c>
      <c r="D196" s="2" t="s">
        <v>15</v>
      </c>
      <c r="E196" s="2">
        <v>-207.8</v>
      </c>
      <c r="F196" s="2">
        <v>0.0</v>
      </c>
      <c r="G196" s="2">
        <f t="shared" si="1"/>
        <v>-207.8</v>
      </c>
      <c r="H196" s="2" t="s">
        <v>10</v>
      </c>
      <c r="L196" s="2" t="s">
        <v>11</v>
      </c>
    </row>
    <row r="197" ht="12.75" customHeight="1">
      <c r="A197" s="2">
        <v>2015.0</v>
      </c>
      <c r="B197" s="2">
        <v>9.0</v>
      </c>
      <c r="C197" s="2">
        <v>30.0</v>
      </c>
      <c r="D197" s="2" t="s">
        <v>102</v>
      </c>
      <c r="E197" s="2">
        <v>-268.0</v>
      </c>
      <c r="F197" s="2">
        <v>0.0</v>
      </c>
      <c r="G197" s="2">
        <f t="shared" si="1"/>
        <v>-268</v>
      </c>
      <c r="H197" s="2" t="s">
        <v>103</v>
      </c>
      <c r="L197" s="2" t="s">
        <v>11</v>
      </c>
    </row>
    <row r="198" ht="12.75" customHeight="1">
      <c r="A198" s="2">
        <v>2015.0</v>
      </c>
      <c r="B198" s="2">
        <v>9.0</v>
      </c>
      <c r="C198" s="2">
        <v>30.0</v>
      </c>
      <c r="D198" s="2" t="s">
        <v>16</v>
      </c>
      <c r="E198" s="2">
        <v>-151.0</v>
      </c>
      <c r="F198" s="2">
        <v>0.0</v>
      </c>
      <c r="G198" s="2">
        <f t="shared" si="1"/>
        <v>-151</v>
      </c>
      <c r="H198" s="2" t="s">
        <v>17</v>
      </c>
      <c r="L198" s="2" t="s">
        <v>11</v>
      </c>
    </row>
    <row r="199" ht="12.75" customHeight="1">
      <c r="A199" s="2">
        <v>2015.0</v>
      </c>
      <c r="B199" s="2">
        <v>9.0</v>
      </c>
      <c r="C199" s="2">
        <v>30.0</v>
      </c>
      <c r="D199" s="2">
        <v>4.7516877E7</v>
      </c>
      <c r="E199" s="2">
        <v>1000.0</v>
      </c>
      <c r="F199" s="2">
        <v>0.0</v>
      </c>
      <c r="G199" s="2">
        <f t="shared" si="1"/>
        <v>1000</v>
      </c>
      <c r="H199" s="2" t="s">
        <v>18</v>
      </c>
      <c r="L199" s="2" t="s">
        <v>11</v>
      </c>
    </row>
    <row r="200" ht="12.75" customHeight="1">
      <c r="A200" s="2">
        <v>2015.0</v>
      </c>
      <c r="B200" s="2">
        <v>9.0</v>
      </c>
      <c r="C200" s="2">
        <v>29.0</v>
      </c>
      <c r="D200" s="2" t="s">
        <v>139</v>
      </c>
      <c r="E200" s="2">
        <v>-410.0</v>
      </c>
      <c r="F200" s="2">
        <v>0.0</v>
      </c>
      <c r="G200" s="2">
        <f t="shared" si="1"/>
        <v>-410</v>
      </c>
      <c r="H200" s="2" t="s">
        <v>31</v>
      </c>
      <c r="L200" s="2" t="s">
        <v>11</v>
      </c>
    </row>
    <row r="201" ht="12.75" customHeight="1">
      <c r="A201" s="2">
        <v>2015.0</v>
      </c>
      <c r="B201" s="2">
        <v>9.0</v>
      </c>
      <c r="C201" s="2">
        <v>29.0</v>
      </c>
      <c r="D201" s="2" t="s">
        <v>19</v>
      </c>
      <c r="E201" s="2">
        <v>-320.0</v>
      </c>
      <c r="F201" s="2">
        <v>0.0</v>
      </c>
      <c r="G201" s="2">
        <f t="shared" si="1"/>
        <v>-320</v>
      </c>
      <c r="H201" s="2" t="s">
        <v>20</v>
      </c>
      <c r="L201" s="2" t="s">
        <v>11</v>
      </c>
    </row>
    <row r="202" ht="12.75" customHeight="1">
      <c r="A202" s="2">
        <v>2015.0</v>
      </c>
      <c r="B202" s="2">
        <v>9.0</v>
      </c>
      <c r="C202" s="2">
        <v>29.0</v>
      </c>
      <c r="D202" s="2" t="s">
        <v>23</v>
      </c>
      <c r="E202" s="2">
        <v>-303.0</v>
      </c>
      <c r="F202" s="2">
        <v>0.0</v>
      </c>
      <c r="G202" s="2">
        <f t="shared" si="1"/>
        <v>-303</v>
      </c>
      <c r="H202" s="2" t="s">
        <v>24</v>
      </c>
      <c r="L202" s="2" t="s">
        <v>11</v>
      </c>
    </row>
    <row r="203" ht="12.75" customHeight="1">
      <c r="A203" s="2">
        <v>2015.0</v>
      </c>
      <c r="B203" s="2">
        <v>9.0</v>
      </c>
      <c r="C203" s="2">
        <v>28.0</v>
      </c>
      <c r="D203" s="2" t="s">
        <v>25</v>
      </c>
      <c r="E203" s="2">
        <v>-100.0</v>
      </c>
      <c r="F203" s="2">
        <v>0.0</v>
      </c>
      <c r="G203" s="2">
        <f t="shared" si="1"/>
        <v>-100</v>
      </c>
      <c r="H203" s="2" t="s">
        <v>26</v>
      </c>
      <c r="L203" s="2" t="s">
        <v>11</v>
      </c>
    </row>
    <row r="204" ht="12.75" customHeight="1">
      <c r="A204" s="2">
        <v>2015.0</v>
      </c>
      <c r="B204" s="2">
        <v>9.0</v>
      </c>
      <c r="C204" s="2">
        <v>28.0</v>
      </c>
      <c r="D204" s="2" t="s">
        <v>46</v>
      </c>
      <c r="E204" s="2">
        <v>-55.0</v>
      </c>
      <c r="F204" s="2">
        <v>0.0</v>
      </c>
      <c r="G204" s="2">
        <f t="shared" si="1"/>
        <v>-55</v>
      </c>
      <c r="H204" s="2" t="s">
        <v>42</v>
      </c>
      <c r="L204" s="2" t="s">
        <v>11</v>
      </c>
    </row>
    <row r="205" ht="12.75" customHeight="1">
      <c r="A205" s="2">
        <v>2015.0</v>
      </c>
      <c r="B205" s="2">
        <v>9.0</v>
      </c>
      <c r="C205" s="2">
        <v>28.0</v>
      </c>
      <c r="D205" s="2" t="s">
        <v>29</v>
      </c>
      <c r="E205" s="2">
        <v>-1250.0</v>
      </c>
      <c r="F205" s="2">
        <v>0.0</v>
      </c>
      <c r="G205" s="2">
        <f t="shared" si="1"/>
        <v>-1250</v>
      </c>
      <c r="H205" s="2" t="s">
        <v>18</v>
      </c>
      <c r="L205" s="2" t="s">
        <v>11</v>
      </c>
    </row>
    <row r="206" ht="12.75" customHeight="1">
      <c r="A206" s="2">
        <v>2015.0</v>
      </c>
      <c r="B206" s="2">
        <v>9.0</v>
      </c>
      <c r="C206" s="2">
        <v>28.0</v>
      </c>
      <c r="D206" s="2" t="s">
        <v>21</v>
      </c>
      <c r="E206" s="2">
        <v>-299.0</v>
      </c>
      <c r="F206" s="2">
        <v>0.0</v>
      </c>
      <c r="G206" s="2">
        <f t="shared" si="1"/>
        <v>-299</v>
      </c>
      <c r="H206" s="2" t="s">
        <v>22</v>
      </c>
      <c r="L206" s="2" t="s">
        <v>11</v>
      </c>
    </row>
    <row r="207" ht="12.75" customHeight="1">
      <c r="A207" s="2">
        <v>2015.0</v>
      </c>
      <c r="B207" s="2">
        <v>9.0</v>
      </c>
      <c r="C207" s="2">
        <v>25.0</v>
      </c>
      <c r="D207" s="2" t="s">
        <v>27</v>
      </c>
      <c r="E207" s="2">
        <v>-5000.0</v>
      </c>
      <c r="F207" s="2">
        <v>0.0</v>
      </c>
      <c r="G207" s="2">
        <f t="shared" si="1"/>
        <v>-5000</v>
      </c>
      <c r="H207" s="2" t="s">
        <v>28</v>
      </c>
      <c r="L207" s="2" t="s">
        <v>11</v>
      </c>
    </row>
    <row r="208" ht="12.75" customHeight="1">
      <c r="A208" s="2">
        <v>2015.0</v>
      </c>
      <c r="B208" s="2">
        <v>9.0</v>
      </c>
      <c r="C208" s="2">
        <v>25.0</v>
      </c>
      <c r="D208" s="2" t="s">
        <v>27</v>
      </c>
      <c r="E208" s="2">
        <v>5000.0</v>
      </c>
      <c r="F208" s="2">
        <v>0.0</v>
      </c>
      <c r="G208" s="2">
        <f t="shared" si="1"/>
        <v>5000</v>
      </c>
      <c r="H208" s="2" t="s">
        <v>28</v>
      </c>
      <c r="L208" s="2" t="s">
        <v>11</v>
      </c>
    </row>
    <row r="209" ht="12.75" customHeight="1">
      <c r="A209" s="2">
        <v>2015.0</v>
      </c>
      <c r="B209" s="2">
        <v>9.0</v>
      </c>
      <c r="C209" s="2">
        <v>25.0</v>
      </c>
      <c r="D209" s="2" t="s">
        <v>58</v>
      </c>
      <c r="E209" s="2">
        <v>-105.0</v>
      </c>
      <c r="F209" s="2">
        <v>0.0</v>
      </c>
      <c r="G209" s="2">
        <f t="shared" si="1"/>
        <v>-105</v>
      </c>
      <c r="H209" s="2" t="s">
        <v>38</v>
      </c>
      <c r="L209" s="2" t="s">
        <v>11</v>
      </c>
    </row>
    <row r="210" ht="12.75" customHeight="1">
      <c r="A210" s="2">
        <v>2015.0</v>
      </c>
      <c r="B210" s="2">
        <v>9.0</v>
      </c>
      <c r="C210" s="2">
        <v>24.0</v>
      </c>
      <c r="D210" s="2" t="s">
        <v>107</v>
      </c>
      <c r="E210" s="2">
        <v>-95.0</v>
      </c>
      <c r="F210" s="2">
        <v>-95.0</v>
      </c>
      <c r="G210" s="2">
        <f t="shared" si="1"/>
        <v>-95</v>
      </c>
      <c r="H210" s="2" t="s">
        <v>38</v>
      </c>
      <c r="L210" s="2" t="s">
        <v>11</v>
      </c>
    </row>
    <row r="211" ht="12.75" customHeight="1">
      <c r="A211" s="2">
        <v>2015.0</v>
      </c>
      <c r="B211" s="2">
        <v>9.0</v>
      </c>
      <c r="C211" s="2">
        <v>24.0</v>
      </c>
      <c r="D211" s="2" t="s">
        <v>107</v>
      </c>
      <c r="E211" s="2">
        <v>-95.0</v>
      </c>
      <c r="F211" s="2">
        <v>0.0</v>
      </c>
      <c r="G211" s="2">
        <f t="shared" si="1"/>
        <v>-95</v>
      </c>
      <c r="H211" s="2" t="s">
        <v>38</v>
      </c>
      <c r="L211" s="2" t="s">
        <v>11</v>
      </c>
    </row>
    <row r="212" ht="12.75" customHeight="1">
      <c r="A212" s="2">
        <v>2015.0</v>
      </c>
      <c r="B212" s="2">
        <v>9.0</v>
      </c>
      <c r="C212" s="2">
        <v>24.0</v>
      </c>
      <c r="D212" s="2" t="s">
        <v>107</v>
      </c>
      <c r="E212" s="2">
        <v>-85.0</v>
      </c>
      <c r="F212" s="2">
        <v>0.0</v>
      </c>
      <c r="G212" s="2">
        <f t="shared" si="1"/>
        <v>-85</v>
      </c>
      <c r="H212" s="2" t="s">
        <v>38</v>
      </c>
      <c r="L212" s="2" t="s">
        <v>11</v>
      </c>
    </row>
    <row r="213" ht="12.75" customHeight="1">
      <c r="A213" s="2">
        <v>2015.0</v>
      </c>
      <c r="B213" s="2">
        <v>9.0</v>
      </c>
      <c r="C213" s="2">
        <v>24.0</v>
      </c>
      <c r="D213" s="2" t="s">
        <v>140</v>
      </c>
      <c r="E213" s="2">
        <v>-19.0</v>
      </c>
      <c r="F213" s="2">
        <v>0.0</v>
      </c>
      <c r="G213" s="2">
        <f t="shared" si="1"/>
        <v>-19</v>
      </c>
      <c r="H213" s="2" t="s">
        <v>47</v>
      </c>
      <c r="L213" s="2" t="s">
        <v>11</v>
      </c>
    </row>
    <row r="214" ht="12.75" customHeight="1">
      <c r="A214" s="2">
        <v>2015.0</v>
      </c>
      <c r="B214" s="2">
        <v>9.0</v>
      </c>
      <c r="C214" s="2">
        <v>24.0</v>
      </c>
      <c r="D214" s="2" t="s">
        <v>39</v>
      </c>
      <c r="E214" s="2">
        <v>30623.0</v>
      </c>
      <c r="F214" s="2">
        <v>0.0</v>
      </c>
      <c r="G214" s="2">
        <f t="shared" si="1"/>
        <v>30623</v>
      </c>
      <c r="H214" s="2" t="s">
        <v>40</v>
      </c>
      <c r="L214" s="2" t="s">
        <v>11</v>
      </c>
    </row>
    <row r="215" ht="12.75" customHeight="1">
      <c r="A215" s="2">
        <v>2015.0</v>
      </c>
      <c r="B215" s="2">
        <v>9.0</v>
      </c>
      <c r="C215" s="2">
        <v>22.0</v>
      </c>
      <c r="D215" s="2" t="s">
        <v>58</v>
      </c>
      <c r="E215" s="2">
        <v>-110.0</v>
      </c>
      <c r="F215" s="2">
        <v>0.0</v>
      </c>
      <c r="G215" s="2">
        <f t="shared" si="1"/>
        <v>-110</v>
      </c>
      <c r="H215" s="2" t="s">
        <v>38</v>
      </c>
      <c r="L215" s="2" t="s">
        <v>11</v>
      </c>
    </row>
    <row r="216" ht="12.75" customHeight="1">
      <c r="A216" s="2">
        <v>2015.0</v>
      </c>
      <c r="B216" s="2">
        <v>9.0</v>
      </c>
      <c r="C216" s="2">
        <v>19.0</v>
      </c>
      <c r="D216" s="2" t="s">
        <v>141</v>
      </c>
      <c r="E216" s="2">
        <v>-396.0</v>
      </c>
      <c r="F216" s="2">
        <v>0.0</v>
      </c>
      <c r="G216" s="2">
        <f t="shared" si="1"/>
        <v>-396</v>
      </c>
      <c r="H216" s="2" t="s">
        <v>47</v>
      </c>
      <c r="L216" s="2" t="s">
        <v>11</v>
      </c>
    </row>
    <row r="217" ht="12.75" customHeight="1">
      <c r="A217" s="2">
        <v>2015.0</v>
      </c>
      <c r="B217" s="2">
        <v>9.0</v>
      </c>
      <c r="C217" s="2">
        <v>19.0</v>
      </c>
      <c r="D217" s="2" t="s">
        <v>53</v>
      </c>
      <c r="E217" s="2">
        <v>-177.86</v>
      </c>
      <c r="F217" s="2">
        <v>0.0</v>
      </c>
      <c r="G217" s="2">
        <f t="shared" si="1"/>
        <v>-177.86</v>
      </c>
      <c r="H217" s="2" t="s">
        <v>54</v>
      </c>
      <c r="L217" s="2" t="s">
        <v>11</v>
      </c>
    </row>
    <row r="218" ht="12.75" customHeight="1">
      <c r="A218" s="2">
        <v>2015.0</v>
      </c>
      <c r="B218" s="2">
        <v>9.0</v>
      </c>
      <c r="C218" s="2">
        <v>19.0</v>
      </c>
      <c r="D218" s="2" t="s">
        <v>142</v>
      </c>
      <c r="E218" s="2">
        <v>-295.0</v>
      </c>
      <c r="F218" s="2">
        <v>0.0</v>
      </c>
      <c r="G218" s="2">
        <f t="shared" si="1"/>
        <v>-295</v>
      </c>
      <c r="H218" s="2" t="s">
        <v>52</v>
      </c>
      <c r="L218" s="2" t="s">
        <v>11</v>
      </c>
    </row>
    <row r="219" ht="12.75" customHeight="1">
      <c r="A219" s="2">
        <v>2015.0</v>
      </c>
      <c r="B219" s="2">
        <v>9.0</v>
      </c>
      <c r="C219" s="2">
        <v>18.0</v>
      </c>
      <c r="D219" s="2" t="s">
        <v>142</v>
      </c>
      <c r="E219" s="2">
        <v>-47.0</v>
      </c>
      <c r="F219" s="2">
        <v>0.0</v>
      </c>
      <c r="G219" s="2">
        <f t="shared" si="1"/>
        <v>-47</v>
      </c>
      <c r="H219" s="2" t="s">
        <v>52</v>
      </c>
      <c r="L219" s="2" t="s">
        <v>11</v>
      </c>
    </row>
    <row r="220" ht="12.75" customHeight="1">
      <c r="A220" s="2">
        <v>2015.0</v>
      </c>
      <c r="B220" s="2">
        <v>9.0</v>
      </c>
      <c r="C220" s="2">
        <v>18.0</v>
      </c>
      <c r="D220" s="2" t="s">
        <v>142</v>
      </c>
      <c r="E220" s="2">
        <v>-236.0</v>
      </c>
      <c r="F220" s="2">
        <v>0.0</v>
      </c>
      <c r="G220" s="2">
        <f t="shared" si="1"/>
        <v>-236</v>
      </c>
      <c r="H220" s="2" t="s">
        <v>52</v>
      </c>
      <c r="L220" s="2" t="s">
        <v>11</v>
      </c>
    </row>
    <row r="221" ht="12.75" customHeight="1">
      <c r="A221" s="2">
        <v>2015.0</v>
      </c>
      <c r="B221" s="2">
        <v>9.0</v>
      </c>
      <c r="C221" s="2">
        <v>18.0</v>
      </c>
      <c r="D221" s="2" t="s">
        <v>142</v>
      </c>
      <c r="E221" s="2">
        <v>-177.0</v>
      </c>
      <c r="F221" s="2">
        <v>0.0</v>
      </c>
      <c r="G221" s="2">
        <f t="shared" si="1"/>
        <v>-177</v>
      </c>
      <c r="H221" s="2" t="s">
        <v>52</v>
      </c>
      <c r="L221" s="2" t="s">
        <v>11</v>
      </c>
    </row>
    <row r="222" ht="12.75" customHeight="1">
      <c r="A222" s="2">
        <v>2015.0</v>
      </c>
      <c r="B222" s="2">
        <v>9.0</v>
      </c>
      <c r="C222" s="2">
        <v>18.0</v>
      </c>
      <c r="D222" s="2" t="s">
        <v>142</v>
      </c>
      <c r="E222" s="2">
        <v>-145.0</v>
      </c>
      <c r="F222" s="2">
        <v>0.0</v>
      </c>
      <c r="G222" s="2">
        <f t="shared" si="1"/>
        <v>-145</v>
      </c>
      <c r="H222" s="2" t="s">
        <v>52</v>
      </c>
      <c r="L222" s="2" t="s">
        <v>11</v>
      </c>
    </row>
    <row r="223" ht="12.75" customHeight="1">
      <c r="A223" s="2">
        <v>2015.0</v>
      </c>
      <c r="B223" s="2">
        <v>9.0</v>
      </c>
      <c r="C223" s="2">
        <v>18.0</v>
      </c>
      <c r="D223" s="2" t="s">
        <v>142</v>
      </c>
      <c r="E223" s="2">
        <v>-128.0</v>
      </c>
      <c r="F223" s="2">
        <v>0.0</v>
      </c>
      <c r="G223" s="2">
        <f t="shared" si="1"/>
        <v>-128</v>
      </c>
      <c r="H223" s="2" t="s">
        <v>52</v>
      </c>
      <c r="L223" s="2" t="s">
        <v>11</v>
      </c>
    </row>
    <row r="224" ht="12.75" customHeight="1">
      <c r="A224" s="2">
        <v>2015.0</v>
      </c>
      <c r="B224" s="2">
        <v>9.0</v>
      </c>
      <c r="C224" s="2">
        <v>18.0</v>
      </c>
      <c r="D224" s="2" t="s">
        <v>57</v>
      </c>
      <c r="E224" s="2">
        <v>-69.0</v>
      </c>
      <c r="F224" s="2">
        <v>0.0</v>
      </c>
      <c r="G224" s="2">
        <f t="shared" si="1"/>
        <v>-69</v>
      </c>
      <c r="H224" s="2" t="s">
        <v>42</v>
      </c>
      <c r="L224" s="2" t="s">
        <v>11</v>
      </c>
    </row>
    <row r="225" ht="12.75" customHeight="1">
      <c r="A225" s="2">
        <v>2015.0</v>
      </c>
      <c r="B225" s="2">
        <v>9.0</v>
      </c>
      <c r="C225" s="2">
        <v>17.0</v>
      </c>
      <c r="D225" s="2" t="s">
        <v>143</v>
      </c>
      <c r="E225" s="2">
        <v>-69.0</v>
      </c>
      <c r="F225" s="2">
        <v>0.0</v>
      </c>
      <c r="G225" s="2">
        <f t="shared" si="1"/>
        <v>-69</v>
      </c>
      <c r="H225" s="2" t="s">
        <v>47</v>
      </c>
      <c r="L225" s="2" t="s">
        <v>11</v>
      </c>
    </row>
    <row r="226" ht="12.75" customHeight="1">
      <c r="A226" s="2">
        <v>2015.0</v>
      </c>
      <c r="B226" s="2">
        <v>9.0</v>
      </c>
      <c r="C226" s="2">
        <v>17.0</v>
      </c>
      <c r="D226" s="2" t="s">
        <v>107</v>
      </c>
      <c r="E226" s="2">
        <v>-95.0</v>
      </c>
      <c r="F226" s="2">
        <v>0.0</v>
      </c>
      <c r="G226" s="2">
        <f t="shared" si="1"/>
        <v>-95</v>
      </c>
      <c r="H226" s="2" t="s">
        <v>38</v>
      </c>
      <c r="L226" s="2" t="s">
        <v>11</v>
      </c>
    </row>
    <row r="227" ht="12.75" customHeight="1">
      <c r="A227" s="2">
        <v>2015.0</v>
      </c>
      <c r="B227" s="2">
        <v>9.0</v>
      </c>
      <c r="C227" s="2">
        <v>17.0</v>
      </c>
      <c r="D227" s="2" t="s">
        <v>144</v>
      </c>
      <c r="E227" s="2">
        <v>-225.0</v>
      </c>
      <c r="F227" s="2">
        <v>0.0</v>
      </c>
      <c r="G227" s="2">
        <f t="shared" si="1"/>
        <v>-225</v>
      </c>
      <c r="H227" s="2" t="s">
        <v>10</v>
      </c>
      <c r="L227" s="2" t="s">
        <v>11</v>
      </c>
    </row>
    <row r="228" ht="12.75" customHeight="1">
      <c r="A228" s="2">
        <v>2015.0</v>
      </c>
      <c r="B228" s="2">
        <v>9.0</v>
      </c>
      <c r="C228" s="2">
        <v>16.0</v>
      </c>
      <c r="D228" s="2" t="s">
        <v>145</v>
      </c>
      <c r="E228" s="2">
        <v>-80.0</v>
      </c>
      <c r="F228" s="2">
        <v>0.0</v>
      </c>
      <c r="G228" s="2">
        <f t="shared" si="1"/>
        <v>-80</v>
      </c>
      <c r="H228" s="2" t="s">
        <v>38</v>
      </c>
      <c r="L228" s="2" t="s">
        <v>11</v>
      </c>
    </row>
    <row r="229" ht="12.75" customHeight="1">
      <c r="A229" s="2">
        <v>2015.0</v>
      </c>
      <c r="B229" s="2">
        <v>9.0</v>
      </c>
      <c r="C229" s="2">
        <v>14.0</v>
      </c>
      <c r="D229" s="2" t="s">
        <v>112</v>
      </c>
      <c r="E229" s="2">
        <v>-53.0</v>
      </c>
      <c r="F229" s="2">
        <v>0.0</v>
      </c>
      <c r="G229" s="2">
        <f t="shared" si="1"/>
        <v>-53</v>
      </c>
      <c r="H229" s="2" t="s">
        <v>13</v>
      </c>
      <c r="L229" s="2" t="s">
        <v>11</v>
      </c>
    </row>
    <row r="230" ht="12.75" customHeight="1">
      <c r="A230" s="2">
        <v>2015.0</v>
      </c>
      <c r="B230" s="2">
        <v>9.0</v>
      </c>
      <c r="C230" s="2">
        <v>14.0</v>
      </c>
      <c r="D230" s="2" t="s">
        <v>95</v>
      </c>
      <c r="E230" s="2">
        <v>-150.0</v>
      </c>
      <c r="F230" s="2">
        <v>0.0</v>
      </c>
      <c r="G230" s="2">
        <f t="shared" si="1"/>
        <v>-150</v>
      </c>
      <c r="H230" s="2" t="s">
        <v>47</v>
      </c>
      <c r="L230" s="2" t="s">
        <v>11</v>
      </c>
    </row>
    <row r="231" ht="12.75" customHeight="1">
      <c r="A231" s="2">
        <v>2015.0</v>
      </c>
      <c r="B231" s="2">
        <v>9.0</v>
      </c>
      <c r="C231" s="2">
        <v>12.0</v>
      </c>
      <c r="D231" s="2" t="s">
        <v>146</v>
      </c>
      <c r="E231" s="2">
        <v>-36785.0</v>
      </c>
      <c r="F231" s="2">
        <v>0.0</v>
      </c>
      <c r="G231" s="2">
        <f t="shared" si="1"/>
        <v>-36785</v>
      </c>
      <c r="H231" s="2" t="s">
        <v>13</v>
      </c>
      <c r="L231" s="2" t="s">
        <v>11</v>
      </c>
    </row>
    <row r="232" ht="12.75" customHeight="1">
      <c r="A232" s="2">
        <v>2015.0</v>
      </c>
      <c r="B232" s="2">
        <v>9.0</v>
      </c>
      <c r="C232" s="2">
        <v>12.0</v>
      </c>
      <c r="D232" s="2" t="s">
        <v>147</v>
      </c>
      <c r="E232" s="2">
        <v>-109.0</v>
      </c>
      <c r="F232" s="2">
        <v>0.0</v>
      </c>
      <c r="G232" s="2">
        <f t="shared" si="1"/>
        <v>-109</v>
      </c>
      <c r="H232" s="2" t="s">
        <v>47</v>
      </c>
      <c r="L232" s="2" t="s">
        <v>11</v>
      </c>
    </row>
    <row r="233" ht="12.75" customHeight="1">
      <c r="A233" s="2">
        <v>2015.0</v>
      </c>
      <c r="B233" s="2">
        <v>9.0</v>
      </c>
      <c r="C233" s="2">
        <v>11.0</v>
      </c>
      <c r="D233" s="2" t="s">
        <v>148</v>
      </c>
      <c r="E233" s="2">
        <v>-100.0</v>
      </c>
      <c r="F233" s="2">
        <v>0.0</v>
      </c>
      <c r="G233" s="2">
        <f t="shared" si="1"/>
        <v>-100</v>
      </c>
      <c r="H233" s="2" t="s">
        <v>13</v>
      </c>
      <c r="L233" s="2" t="s">
        <v>11</v>
      </c>
    </row>
    <row r="234" ht="12.75" customHeight="1">
      <c r="A234" s="2">
        <v>2015.0</v>
      </c>
      <c r="B234" s="2">
        <v>9.0</v>
      </c>
      <c r="C234" s="2">
        <v>9.0</v>
      </c>
      <c r="D234" s="2" t="s">
        <v>149</v>
      </c>
      <c r="E234" s="2">
        <v>-82.0</v>
      </c>
      <c r="F234" s="2">
        <v>0.0</v>
      </c>
      <c r="G234" s="2">
        <f t="shared" si="1"/>
        <v>-82</v>
      </c>
      <c r="H234" s="2" t="s">
        <v>38</v>
      </c>
      <c r="L234" s="2" t="s">
        <v>11</v>
      </c>
    </row>
    <row r="235" ht="12.75" customHeight="1">
      <c r="A235" s="2">
        <v>2015.0</v>
      </c>
      <c r="B235" s="2">
        <v>9.0</v>
      </c>
      <c r="C235" s="2">
        <v>7.0</v>
      </c>
      <c r="D235" s="2" t="s">
        <v>93</v>
      </c>
      <c r="E235" s="2">
        <v>-830.0</v>
      </c>
      <c r="F235" s="2">
        <v>0.0</v>
      </c>
      <c r="G235" s="2">
        <f t="shared" si="1"/>
        <v>-830</v>
      </c>
      <c r="H235" s="2" t="s">
        <v>38</v>
      </c>
      <c r="L235" s="2" t="s">
        <v>11</v>
      </c>
    </row>
    <row r="236" ht="12.75" customHeight="1">
      <c r="A236" s="2">
        <v>2015.0</v>
      </c>
      <c r="B236" s="2">
        <v>9.0</v>
      </c>
      <c r="C236" s="2">
        <v>6.0</v>
      </c>
      <c r="D236" s="2" t="s">
        <v>46</v>
      </c>
      <c r="E236" s="2">
        <v>-25.0</v>
      </c>
      <c r="F236" s="2">
        <v>0.0</v>
      </c>
      <c r="G236" s="2">
        <f t="shared" si="1"/>
        <v>-25</v>
      </c>
      <c r="H236" s="2" t="s">
        <v>47</v>
      </c>
      <c r="L236" s="2" t="s">
        <v>11</v>
      </c>
    </row>
    <row r="237" ht="12.75" customHeight="1">
      <c r="A237" s="2">
        <v>2015.0</v>
      </c>
      <c r="B237" s="2">
        <v>9.0</v>
      </c>
      <c r="C237" s="2">
        <v>6.0</v>
      </c>
      <c r="D237" s="2" t="s">
        <v>150</v>
      </c>
      <c r="E237" s="2">
        <v>-253.51</v>
      </c>
      <c r="F237" s="2">
        <v>0.0</v>
      </c>
      <c r="G237" s="2">
        <f t="shared" si="1"/>
        <v>-253.51</v>
      </c>
      <c r="H237" s="2" t="s">
        <v>52</v>
      </c>
      <c r="L237" s="2" t="s">
        <v>11</v>
      </c>
    </row>
    <row r="238" ht="12.75" customHeight="1">
      <c r="A238" s="2">
        <v>2015.0</v>
      </c>
      <c r="B238" s="2">
        <v>9.0</v>
      </c>
      <c r="C238" s="2">
        <v>5.0</v>
      </c>
      <c r="D238" s="2" t="s">
        <v>59</v>
      </c>
      <c r="E238" s="2">
        <v>-297.0</v>
      </c>
      <c r="F238" s="2">
        <v>0.0</v>
      </c>
      <c r="G238" s="2">
        <f t="shared" si="1"/>
        <v>-297</v>
      </c>
      <c r="H238" s="2" t="s">
        <v>38</v>
      </c>
      <c r="L238" s="2" t="s">
        <v>11</v>
      </c>
    </row>
    <row r="239" ht="12.75" customHeight="1">
      <c r="A239" s="2">
        <v>2015.0</v>
      </c>
      <c r="B239" s="2">
        <v>9.0</v>
      </c>
      <c r="C239" s="2">
        <v>5.0</v>
      </c>
      <c r="D239" s="2" t="s">
        <v>119</v>
      </c>
      <c r="E239" s="2">
        <v>-30.0</v>
      </c>
      <c r="F239" s="2">
        <v>0.0</v>
      </c>
      <c r="G239" s="2">
        <f t="shared" si="1"/>
        <v>-30</v>
      </c>
      <c r="H239" s="2" t="s">
        <v>47</v>
      </c>
      <c r="L239" s="2" t="s">
        <v>11</v>
      </c>
    </row>
    <row r="240" ht="12.75" customHeight="1">
      <c r="A240" s="2">
        <v>2015.0</v>
      </c>
      <c r="B240" s="2">
        <v>9.0</v>
      </c>
      <c r="C240" s="2">
        <v>5.0</v>
      </c>
      <c r="D240" s="2" t="s">
        <v>151</v>
      </c>
      <c r="E240" s="2">
        <v>-1896.34</v>
      </c>
      <c r="F240" s="2">
        <v>0.0</v>
      </c>
      <c r="G240" s="2">
        <f t="shared" si="1"/>
        <v>-1896.34</v>
      </c>
      <c r="H240" s="2" t="s">
        <v>13</v>
      </c>
      <c r="L240" s="2" t="s">
        <v>11</v>
      </c>
    </row>
    <row r="241" ht="12.75" customHeight="1">
      <c r="A241" s="2">
        <v>2015.0</v>
      </c>
      <c r="B241" s="2">
        <v>9.0</v>
      </c>
      <c r="C241" s="2">
        <v>4.0</v>
      </c>
      <c r="D241" s="2" t="s">
        <v>121</v>
      </c>
      <c r="E241" s="2">
        <v>-430.0</v>
      </c>
      <c r="F241" s="2">
        <v>0.0</v>
      </c>
      <c r="G241" s="2">
        <f t="shared" si="1"/>
        <v>-430</v>
      </c>
      <c r="H241" s="2" t="s">
        <v>50</v>
      </c>
      <c r="L241" s="2" t="s">
        <v>11</v>
      </c>
    </row>
    <row r="242" ht="12.75" customHeight="1">
      <c r="A242" s="2">
        <v>2015.0</v>
      </c>
      <c r="B242" s="2">
        <v>9.0</v>
      </c>
      <c r="C242" s="2">
        <v>4.0</v>
      </c>
      <c r="D242" s="2" t="s">
        <v>152</v>
      </c>
      <c r="E242" s="2">
        <v>-380.0</v>
      </c>
      <c r="F242" s="2">
        <v>0.0</v>
      </c>
      <c r="G242" s="2">
        <f t="shared" si="1"/>
        <v>-380</v>
      </c>
      <c r="H242" s="2" t="s">
        <v>31</v>
      </c>
      <c r="L242" s="2" t="s">
        <v>11</v>
      </c>
    </row>
    <row r="243" ht="12.75" customHeight="1">
      <c r="A243" s="2">
        <v>2015.0</v>
      </c>
      <c r="B243" s="2">
        <v>9.0</v>
      </c>
      <c r="C243" s="2">
        <v>4.0</v>
      </c>
      <c r="D243" s="2" t="s">
        <v>93</v>
      </c>
      <c r="E243" s="2">
        <v>-830.0</v>
      </c>
      <c r="F243" s="2">
        <v>0.0</v>
      </c>
      <c r="G243" s="2">
        <f t="shared" si="1"/>
        <v>-830</v>
      </c>
      <c r="H243" s="2" t="s">
        <v>38</v>
      </c>
      <c r="L243" s="2" t="s">
        <v>11</v>
      </c>
    </row>
    <row r="244" ht="12.75" customHeight="1">
      <c r="A244" s="2">
        <v>2015.0</v>
      </c>
      <c r="B244" s="2">
        <v>9.0</v>
      </c>
      <c r="C244" s="2">
        <v>3.0</v>
      </c>
      <c r="D244" s="2" t="s">
        <v>70</v>
      </c>
      <c r="E244" s="2">
        <v>-58.16</v>
      </c>
      <c r="F244" s="2">
        <v>0.0</v>
      </c>
      <c r="G244" s="2">
        <f t="shared" si="1"/>
        <v>-58.16</v>
      </c>
      <c r="H244" s="2" t="s">
        <v>153</v>
      </c>
      <c r="L244" s="2" t="s">
        <v>11</v>
      </c>
    </row>
    <row r="245" ht="12.75" customHeight="1">
      <c r="A245" s="2">
        <v>2015.0</v>
      </c>
      <c r="B245" s="2">
        <v>9.0</v>
      </c>
      <c r="C245" s="2">
        <v>3.0</v>
      </c>
      <c r="D245" s="2" t="s">
        <v>102</v>
      </c>
      <c r="E245" s="2">
        <v>-173.0</v>
      </c>
      <c r="F245" s="2">
        <v>0.0</v>
      </c>
      <c r="G245" s="2">
        <f t="shared" si="1"/>
        <v>-173</v>
      </c>
      <c r="H245" s="2" t="s">
        <v>103</v>
      </c>
      <c r="L245" s="2" t="s">
        <v>11</v>
      </c>
    </row>
    <row r="246" ht="12.75" customHeight="1">
      <c r="A246" s="2">
        <v>2015.0</v>
      </c>
      <c r="B246" s="2">
        <v>9.0</v>
      </c>
      <c r="C246" s="2">
        <v>3.0</v>
      </c>
      <c r="D246" s="2">
        <v>4.7516877E7</v>
      </c>
      <c r="E246" s="2">
        <v>1000.0</v>
      </c>
      <c r="F246" s="2">
        <v>0.0</v>
      </c>
      <c r="G246" s="2">
        <f t="shared" si="1"/>
        <v>1000</v>
      </c>
      <c r="H246" s="2" t="s">
        <v>18</v>
      </c>
      <c r="L246" s="2" t="s">
        <v>11</v>
      </c>
    </row>
    <row r="247" ht="12.75" customHeight="1">
      <c r="A247" s="2">
        <v>2015.0</v>
      </c>
      <c r="B247" s="2">
        <v>9.0</v>
      </c>
      <c r="C247" s="2">
        <v>2.0</v>
      </c>
      <c r="D247" s="2" t="s">
        <v>154</v>
      </c>
      <c r="E247" s="2">
        <v>-10.0</v>
      </c>
      <c r="F247" s="2">
        <v>0.0</v>
      </c>
      <c r="G247" s="2">
        <f t="shared" si="1"/>
        <v>-10</v>
      </c>
      <c r="H247" s="2" t="s">
        <v>153</v>
      </c>
      <c r="L247" s="2" t="s">
        <v>11</v>
      </c>
    </row>
    <row r="248" ht="12.75" customHeight="1">
      <c r="A248" s="2">
        <v>2015.0</v>
      </c>
      <c r="B248" s="2">
        <v>9.0</v>
      </c>
      <c r="C248" s="2">
        <v>2.0</v>
      </c>
      <c r="D248" s="2" t="s">
        <v>155</v>
      </c>
      <c r="E248" s="2">
        <v>-625.0</v>
      </c>
      <c r="F248" s="2">
        <v>0.0</v>
      </c>
      <c r="G248" s="2">
        <f t="shared" si="1"/>
        <v>-625</v>
      </c>
      <c r="H248" s="2" t="s">
        <v>153</v>
      </c>
      <c r="L248" s="2" t="s">
        <v>11</v>
      </c>
    </row>
    <row r="249" ht="12.75" customHeight="1">
      <c r="A249" s="2">
        <v>2015.0</v>
      </c>
      <c r="B249" s="2">
        <v>9.0</v>
      </c>
      <c r="C249" s="2">
        <v>2.0</v>
      </c>
      <c r="D249" s="2" t="s">
        <v>89</v>
      </c>
      <c r="E249" s="2">
        <v>-129.0</v>
      </c>
      <c r="F249" s="2">
        <v>0.0</v>
      </c>
      <c r="G249" s="2">
        <f t="shared" si="1"/>
        <v>-129</v>
      </c>
      <c r="H249" s="2" t="s">
        <v>35</v>
      </c>
      <c r="L249" s="2" t="s">
        <v>11</v>
      </c>
    </row>
    <row r="250" ht="12.75" customHeight="1">
      <c r="A250" s="2">
        <v>2015.0</v>
      </c>
      <c r="B250" s="2">
        <v>9.0</v>
      </c>
      <c r="C250" s="2">
        <v>2.0</v>
      </c>
      <c r="D250" s="2" t="s">
        <v>156</v>
      </c>
      <c r="E250" s="2">
        <v>6341.0</v>
      </c>
      <c r="F250" s="2">
        <v>0.0</v>
      </c>
      <c r="G250" s="2">
        <f t="shared" si="1"/>
        <v>6341</v>
      </c>
      <c r="H250" s="2" t="s">
        <v>10</v>
      </c>
      <c r="L250" s="2" t="s">
        <v>11</v>
      </c>
    </row>
    <row r="251" ht="12.75" customHeight="1">
      <c r="A251" s="2">
        <v>2015.0</v>
      </c>
      <c r="B251" s="2">
        <v>9.0</v>
      </c>
      <c r="C251" s="2">
        <v>1.0</v>
      </c>
      <c r="D251" s="2" t="s">
        <v>157</v>
      </c>
      <c r="E251" s="2">
        <v>-140.0</v>
      </c>
      <c r="F251" s="2">
        <v>0.0</v>
      </c>
      <c r="G251" s="2">
        <f t="shared" si="1"/>
        <v>-140</v>
      </c>
      <c r="H251" s="2" t="s">
        <v>17</v>
      </c>
      <c r="L251" s="2" t="s">
        <v>11</v>
      </c>
    </row>
    <row r="252" ht="12.75" customHeight="1">
      <c r="A252" s="2">
        <v>2015.0</v>
      </c>
      <c r="B252" s="2">
        <v>9.0</v>
      </c>
      <c r="C252" s="2">
        <v>1.0</v>
      </c>
      <c r="D252" s="2" t="s">
        <v>73</v>
      </c>
      <c r="E252" s="2">
        <v>-8903.0</v>
      </c>
      <c r="F252" s="2">
        <v>0.0</v>
      </c>
      <c r="G252" s="2">
        <f t="shared" si="1"/>
        <v>-8903</v>
      </c>
      <c r="H252" s="2" t="s">
        <v>10</v>
      </c>
      <c r="L252" s="2" t="s">
        <v>11</v>
      </c>
    </row>
    <row r="253" ht="12.75" customHeight="1">
      <c r="A253" s="2">
        <v>2015.0</v>
      </c>
      <c r="B253" s="2">
        <v>8.0</v>
      </c>
      <c r="C253" s="2">
        <v>31.0</v>
      </c>
      <c r="D253" s="2" t="s">
        <v>9</v>
      </c>
      <c r="E253" s="2">
        <v>-7734.0</v>
      </c>
      <c r="F253" s="2">
        <v>0.0</v>
      </c>
      <c r="G253" s="2">
        <f t="shared" si="1"/>
        <v>-7734</v>
      </c>
      <c r="H253" s="2" t="s">
        <v>10</v>
      </c>
      <c r="L253" s="2" t="s">
        <v>11</v>
      </c>
    </row>
    <row r="254" ht="12.75" customHeight="1">
      <c r="A254" s="2">
        <v>2015.0</v>
      </c>
      <c r="B254" s="2">
        <v>8.0</v>
      </c>
      <c r="C254" s="2">
        <v>31.0</v>
      </c>
      <c r="D254" s="2" t="s">
        <v>12</v>
      </c>
      <c r="E254" s="2">
        <v>-8435.39</v>
      </c>
      <c r="F254" s="2">
        <v>0.0</v>
      </c>
      <c r="G254" s="2">
        <f t="shared" si="1"/>
        <v>-8435.39</v>
      </c>
      <c r="H254" s="2" t="s">
        <v>13</v>
      </c>
      <c r="L254" s="2" t="s">
        <v>11</v>
      </c>
    </row>
    <row r="255" ht="12.75" customHeight="1">
      <c r="A255" s="2">
        <v>2015.0</v>
      </c>
      <c r="B255" s="2">
        <v>8.0</v>
      </c>
      <c r="C255" s="2">
        <v>31.0</v>
      </c>
      <c r="D255" s="2" t="s">
        <v>158</v>
      </c>
      <c r="E255" s="2">
        <v>765.0</v>
      </c>
      <c r="F255" s="2">
        <v>0.0</v>
      </c>
      <c r="G255" s="2">
        <f t="shared" si="1"/>
        <v>765</v>
      </c>
      <c r="H255" s="2" t="s">
        <v>153</v>
      </c>
      <c r="L255" s="2" t="s">
        <v>11</v>
      </c>
    </row>
    <row r="256" ht="12.75" customHeight="1">
      <c r="A256" s="2">
        <v>2015.0</v>
      </c>
      <c r="B256" s="2">
        <v>8.0</v>
      </c>
      <c r="C256" s="2">
        <v>31.0</v>
      </c>
      <c r="D256" s="2" t="s">
        <v>14</v>
      </c>
      <c r="E256" s="2">
        <v>-4007.0</v>
      </c>
      <c r="F256" s="2">
        <v>0.0</v>
      </c>
      <c r="G256" s="2">
        <f t="shared" si="1"/>
        <v>-4007</v>
      </c>
      <c r="H256" s="2" t="s">
        <v>10</v>
      </c>
      <c r="L256" s="2" t="s">
        <v>11</v>
      </c>
    </row>
    <row r="257" ht="12.75" customHeight="1">
      <c r="A257" s="2">
        <v>2015.0</v>
      </c>
      <c r="B257" s="2">
        <v>8.0</v>
      </c>
      <c r="C257" s="2">
        <v>31.0</v>
      </c>
      <c r="D257" s="2" t="s">
        <v>15</v>
      </c>
      <c r="E257" s="2">
        <v>-207.8</v>
      </c>
      <c r="F257" s="2">
        <v>0.0</v>
      </c>
      <c r="G257" s="2">
        <f t="shared" si="1"/>
        <v>-207.8</v>
      </c>
      <c r="H257" s="2" t="s">
        <v>10</v>
      </c>
      <c r="L257" s="2" t="s">
        <v>11</v>
      </c>
    </row>
    <row r="258" ht="12.75" customHeight="1">
      <c r="A258" s="2">
        <v>2015.0</v>
      </c>
      <c r="B258" s="2">
        <v>8.0</v>
      </c>
      <c r="C258" s="2">
        <v>31.0</v>
      </c>
      <c r="D258" s="2" t="s">
        <v>75</v>
      </c>
      <c r="E258" s="2">
        <v>-3064.0</v>
      </c>
      <c r="F258" s="2">
        <v>0.0</v>
      </c>
      <c r="G258" s="2">
        <f t="shared" si="1"/>
        <v>-3064</v>
      </c>
      <c r="H258" s="2" t="s">
        <v>76</v>
      </c>
      <c r="L258" s="2" t="s">
        <v>11</v>
      </c>
    </row>
    <row r="259" ht="12.75" customHeight="1">
      <c r="A259" s="2">
        <v>2015.0</v>
      </c>
      <c r="B259" s="2">
        <v>8.0</v>
      </c>
      <c r="C259" s="2">
        <v>31.0</v>
      </c>
      <c r="D259" s="2" t="s">
        <v>159</v>
      </c>
      <c r="E259" s="2">
        <v>-9324.5</v>
      </c>
      <c r="F259" s="2">
        <v>0.0</v>
      </c>
      <c r="G259" s="2">
        <f t="shared" si="1"/>
        <v>-9324.5</v>
      </c>
      <c r="H259" s="2" t="s">
        <v>13</v>
      </c>
      <c r="L259" s="2" t="s">
        <v>11</v>
      </c>
    </row>
    <row r="260" ht="12.75" customHeight="1">
      <c r="A260" s="2">
        <v>2015.0</v>
      </c>
      <c r="B260" s="2">
        <v>8.0</v>
      </c>
      <c r="C260" s="2">
        <v>31.0</v>
      </c>
      <c r="D260" s="2" t="s">
        <v>58</v>
      </c>
      <c r="E260" s="2">
        <v>-110.0</v>
      </c>
      <c r="F260" s="2">
        <v>0.0</v>
      </c>
      <c r="G260" s="2">
        <f t="shared" si="1"/>
        <v>-110</v>
      </c>
      <c r="H260" s="2" t="s">
        <v>38</v>
      </c>
      <c r="L260" s="2" t="s">
        <v>11</v>
      </c>
    </row>
    <row r="261" ht="12.75" customHeight="1">
      <c r="A261" s="2">
        <v>2015.0</v>
      </c>
      <c r="B261" s="2">
        <v>8.0</v>
      </c>
      <c r="C261" s="2">
        <v>30.0</v>
      </c>
      <c r="D261" s="2" t="s">
        <v>160</v>
      </c>
      <c r="E261" s="2">
        <v>-285.0</v>
      </c>
      <c r="F261" s="2">
        <v>0.0</v>
      </c>
      <c r="G261" s="2">
        <f t="shared" si="1"/>
        <v>-285</v>
      </c>
      <c r="H261" s="2" t="s">
        <v>72</v>
      </c>
      <c r="L261" s="2" t="s">
        <v>11</v>
      </c>
    </row>
    <row r="262" ht="12.75" customHeight="1">
      <c r="A262" s="2">
        <v>2015.0</v>
      </c>
      <c r="B262" s="2">
        <v>8.0</v>
      </c>
      <c r="C262" s="2">
        <v>28.0</v>
      </c>
      <c r="D262" s="2" t="s">
        <v>25</v>
      </c>
      <c r="E262" s="2">
        <v>-100.0</v>
      </c>
      <c r="F262" s="2">
        <v>0.0</v>
      </c>
      <c r="G262" s="2">
        <f t="shared" si="1"/>
        <v>-100</v>
      </c>
      <c r="H262" s="2" t="s">
        <v>26</v>
      </c>
      <c r="L262" s="2" t="s">
        <v>11</v>
      </c>
    </row>
    <row r="263" ht="12.75" customHeight="1">
      <c r="A263" s="2">
        <v>2015.0</v>
      </c>
      <c r="B263" s="2">
        <v>8.0</v>
      </c>
      <c r="C263" s="2">
        <v>28.0</v>
      </c>
      <c r="D263" s="2" t="s">
        <v>19</v>
      </c>
      <c r="E263" s="2">
        <v>-320.0</v>
      </c>
      <c r="F263" s="2">
        <v>0.0</v>
      </c>
      <c r="G263" s="2">
        <f t="shared" si="1"/>
        <v>-320</v>
      </c>
      <c r="H263" s="2" t="s">
        <v>20</v>
      </c>
      <c r="L263" s="2" t="s">
        <v>11</v>
      </c>
    </row>
    <row r="264" ht="12.75" customHeight="1">
      <c r="A264" s="2">
        <v>2015.0</v>
      </c>
      <c r="B264" s="2">
        <v>8.0</v>
      </c>
      <c r="C264" s="2">
        <v>28.0</v>
      </c>
      <c r="D264" s="2" t="s">
        <v>161</v>
      </c>
      <c r="E264" s="2">
        <v>-114.0</v>
      </c>
      <c r="F264" s="2">
        <v>0.0</v>
      </c>
      <c r="G264" s="2">
        <f t="shared" si="1"/>
        <v>-114</v>
      </c>
      <c r="H264" s="2" t="s">
        <v>47</v>
      </c>
      <c r="L264" s="2" t="s">
        <v>11</v>
      </c>
    </row>
    <row r="265" ht="12.75" customHeight="1">
      <c r="A265" s="2">
        <v>2015.0</v>
      </c>
      <c r="B265" s="2">
        <v>8.0</v>
      </c>
      <c r="C265" s="2">
        <v>28.0</v>
      </c>
      <c r="D265" s="2" t="s">
        <v>162</v>
      </c>
      <c r="E265" s="2">
        <v>-53.0</v>
      </c>
      <c r="F265" s="2">
        <v>0.0</v>
      </c>
      <c r="G265" s="2">
        <f t="shared" si="1"/>
        <v>-53</v>
      </c>
      <c r="H265" s="2" t="s">
        <v>47</v>
      </c>
      <c r="L265" s="2" t="s">
        <v>11</v>
      </c>
    </row>
    <row r="266" ht="12.75" customHeight="1">
      <c r="A266" s="2">
        <v>2015.0</v>
      </c>
      <c r="B266" s="2">
        <v>8.0</v>
      </c>
      <c r="C266" s="2">
        <v>28.0</v>
      </c>
      <c r="D266" s="2" t="s">
        <v>21</v>
      </c>
      <c r="E266" s="2">
        <v>-299.0</v>
      </c>
      <c r="F266" s="2">
        <v>0.0</v>
      </c>
      <c r="G266" s="2">
        <f t="shared" si="1"/>
        <v>-299</v>
      </c>
      <c r="H266" s="2" t="s">
        <v>22</v>
      </c>
      <c r="L266" s="2" t="s">
        <v>11</v>
      </c>
    </row>
    <row r="267" ht="12.75" customHeight="1">
      <c r="A267" s="2">
        <v>2015.0</v>
      </c>
      <c r="B267" s="2">
        <v>8.0</v>
      </c>
      <c r="C267" s="2">
        <v>28.0</v>
      </c>
      <c r="D267" s="2" t="s">
        <v>23</v>
      </c>
      <c r="E267" s="2">
        <v>-303.0</v>
      </c>
      <c r="F267" s="2">
        <v>0.0</v>
      </c>
      <c r="G267" s="2">
        <f t="shared" si="1"/>
        <v>-303</v>
      </c>
      <c r="H267" s="2" t="s">
        <v>24</v>
      </c>
      <c r="L267" s="2" t="s">
        <v>11</v>
      </c>
    </row>
    <row r="268" ht="12.75" customHeight="1">
      <c r="A268" s="2">
        <v>2015.0</v>
      </c>
      <c r="B268" s="2">
        <v>8.0</v>
      </c>
      <c r="C268" s="2">
        <v>26.0</v>
      </c>
      <c r="D268" s="2" t="s">
        <v>29</v>
      </c>
      <c r="E268" s="2">
        <v>-1250.0</v>
      </c>
      <c r="F268" s="2">
        <v>0.0</v>
      </c>
      <c r="G268" s="2">
        <f t="shared" si="1"/>
        <v>-1250</v>
      </c>
      <c r="H268" s="2" t="s">
        <v>18</v>
      </c>
      <c r="L268" s="2" t="s">
        <v>11</v>
      </c>
    </row>
    <row r="269" ht="12.75" customHeight="1">
      <c r="A269" s="2">
        <v>2015.0</v>
      </c>
      <c r="B269" s="2">
        <v>8.0</v>
      </c>
      <c r="C269" s="2">
        <v>25.0</v>
      </c>
      <c r="D269" s="2" t="s">
        <v>27</v>
      </c>
      <c r="E269" s="2">
        <v>-5000.0</v>
      </c>
      <c r="F269" s="2">
        <v>0.0</v>
      </c>
      <c r="G269" s="2">
        <f t="shared" si="1"/>
        <v>-5000</v>
      </c>
      <c r="H269" s="2" t="s">
        <v>28</v>
      </c>
      <c r="L269" s="2" t="s">
        <v>11</v>
      </c>
    </row>
    <row r="270" ht="12.75" customHeight="1">
      <c r="A270" s="2">
        <v>2015.0</v>
      </c>
      <c r="B270" s="2">
        <v>8.0</v>
      </c>
      <c r="C270" s="2">
        <v>25.0</v>
      </c>
      <c r="D270" s="2" t="s">
        <v>27</v>
      </c>
      <c r="E270" s="2">
        <v>5000.0</v>
      </c>
      <c r="F270" s="2">
        <v>0.0</v>
      </c>
      <c r="G270" s="2">
        <f t="shared" si="1"/>
        <v>5000</v>
      </c>
      <c r="H270" s="2" t="s">
        <v>28</v>
      </c>
      <c r="L270" s="2" t="s">
        <v>11</v>
      </c>
    </row>
    <row r="271" ht="12.75" customHeight="1">
      <c r="A271" s="2">
        <v>2015.0</v>
      </c>
      <c r="B271" s="2">
        <v>8.0</v>
      </c>
      <c r="C271" s="2">
        <v>24.0</v>
      </c>
      <c r="D271" s="2" t="s">
        <v>163</v>
      </c>
      <c r="E271" s="2">
        <v>18.0</v>
      </c>
      <c r="F271" s="2">
        <v>0.0</v>
      </c>
      <c r="G271" s="2">
        <f t="shared" si="1"/>
        <v>18</v>
      </c>
      <c r="H271" s="2" t="s">
        <v>164</v>
      </c>
      <c r="L271" s="2" t="s">
        <v>11</v>
      </c>
    </row>
    <row r="272" ht="12.75" customHeight="1">
      <c r="A272" s="2">
        <v>2015.0</v>
      </c>
      <c r="B272" s="2">
        <v>8.0</v>
      </c>
      <c r="C272" s="2">
        <v>24.0</v>
      </c>
      <c r="D272" s="2" t="s">
        <v>39</v>
      </c>
      <c r="E272" s="2">
        <v>29291.0</v>
      </c>
      <c r="F272" s="2">
        <v>0.0</v>
      </c>
      <c r="G272" s="2">
        <f t="shared" si="1"/>
        <v>29291</v>
      </c>
      <c r="H272" s="2" t="s">
        <v>40</v>
      </c>
      <c r="L272" s="2" t="s">
        <v>11</v>
      </c>
    </row>
    <row r="273" ht="12.75" customHeight="1">
      <c r="A273" s="2">
        <v>2015.0</v>
      </c>
      <c r="B273" s="2">
        <v>8.0</v>
      </c>
      <c r="C273" s="2">
        <v>24.0</v>
      </c>
      <c r="D273" s="2" t="s">
        <v>58</v>
      </c>
      <c r="E273" s="2">
        <v>-95.0</v>
      </c>
      <c r="F273" s="2">
        <v>0.0</v>
      </c>
      <c r="G273" s="2">
        <f t="shared" si="1"/>
        <v>-95</v>
      </c>
      <c r="H273" s="2" t="s">
        <v>38</v>
      </c>
      <c r="L273" s="2" t="s">
        <v>11</v>
      </c>
    </row>
    <row r="274" ht="12.75" customHeight="1">
      <c r="A274" s="2">
        <v>2015.0</v>
      </c>
      <c r="B274" s="2">
        <v>8.0</v>
      </c>
      <c r="C274" s="2">
        <v>23.0</v>
      </c>
      <c r="D274" s="2" t="s">
        <v>70</v>
      </c>
      <c r="E274" s="2">
        <v>300.0</v>
      </c>
      <c r="F274" s="2">
        <v>0.0</v>
      </c>
      <c r="G274" s="2">
        <f t="shared" si="1"/>
        <v>300</v>
      </c>
      <c r="H274" s="2" t="s">
        <v>153</v>
      </c>
      <c r="L274" s="2" t="s">
        <v>11</v>
      </c>
    </row>
    <row r="275" ht="12.75" customHeight="1">
      <c r="A275" s="2">
        <v>2015.0</v>
      </c>
      <c r="B275" s="2">
        <v>8.0</v>
      </c>
      <c r="C275" s="2">
        <v>23.0</v>
      </c>
      <c r="D275" s="2" t="s">
        <v>165</v>
      </c>
      <c r="E275" s="2">
        <v>142.0</v>
      </c>
      <c r="F275" s="2">
        <v>0.0</v>
      </c>
      <c r="G275" s="2">
        <f t="shared" si="1"/>
        <v>142</v>
      </c>
      <c r="H275" s="2" t="s">
        <v>153</v>
      </c>
      <c r="L275" s="2" t="s">
        <v>11</v>
      </c>
    </row>
    <row r="276" ht="12.75" customHeight="1">
      <c r="A276" s="2">
        <v>2015.0</v>
      </c>
      <c r="B276" s="2">
        <v>8.0</v>
      </c>
      <c r="C276" s="2">
        <v>22.0</v>
      </c>
      <c r="D276" s="2" t="s">
        <v>166</v>
      </c>
      <c r="E276" s="2">
        <v>-947.0</v>
      </c>
      <c r="F276" s="2">
        <v>0.0</v>
      </c>
      <c r="G276" s="2">
        <f t="shared" si="1"/>
        <v>-947</v>
      </c>
      <c r="H276" s="2" t="s">
        <v>52</v>
      </c>
      <c r="L276" s="2" t="s">
        <v>11</v>
      </c>
    </row>
    <row r="277" ht="12.75" customHeight="1">
      <c r="A277" s="2">
        <v>2015.0</v>
      </c>
      <c r="B277" s="2">
        <v>8.0</v>
      </c>
      <c r="C277" s="2">
        <v>22.0</v>
      </c>
      <c r="D277" s="2" t="s">
        <v>167</v>
      </c>
      <c r="E277" s="2">
        <v>-480.0</v>
      </c>
      <c r="F277" s="2">
        <v>0.0</v>
      </c>
      <c r="G277" s="2">
        <f t="shared" si="1"/>
        <v>-480</v>
      </c>
      <c r="H277" s="2" t="s">
        <v>52</v>
      </c>
      <c r="L277" s="2" t="s">
        <v>11</v>
      </c>
    </row>
    <row r="278" ht="12.75" customHeight="1">
      <c r="A278" s="2">
        <v>2015.0</v>
      </c>
      <c r="B278" s="2">
        <v>8.0</v>
      </c>
      <c r="C278" s="2">
        <v>22.0</v>
      </c>
      <c r="D278" s="2" t="s">
        <v>167</v>
      </c>
      <c r="E278" s="2">
        <v>-360.0</v>
      </c>
      <c r="F278" s="2">
        <v>0.0</v>
      </c>
      <c r="G278" s="2">
        <f t="shared" si="1"/>
        <v>-360</v>
      </c>
      <c r="H278" s="2" t="s">
        <v>52</v>
      </c>
      <c r="L278" s="2" t="s">
        <v>11</v>
      </c>
    </row>
    <row r="279" ht="12.75" customHeight="1">
      <c r="A279" s="2">
        <v>2015.0</v>
      </c>
      <c r="B279" s="2">
        <v>8.0</v>
      </c>
      <c r="C279" s="2">
        <v>21.0</v>
      </c>
      <c r="D279" s="2" t="s">
        <v>160</v>
      </c>
      <c r="E279" s="2">
        <v>-142.0</v>
      </c>
      <c r="F279" s="2">
        <v>-142.0</v>
      </c>
      <c r="G279" s="2">
        <f t="shared" si="1"/>
        <v>-142</v>
      </c>
      <c r="H279" s="2" t="s">
        <v>72</v>
      </c>
      <c r="L279" s="2" t="s">
        <v>11</v>
      </c>
    </row>
    <row r="280" ht="12.75" customHeight="1">
      <c r="A280" s="2">
        <v>2015.0</v>
      </c>
      <c r="B280" s="2">
        <v>8.0</v>
      </c>
      <c r="C280" s="2">
        <v>21.0</v>
      </c>
      <c r="D280" s="2" t="s">
        <v>160</v>
      </c>
      <c r="E280" s="2">
        <v>-142.0</v>
      </c>
      <c r="F280" s="2">
        <v>0.0</v>
      </c>
      <c r="G280" s="2">
        <f t="shared" si="1"/>
        <v>-142</v>
      </c>
      <c r="H280" s="2" t="s">
        <v>72</v>
      </c>
      <c r="L280" s="2" t="s">
        <v>11</v>
      </c>
    </row>
    <row r="281" ht="12.75" customHeight="1">
      <c r="A281" s="2">
        <v>2015.0</v>
      </c>
      <c r="B281" s="2">
        <v>8.0</v>
      </c>
      <c r="C281" s="2">
        <v>21.0</v>
      </c>
      <c r="D281" s="2" t="s">
        <v>53</v>
      </c>
      <c r="E281" s="2">
        <v>-110.0</v>
      </c>
      <c r="F281" s="2">
        <v>0.0</v>
      </c>
      <c r="G281" s="2">
        <f t="shared" si="1"/>
        <v>-110</v>
      </c>
      <c r="H281" s="2" t="s">
        <v>54</v>
      </c>
      <c r="L281" s="2" t="s">
        <v>11</v>
      </c>
    </row>
    <row r="282" ht="12.75" customHeight="1">
      <c r="A282" s="2">
        <v>2015.0</v>
      </c>
      <c r="B282" s="2">
        <v>8.0</v>
      </c>
      <c r="C282" s="2">
        <v>20.0</v>
      </c>
      <c r="D282" s="2" t="s">
        <v>129</v>
      </c>
      <c r="E282" s="2">
        <v>-287.0</v>
      </c>
      <c r="F282" s="2">
        <v>0.0</v>
      </c>
      <c r="G282" s="2">
        <f t="shared" si="1"/>
        <v>-287</v>
      </c>
      <c r="H282" s="2" t="s">
        <v>13</v>
      </c>
      <c r="L282" s="2" t="s">
        <v>11</v>
      </c>
    </row>
    <row r="283" ht="12.75" customHeight="1">
      <c r="A283" s="2">
        <v>2015.0</v>
      </c>
      <c r="B283" s="2">
        <v>8.0</v>
      </c>
      <c r="C283" s="2">
        <v>17.0</v>
      </c>
      <c r="D283" s="2" t="s">
        <v>70</v>
      </c>
      <c r="E283" s="2">
        <v>-80.0</v>
      </c>
      <c r="F283" s="2">
        <v>0.0</v>
      </c>
      <c r="G283" s="2">
        <f t="shared" si="1"/>
        <v>-80</v>
      </c>
      <c r="H283" s="2" t="s">
        <v>153</v>
      </c>
      <c r="L283" s="2" t="s">
        <v>11</v>
      </c>
    </row>
    <row r="284" ht="12.75" customHeight="1">
      <c r="A284" s="2">
        <v>2015.0</v>
      </c>
      <c r="B284" s="2">
        <v>8.0</v>
      </c>
      <c r="C284" s="2">
        <v>16.0</v>
      </c>
      <c r="D284" s="2" t="s">
        <v>168</v>
      </c>
      <c r="E284" s="2">
        <v>-70.0</v>
      </c>
      <c r="F284" s="2">
        <v>0.0</v>
      </c>
      <c r="G284" s="2">
        <f t="shared" si="1"/>
        <v>-70</v>
      </c>
      <c r="H284" s="2" t="s">
        <v>42</v>
      </c>
      <c r="L284" s="2" t="s">
        <v>11</v>
      </c>
    </row>
    <row r="285" ht="12.75" customHeight="1">
      <c r="A285" s="2">
        <v>2015.0</v>
      </c>
      <c r="B285" s="2">
        <v>8.0</v>
      </c>
      <c r="C285" s="2">
        <v>16.0</v>
      </c>
      <c r="D285" s="2" t="s">
        <v>169</v>
      </c>
      <c r="E285" s="2">
        <v>-240.0</v>
      </c>
      <c r="F285" s="2">
        <v>0.0</v>
      </c>
      <c r="G285" s="2">
        <f t="shared" si="1"/>
        <v>-240</v>
      </c>
      <c r="H285" s="2" t="s">
        <v>52</v>
      </c>
      <c r="L285" s="2" t="s">
        <v>11</v>
      </c>
    </row>
    <row r="286" ht="12.75" customHeight="1">
      <c r="A286" s="2">
        <v>2015.0</v>
      </c>
      <c r="B286" s="2">
        <v>8.0</v>
      </c>
      <c r="C286" s="2">
        <v>16.0</v>
      </c>
      <c r="D286" s="2" t="s">
        <v>169</v>
      </c>
      <c r="E286" s="2">
        <v>-103.0</v>
      </c>
      <c r="F286" s="2">
        <v>0.0</v>
      </c>
      <c r="G286" s="2">
        <f t="shared" si="1"/>
        <v>-103</v>
      </c>
      <c r="H286" s="2" t="s">
        <v>52</v>
      </c>
      <c r="L286" s="2" t="s">
        <v>11</v>
      </c>
    </row>
    <row r="287" ht="12.75" customHeight="1">
      <c r="A287" s="2">
        <v>2015.0</v>
      </c>
      <c r="B287" s="2">
        <v>8.0</v>
      </c>
      <c r="C287" s="2">
        <v>16.0</v>
      </c>
      <c r="D287" s="2" t="s">
        <v>170</v>
      </c>
      <c r="E287" s="2">
        <v>-640.0</v>
      </c>
      <c r="F287" s="2">
        <v>0.0</v>
      </c>
      <c r="G287" s="2">
        <f t="shared" si="1"/>
        <v>-640</v>
      </c>
      <c r="H287" s="2" t="s">
        <v>35</v>
      </c>
      <c r="L287" s="2" t="s">
        <v>11</v>
      </c>
    </row>
    <row r="288" ht="12.75" customHeight="1">
      <c r="A288" s="2">
        <v>2015.0</v>
      </c>
      <c r="B288" s="2">
        <v>8.0</v>
      </c>
      <c r="C288" s="2">
        <v>16.0</v>
      </c>
      <c r="D288" s="2" t="s">
        <v>131</v>
      </c>
      <c r="E288" s="2">
        <v>-92.0</v>
      </c>
      <c r="F288" s="2">
        <v>0.0</v>
      </c>
      <c r="G288" s="2">
        <f t="shared" si="1"/>
        <v>-92</v>
      </c>
      <c r="H288" s="2" t="s">
        <v>52</v>
      </c>
      <c r="L288" s="2" t="s">
        <v>11</v>
      </c>
    </row>
    <row r="289" ht="12.75" customHeight="1">
      <c r="A289" s="2">
        <v>2015.0</v>
      </c>
      <c r="B289" s="2">
        <v>8.0</v>
      </c>
      <c r="C289" s="2">
        <v>16.0</v>
      </c>
      <c r="D289" s="2" t="s">
        <v>131</v>
      </c>
      <c r="E289" s="2">
        <v>-46.0</v>
      </c>
      <c r="F289" s="2">
        <v>-92.0</v>
      </c>
      <c r="G289" s="2">
        <f t="shared" si="1"/>
        <v>-46</v>
      </c>
      <c r="H289" s="2" t="s">
        <v>52</v>
      </c>
      <c r="L289" s="2" t="s">
        <v>11</v>
      </c>
    </row>
    <row r="290" ht="12.75" customHeight="1">
      <c r="A290" s="2">
        <v>2015.0</v>
      </c>
      <c r="B290" s="2">
        <v>8.0</v>
      </c>
      <c r="C290" s="2">
        <v>16.0</v>
      </c>
      <c r="D290" s="2" t="s">
        <v>131</v>
      </c>
      <c r="E290" s="2">
        <v>-46.0</v>
      </c>
      <c r="F290" s="2">
        <v>-46.0</v>
      </c>
      <c r="G290" s="2">
        <f t="shared" si="1"/>
        <v>-46</v>
      </c>
      <c r="H290" s="2" t="s">
        <v>52</v>
      </c>
      <c r="L290" s="2" t="s">
        <v>11</v>
      </c>
    </row>
    <row r="291" ht="12.75" customHeight="1">
      <c r="A291" s="2">
        <v>2015.0</v>
      </c>
      <c r="B291" s="2">
        <v>8.0</v>
      </c>
      <c r="C291" s="2">
        <v>16.0</v>
      </c>
      <c r="D291" s="2" t="s">
        <v>131</v>
      </c>
      <c r="E291" s="2">
        <v>-46.0</v>
      </c>
      <c r="F291" s="2">
        <v>0.0</v>
      </c>
      <c r="G291" s="2">
        <f t="shared" si="1"/>
        <v>-46</v>
      </c>
      <c r="H291" s="2" t="s">
        <v>52</v>
      </c>
      <c r="L291" s="2" t="s">
        <v>11</v>
      </c>
    </row>
    <row r="292" ht="12.75" customHeight="1">
      <c r="A292" s="2">
        <v>2015.0</v>
      </c>
      <c r="B292" s="2">
        <v>8.0</v>
      </c>
      <c r="C292" s="2">
        <v>16.0</v>
      </c>
      <c r="D292" s="2" t="s">
        <v>131</v>
      </c>
      <c r="E292" s="2">
        <v>-20.0</v>
      </c>
      <c r="F292" s="2">
        <v>0.0</v>
      </c>
      <c r="G292" s="2">
        <f t="shared" si="1"/>
        <v>-20</v>
      </c>
      <c r="H292" s="2" t="s">
        <v>52</v>
      </c>
      <c r="L292" s="2" t="s">
        <v>11</v>
      </c>
    </row>
    <row r="293" ht="12.75" customHeight="1">
      <c r="A293" s="2">
        <v>2015.0</v>
      </c>
      <c r="B293" s="2">
        <v>8.0</v>
      </c>
      <c r="C293" s="2">
        <v>16.0</v>
      </c>
      <c r="D293" s="2" t="s">
        <v>171</v>
      </c>
      <c r="E293" s="2">
        <v>-690.0</v>
      </c>
      <c r="F293" s="2">
        <v>0.0</v>
      </c>
      <c r="G293" s="2">
        <f t="shared" si="1"/>
        <v>-690</v>
      </c>
      <c r="H293" s="2" t="s">
        <v>47</v>
      </c>
      <c r="L293" s="2" t="s">
        <v>11</v>
      </c>
    </row>
    <row r="294" ht="12.75" customHeight="1">
      <c r="A294" s="2">
        <v>2015.0</v>
      </c>
      <c r="B294" s="2">
        <v>8.0</v>
      </c>
      <c r="C294" s="2">
        <v>16.0</v>
      </c>
      <c r="D294" s="2">
        <v>5.50755373E8</v>
      </c>
      <c r="E294" s="2">
        <v>2000.0</v>
      </c>
      <c r="F294" s="2">
        <v>0.0</v>
      </c>
      <c r="G294" s="2">
        <f t="shared" si="1"/>
        <v>2000</v>
      </c>
      <c r="H294" s="2" t="s">
        <v>31</v>
      </c>
      <c r="L294" s="2" t="s">
        <v>11</v>
      </c>
    </row>
    <row r="295" ht="12.75" customHeight="1">
      <c r="A295" s="2">
        <v>2015.0</v>
      </c>
      <c r="B295" s="2">
        <v>8.0</v>
      </c>
      <c r="C295" s="2">
        <v>15.0</v>
      </c>
      <c r="D295" s="2" t="s">
        <v>172</v>
      </c>
      <c r="E295" s="2">
        <v>-218.0</v>
      </c>
      <c r="F295" s="2">
        <v>0.0</v>
      </c>
      <c r="G295" s="2">
        <f t="shared" si="1"/>
        <v>-218</v>
      </c>
      <c r="H295" s="2" t="s">
        <v>47</v>
      </c>
      <c r="L295" s="2" t="s">
        <v>11</v>
      </c>
    </row>
    <row r="296" ht="12.75" customHeight="1">
      <c r="A296" s="2">
        <v>2015.0</v>
      </c>
      <c r="B296" s="2">
        <v>8.0</v>
      </c>
      <c r="C296" s="2">
        <v>15.0</v>
      </c>
      <c r="D296" s="2" t="s">
        <v>173</v>
      </c>
      <c r="E296" s="2">
        <v>-933.0</v>
      </c>
      <c r="F296" s="2">
        <v>0.0</v>
      </c>
      <c r="G296" s="2">
        <f t="shared" si="1"/>
        <v>-933</v>
      </c>
      <c r="H296" s="2" t="s">
        <v>47</v>
      </c>
      <c r="L296" s="2" t="s">
        <v>11</v>
      </c>
    </row>
    <row r="297" ht="12.75" customHeight="1">
      <c r="A297" s="2">
        <v>2015.0</v>
      </c>
      <c r="B297" s="2">
        <v>8.0</v>
      </c>
      <c r="C297" s="2">
        <v>15.0</v>
      </c>
      <c r="D297" s="2" t="s">
        <v>174</v>
      </c>
      <c r="E297" s="2">
        <v>-78.0</v>
      </c>
      <c r="F297" s="2">
        <v>0.0</v>
      </c>
      <c r="G297" s="2">
        <f t="shared" si="1"/>
        <v>-78</v>
      </c>
      <c r="H297" s="2" t="s">
        <v>47</v>
      </c>
      <c r="L297" s="2" t="s">
        <v>11</v>
      </c>
    </row>
    <row r="298" ht="12.75" customHeight="1">
      <c r="A298" s="2">
        <v>2015.0</v>
      </c>
      <c r="B298" s="2">
        <v>8.0</v>
      </c>
      <c r="C298" s="2">
        <v>14.0</v>
      </c>
      <c r="D298" s="2" t="s">
        <v>175</v>
      </c>
      <c r="E298" s="2">
        <v>-110.0</v>
      </c>
      <c r="F298" s="2">
        <v>0.0</v>
      </c>
      <c r="G298" s="2">
        <f t="shared" si="1"/>
        <v>-110</v>
      </c>
      <c r="H298" s="2" t="s">
        <v>42</v>
      </c>
      <c r="L298" s="2" t="s">
        <v>11</v>
      </c>
    </row>
    <row r="299" ht="12.75" customHeight="1">
      <c r="A299" s="2">
        <v>2015.0</v>
      </c>
      <c r="B299" s="2">
        <v>8.0</v>
      </c>
      <c r="C299" s="2">
        <v>12.0</v>
      </c>
      <c r="D299" s="2" t="s">
        <v>176</v>
      </c>
      <c r="E299" s="2">
        <v>-200.0</v>
      </c>
      <c r="F299" s="2">
        <v>0.0</v>
      </c>
      <c r="G299" s="2">
        <f t="shared" si="1"/>
        <v>-200</v>
      </c>
      <c r="H299" s="2" t="s">
        <v>47</v>
      </c>
      <c r="L299" s="2" t="s">
        <v>11</v>
      </c>
    </row>
    <row r="300" ht="12.75" customHeight="1">
      <c r="A300" s="2">
        <v>2015.0</v>
      </c>
      <c r="B300" s="2">
        <v>8.0</v>
      </c>
      <c r="C300" s="2">
        <v>12.0</v>
      </c>
      <c r="D300" s="2" t="s">
        <v>91</v>
      </c>
      <c r="E300" s="2">
        <v>-80.0</v>
      </c>
      <c r="F300" s="2">
        <v>0.0</v>
      </c>
      <c r="G300" s="2">
        <f t="shared" si="1"/>
        <v>-80</v>
      </c>
      <c r="H300" s="2" t="s">
        <v>38</v>
      </c>
      <c r="L300" s="2" t="s">
        <v>11</v>
      </c>
    </row>
    <row r="301" ht="12.75" customHeight="1">
      <c r="A301" s="2">
        <v>2015.0</v>
      </c>
      <c r="B301" s="2">
        <v>8.0</v>
      </c>
      <c r="C301" s="2">
        <v>12.0</v>
      </c>
      <c r="D301" s="2" t="s">
        <v>177</v>
      </c>
      <c r="E301" s="2">
        <v>-500.0</v>
      </c>
      <c r="F301" s="2">
        <v>0.0</v>
      </c>
      <c r="G301" s="2">
        <f t="shared" si="1"/>
        <v>-500</v>
      </c>
      <c r="H301" s="2" t="s">
        <v>31</v>
      </c>
      <c r="L301" s="2" t="s">
        <v>11</v>
      </c>
    </row>
    <row r="302" ht="12.75" customHeight="1">
      <c r="A302" s="2">
        <v>2015.0</v>
      </c>
      <c r="B302" s="2">
        <v>8.0</v>
      </c>
      <c r="C302" s="2">
        <v>10.0</v>
      </c>
      <c r="D302" s="2" t="s">
        <v>93</v>
      </c>
      <c r="E302" s="2">
        <v>-830.0</v>
      </c>
      <c r="F302" s="2">
        <v>0.0</v>
      </c>
      <c r="G302" s="2">
        <f t="shared" si="1"/>
        <v>-830</v>
      </c>
      <c r="H302" s="2" t="s">
        <v>38</v>
      </c>
      <c r="L302" s="2" t="s">
        <v>11</v>
      </c>
    </row>
    <row r="303" ht="12.75" customHeight="1">
      <c r="A303" s="2">
        <v>2015.0</v>
      </c>
      <c r="B303" s="2">
        <v>8.0</v>
      </c>
      <c r="C303" s="2">
        <v>8.0</v>
      </c>
      <c r="D303" s="2" t="s">
        <v>178</v>
      </c>
      <c r="E303" s="2">
        <v>-165.0</v>
      </c>
      <c r="F303" s="2">
        <v>0.0</v>
      </c>
      <c r="G303" s="2">
        <f t="shared" si="1"/>
        <v>-165</v>
      </c>
      <c r="H303" s="2" t="s">
        <v>47</v>
      </c>
      <c r="L303" s="2" t="s">
        <v>11</v>
      </c>
    </row>
    <row r="304" ht="12.75" customHeight="1">
      <c r="A304" s="2">
        <v>2015.0</v>
      </c>
      <c r="B304" s="2">
        <v>8.0</v>
      </c>
      <c r="C304" s="2">
        <v>7.0</v>
      </c>
      <c r="D304" s="2" t="s">
        <v>179</v>
      </c>
      <c r="E304" s="2">
        <v>-424.0</v>
      </c>
      <c r="F304" s="2">
        <v>0.0</v>
      </c>
      <c r="G304" s="2">
        <f t="shared" si="1"/>
        <v>-424</v>
      </c>
      <c r="H304" s="2" t="s">
        <v>47</v>
      </c>
      <c r="L304" s="2" t="s">
        <v>11</v>
      </c>
    </row>
    <row r="305" ht="12.75" customHeight="1">
      <c r="A305" s="2">
        <v>2015.0</v>
      </c>
      <c r="B305" s="2">
        <v>8.0</v>
      </c>
      <c r="C305" s="2">
        <v>7.0</v>
      </c>
      <c r="D305" s="2" t="s">
        <v>58</v>
      </c>
      <c r="E305" s="2">
        <v>-100.0</v>
      </c>
      <c r="F305" s="2">
        <v>0.0</v>
      </c>
      <c r="G305" s="2">
        <f t="shared" si="1"/>
        <v>-100</v>
      </c>
      <c r="H305" s="2" t="s">
        <v>38</v>
      </c>
      <c r="L305" s="2" t="s">
        <v>11</v>
      </c>
    </row>
    <row r="306" ht="12.75" customHeight="1">
      <c r="A306" s="2">
        <v>2015.0</v>
      </c>
      <c r="B306" s="2">
        <v>8.0</v>
      </c>
      <c r="C306" s="2">
        <v>6.0</v>
      </c>
      <c r="D306" s="2" t="s">
        <v>58</v>
      </c>
      <c r="E306" s="2">
        <v>-95.0</v>
      </c>
      <c r="F306" s="2">
        <v>0.0</v>
      </c>
      <c r="G306" s="2">
        <f t="shared" si="1"/>
        <v>-95</v>
      </c>
      <c r="H306" s="2" t="s">
        <v>38</v>
      </c>
      <c r="L306" s="2" t="s">
        <v>11</v>
      </c>
    </row>
    <row r="307" ht="12.75" customHeight="1">
      <c r="A307" s="2">
        <v>2015.0</v>
      </c>
      <c r="B307" s="2">
        <v>8.0</v>
      </c>
      <c r="C307" s="2">
        <v>5.0</v>
      </c>
      <c r="D307" s="2" t="s">
        <v>145</v>
      </c>
      <c r="E307" s="2">
        <v>-80.0</v>
      </c>
      <c r="F307" s="2">
        <v>0.0</v>
      </c>
      <c r="G307" s="2">
        <f t="shared" si="1"/>
        <v>-80</v>
      </c>
      <c r="H307" s="2" t="s">
        <v>38</v>
      </c>
      <c r="L307" s="2" t="s">
        <v>11</v>
      </c>
    </row>
    <row r="308" ht="12.75" customHeight="1">
      <c r="A308" s="2">
        <v>2015.0</v>
      </c>
      <c r="B308" s="2">
        <v>8.0</v>
      </c>
      <c r="C308" s="2">
        <v>4.0</v>
      </c>
      <c r="D308" s="2" t="s">
        <v>91</v>
      </c>
      <c r="E308" s="2">
        <v>-80.0</v>
      </c>
      <c r="F308" s="2">
        <v>0.0</v>
      </c>
      <c r="G308" s="2">
        <f t="shared" si="1"/>
        <v>-80</v>
      </c>
      <c r="H308" s="2" t="s">
        <v>38</v>
      </c>
      <c r="L308" s="2" t="s">
        <v>11</v>
      </c>
    </row>
    <row r="309" ht="12.75" customHeight="1">
      <c r="A309" s="2">
        <v>2015.0</v>
      </c>
      <c r="B309" s="2">
        <v>8.0</v>
      </c>
      <c r="C309" s="2">
        <v>4.0</v>
      </c>
      <c r="D309" s="2" t="s">
        <v>46</v>
      </c>
      <c r="E309" s="2">
        <v>-148.0</v>
      </c>
      <c r="F309" s="2">
        <v>0.0</v>
      </c>
      <c r="G309" s="2">
        <f t="shared" si="1"/>
        <v>-148</v>
      </c>
      <c r="H309" s="2" t="s">
        <v>47</v>
      </c>
      <c r="L309" s="2" t="s">
        <v>11</v>
      </c>
    </row>
    <row r="310" ht="12.75" customHeight="1">
      <c r="A310" s="2">
        <v>2015.0</v>
      </c>
      <c r="B310" s="2">
        <v>8.0</v>
      </c>
      <c r="C310" s="2">
        <v>4.0</v>
      </c>
      <c r="D310" s="2" t="s">
        <v>180</v>
      </c>
      <c r="E310" s="2">
        <v>1875.0</v>
      </c>
      <c r="F310" s="2">
        <v>0.0</v>
      </c>
      <c r="G310" s="2">
        <f t="shared" si="1"/>
        <v>1875</v>
      </c>
      <c r="H310" s="2" t="s">
        <v>153</v>
      </c>
      <c r="L310" s="2" t="s">
        <v>11</v>
      </c>
    </row>
    <row r="311" ht="12.75" customHeight="1">
      <c r="A311" s="2">
        <v>2015.0</v>
      </c>
      <c r="B311" s="2">
        <v>8.0</v>
      </c>
      <c r="C311" s="2">
        <v>3.0</v>
      </c>
      <c r="D311" s="2" t="s">
        <v>157</v>
      </c>
      <c r="E311" s="2">
        <v>-130.0</v>
      </c>
      <c r="F311" s="2">
        <v>0.0</v>
      </c>
      <c r="G311" s="2">
        <f t="shared" si="1"/>
        <v>-130</v>
      </c>
      <c r="H311" s="2" t="s">
        <v>17</v>
      </c>
      <c r="L311" s="2" t="s">
        <v>11</v>
      </c>
    </row>
    <row r="312" ht="12.75" customHeight="1">
      <c r="A312" s="2">
        <v>2015.0</v>
      </c>
      <c r="B312" s="2">
        <v>8.0</v>
      </c>
      <c r="C312" s="2">
        <v>3.0</v>
      </c>
      <c r="D312" s="2" t="s">
        <v>73</v>
      </c>
      <c r="E312" s="2">
        <v>-8944.0</v>
      </c>
      <c r="F312" s="2">
        <v>0.0</v>
      </c>
      <c r="G312" s="2">
        <f t="shared" si="1"/>
        <v>-8944</v>
      </c>
      <c r="H312" s="2" t="s">
        <v>10</v>
      </c>
      <c r="L312" s="2" t="s">
        <v>11</v>
      </c>
    </row>
    <row r="313" ht="12.75" customHeight="1">
      <c r="A313" s="2">
        <v>2015.0</v>
      </c>
      <c r="B313" s="2">
        <v>8.0</v>
      </c>
      <c r="C313" s="2">
        <v>2.0</v>
      </c>
      <c r="D313" s="2" t="s">
        <v>181</v>
      </c>
      <c r="E313" s="2">
        <v>-50.0</v>
      </c>
      <c r="F313" s="2">
        <v>0.0</v>
      </c>
      <c r="G313" s="2">
        <f t="shared" si="1"/>
        <v>-50</v>
      </c>
      <c r="H313" s="2" t="s">
        <v>52</v>
      </c>
      <c r="L313" s="2" t="s">
        <v>11</v>
      </c>
    </row>
    <row r="314" ht="12.75" customHeight="1">
      <c r="A314" s="2">
        <v>2015.0</v>
      </c>
      <c r="B314" s="2">
        <v>8.0</v>
      </c>
      <c r="C314" s="2">
        <v>2.0</v>
      </c>
      <c r="D314" s="2" t="s">
        <v>181</v>
      </c>
      <c r="E314" s="2">
        <v>-150.0</v>
      </c>
      <c r="F314" s="2">
        <v>0.0</v>
      </c>
      <c r="G314" s="2">
        <f t="shared" si="1"/>
        <v>-150</v>
      </c>
      <c r="H314" s="2" t="s">
        <v>52</v>
      </c>
      <c r="L314" s="2" t="s">
        <v>11</v>
      </c>
    </row>
    <row r="315" ht="12.75" customHeight="1">
      <c r="A315" s="2">
        <v>2015.0</v>
      </c>
      <c r="B315" s="2">
        <v>8.0</v>
      </c>
      <c r="C315" s="2">
        <v>2.0</v>
      </c>
      <c r="D315" s="2" t="s">
        <v>182</v>
      </c>
      <c r="E315" s="2">
        <v>-75.0</v>
      </c>
      <c r="F315" s="2">
        <v>0.0</v>
      </c>
      <c r="G315" s="2">
        <f t="shared" si="1"/>
        <v>-75</v>
      </c>
      <c r="H315" s="2" t="s">
        <v>52</v>
      </c>
      <c r="L315" s="2" t="s">
        <v>11</v>
      </c>
    </row>
    <row r="316" ht="12.75" customHeight="1">
      <c r="A316" s="2">
        <v>2015.0</v>
      </c>
      <c r="B316" s="2">
        <v>8.0</v>
      </c>
      <c r="C316" s="2">
        <v>2.0</v>
      </c>
      <c r="D316" s="2" t="s">
        <v>182</v>
      </c>
      <c r="E316" s="2">
        <v>-60.0</v>
      </c>
      <c r="F316" s="2">
        <v>0.0</v>
      </c>
      <c r="G316" s="2">
        <f t="shared" si="1"/>
        <v>-60</v>
      </c>
      <c r="H316" s="2" t="s">
        <v>52</v>
      </c>
      <c r="L316" s="2" t="s">
        <v>11</v>
      </c>
    </row>
    <row r="317" ht="12.75" customHeight="1">
      <c r="A317" s="2">
        <v>2015.0</v>
      </c>
      <c r="B317" s="2">
        <v>8.0</v>
      </c>
      <c r="C317" s="2">
        <v>2.0</v>
      </c>
      <c r="D317" s="2" t="s">
        <v>182</v>
      </c>
      <c r="E317" s="2">
        <v>-200.0</v>
      </c>
      <c r="F317" s="2">
        <v>0.0</v>
      </c>
      <c r="G317" s="2">
        <f t="shared" si="1"/>
        <v>-200</v>
      </c>
      <c r="H317" s="2" t="s">
        <v>52</v>
      </c>
      <c r="L317" s="2" t="s">
        <v>11</v>
      </c>
    </row>
    <row r="318" ht="12.75" customHeight="1">
      <c r="A318" s="2">
        <v>2015.0</v>
      </c>
      <c r="B318" s="2">
        <v>8.0</v>
      </c>
      <c r="C318" s="2">
        <v>2.0</v>
      </c>
      <c r="D318" s="2" t="s">
        <v>182</v>
      </c>
      <c r="E318" s="2">
        <v>-150.0</v>
      </c>
      <c r="F318" s="2">
        <v>0.0</v>
      </c>
      <c r="G318" s="2">
        <f t="shared" si="1"/>
        <v>-150</v>
      </c>
      <c r="H318" s="2" t="s">
        <v>52</v>
      </c>
      <c r="L318" s="2" t="s">
        <v>11</v>
      </c>
    </row>
    <row r="319" ht="12.75" customHeight="1">
      <c r="A319" s="2">
        <v>2015.0</v>
      </c>
      <c r="B319" s="2">
        <v>8.0</v>
      </c>
      <c r="C319" s="2">
        <v>2.0</v>
      </c>
      <c r="D319" s="2" t="s">
        <v>182</v>
      </c>
      <c r="E319" s="2">
        <v>-124.0</v>
      </c>
      <c r="F319" s="2">
        <v>0.0</v>
      </c>
      <c r="G319" s="2">
        <f t="shared" si="1"/>
        <v>-124</v>
      </c>
      <c r="H319" s="2" t="s">
        <v>52</v>
      </c>
      <c r="L319" s="2" t="s">
        <v>11</v>
      </c>
    </row>
    <row r="320" ht="12.75" customHeight="1">
      <c r="A320" s="2">
        <v>2015.0</v>
      </c>
      <c r="B320" s="2">
        <v>8.0</v>
      </c>
      <c r="C320" s="2">
        <v>2.0</v>
      </c>
      <c r="D320" s="2" t="s">
        <v>182</v>
      </c>
      <c r="E320" s="2">
        <v>-100.0</v>
      </c>
      <c r="F320" s="2">
        <v>0.0</v>
      </c>
      <c r="G320" s="2">
        <f t="shared" si="1"/>
        <v>-100</v>
      </c>
      <c r="H320" s="2" t="s">
        <v>52</v>
      </c>
      <c r="L320" s="2" t="s">
        <v>11</v>
      </c>
    </row>
    <row r="321" ht="12.75" customHeight="1">
      <c r="A321" s="2">
        <v>2015.0</v>
      </c>
      <c r="B321" s="2">
        <v>8.0</v>
      </c>
      <c r="C321" s="2">
        <v>2.0</v>
      </c>
      <c r="D321" s="2" t="s">
        <v>183</v>
      </c>
      <c r="E321" s="2">
        <v>-200.0</v>
      </c>
      <c r="F321" s="2">
        <v>0.0</v>
      </c>
      <c r="G321" s="2">
        <f t="shared" si="1"/>
        <v>-200</v>
      </c>
      <c r="H321" s="2" t="s">
        <v>133</v>
      </c>
      <c r="L321" s="2" t="s">
        <v>11</v>
      </c>
    </row>
    <row r="322" ht="12.75" customHeight="1">
      <c r="A322" s="2">
        <v>2015.0</v>
      </c>
      <c r="B322" s="2">
        <v>8.0</v>
      </c>
      <c r="C322" s="2">
        <v>2.0</v>
      </c>
      <c r="D322" s="2" t="s">
        <v>184</v>
      </c>
      <c r="E322" s="2">
        <v>-91.0</v>
      </c>
      <c r="F322" s="2">
        <v>0.0</v>
      </c>
      <c r="G322" s="2">
        <f t="shared" si="1"/>
        <v>-91</v>
      </c>
      <c r="H322" s="2" t="s">
        <v>42</v>
      </c>
      <c r="L322" s="2" t="s">
        <v>11</v>
      </c>
    </row>
    <row r="323" ht="12.75" customHeight="1">
      <c r="A323" s="2">
        <v>2015.0</v>
      </c>
      <c r="B323" s="2">
        <v>8.0</v>
      </c>
      <c r="C323" s="2">
        <v>2.0</v>
      </c>
      <c r="D323" s="2" t="s">
        <v>184</v>
      </c>
      <c r="E323" s="2">
        <v>-65.0</v>
      </c>
      <c r="F323" s="2">
        <v>0.0</v>
      </c>
      <c r="G323" s="2">
        <f t="shared" si="1"/>
        <v>-65</v>
      </c>
      <c r="H323" s="2" t="s">
        <v>42</v>
      </c>
      <c r="L323" s="2" t="s">
        <v>11</v>
      </c>
    </row>
    <row r="324" ht="12.75" customHeight="1">
      <c r="A324" s="2">
        <v>2015.0</v>
      </c>
      <c r="B324" s="2">
        <v>8.0</v>
      </c>
      <c r="C324" s="2">
        <v>1.0</v>
      </c>
      <c r="D324" s="2" t="s">
        <v>121</v>
      </c>
      <c r="E324" s="2">
        <v>-280.0</v>
      </c>
      <c r="F324" s="2">
        <v>0.0</v>
      </c>
      <c r="G324" s="2">
        <f t="shared" si="1"/>
        <v>-280</v>
      </c>
      <c r="H324" s="2" t="s">
        <v>50</v>
      </c>
      <c r="L324" s="2" t="s">
        <v>11</v>
      </c>
    </row>
    <row r="325" ht="12.75" customHeight="1">
      <c r="A325" s="2">
        <v>2015.0</v>
      </c>
      <c r="B325" s="2">
        <v>8.0</v>
      </c>
      <c r="C325" s="2">
        <v>1.0</v>
      </c>
      <c r="D325" s="2" t="s">
        <v>185</v>
      </c>
      <c r="E325" s="2">
        <v>-35.0</v>
      </c>
      <c r="F325" s="2">
        <v>0.0</v>
      </c>
      <c r="G325" s="2">
        <f t="shared" si="1"/>
        <v>-35</v>
      </c>
      <c r="H325" s="2" t="s">
        <v>47</v>
      </c>
      <c r="L325" s="2" t="s">
        <v>11</v>
      </c>
    </row>
    <row r="326" ht="12.75" customHeight="1">
      <c r="A326" s="2">
        <v>2015.0</v>
      </c>
      <c r="B326" s="2">
        <v>8.0</v>
      </c>
      <c r="C326" s="2">
        <v>1.0</v>
      </c>
      <c r="D326" s="2" t="s">
        <v>186</v>
      </c>
      <c r="E326" s="2">
        <v>-35.0</v>
      </c>
      <c r="F326" s="2">
        <v>0.0</v>
      </c>
      <c r="G326" s="2">
        <f t="shared" si="1"/>
        <v>-35</v>
      </c>
      <c r="H326" s="2" t="s">
        <v>47</v>
      </c>
      <c r="L326" s="2" t="s">
        <v>11</v>
      </c>
    </row>
    <row r="327" ht="12.75" customHeight="1">
      <c r="A327" s="2">
        <v>2015.0</v>
      </c>
      <c r="B327" s="2">
        <v>8.0</v>
      </c>
      <c r="C327" s="2">
        <v>1.0</v>
      </c>
      <c r="D327" s="2" t="s">
        <v>172</v>
      </c>
      <c r="E327" s="2">
        <v>-59.0</v>
      </c>
      <c r="F327" s="2">
        <v>0.0</v>
      </c>
      <c r="G327" s="2">
        <f t="shared" si="1"/>
        <v>-59</v>
      </c>
      <c r="H327" s="2" t="s">
        <v>47</v>
      </c>
      <c r="L327" s="2" t="s">
        <v>11</v>
      </c>
    </row>
    <row r="328" ht="12.75" customHeight="1">
      <c r="A328" s="2">
        <v>2015.0</v>
      </c>
      <c r="B328" s="2">
        <v>8.0</v>
      </c>
      <c r="C328" s="2">
        <v>1.0</v>
      </c>
      <c r="D328" s="2" t="s">
        <v>77</v>
      </c>
      <c r="E328" s="2">
        <v>500.0</v>
      </c>
      <c r="F328" s="2">
        <v>0.0</v>
      </c>
      <c r="G328" s="2">
        <f t="shared" si="1"/>
        <v>500</v>
      </c>
      <c r="H328" s="2" t="s">
        <v>153</v>
      </c>
      <c r="L328" s="2" t="s">
        <v>11</v>
      </c>
    </row>
    <row r="329" ht="12.75" customHeight="1">
      <c r="A329" s="2">
        <v>2015.0</v>
      </c>
      <c r="B329" s="2">
        <v>7.0</v>
      </c>
      <c r="C329" s="2">
        <v>31.0</v>
      </c>
      <c r="D329" s="2" t="s">
        <v>9</v>
      </c>
      <c r="E329" s="2">
        <v>-7734.0</v>
      </c>
      <c r="F329" s="2">
        <v>0.0</v>
      </c>
      <c r="G329" s="2">
        <f t="shared" si="1"/>
        <v>-7734</v>
      </c>
      <c r="H329" s="2" t="s">
        <v>10</v>
      </c>
      <c r="L329" s="2" t="s">
        <v>11</v>
      </c>
    </row>
    <row r="330" ht="12.75" customHeight="1">
      <c r="A330" s="2">
        <v>2015.0</v>
      </c>
      <c r="B330" s="2">
        <v>7.0</v>
      </c>
      <c r="C330" s="2">
        <v>31.0</v>
      </c>
      <c r="D330" s="2" t="s">
        <v>12</v>
      </c>
      <c r="E330" s="2">
        <v>-17713.15</v>
      </c>
      <c r="F330" s="2">
        <v>0.0</v>
      </c>
      <c r="G330" s="2">
        <f t="shared" si="1"/>
        <v>-17713.15</v>
      </c>
      <c r="H330" s="2" t="s">
        <v>13</v>
      </c>
      <c r="L330" s="2" t="s">
        <v>11</v>
      </c>
    </row>
    <row r="331" ht="12.75" customHeight="1">
      <c r="A331" s="2">
        <v>2015.0</v>
      </c>
      <c r="B331" s="2">
        <v>7.0</v>
      </c>
      <c r="C331" s="2">
        <v>31.0</v>
      </c>
      <c r="D331" s="2" t="s">
        <v>14</v>
      </c>
      <c r="E331" s="2">
        <v>-4007.0</v>
      </c>
      <c r="F331" s="2">
        <v>0.0</v>
      </c>
      <c r="G331" s="2">
        <f t="shared" si="1"/>
        <v>-4007</v>
      </c>
      <c r="H331" s="2" t="s">
        <v>10</v>
      </c>
      <c r="L331" s="2" t="s">
        <v>11</v>
      </c>
    </row>
    <row r="332" ht="12.75" customHeight="1">
      <c r="A332" s="2">
        <v>2015.0</v>
      </c>
      <c r="B332" s="2">
        <v>7.0</v>
      </c>
      <c r="C332" s="2">
        <v>31.0</v>
      </c>
      <c r="D332" s="2" t="s">
        <v>15</v>
      </c>
      <c r="E332" s="2">
        <v>-207.8</v>
      </c>
      <c r="F332" s="2">
        <v>0.0</v>
      </c>
      <c r="G332" s="2">
        <f t="shared" si="1"/>
        <v>-207.8</v>
      </c>
      <c r="H332" s="2" t="s">
        <v>10</v>
      </c>
      <c r="L332" s="2" t="s">
        <v>11</v>
      </c>
    </row>
    <row r="333" ht="12.75" customHeight="1">
      <c r="A333" s="2">
        <v>2015.0</v>
      </c>
      <c r="B333" s="2">
        <v>7.0</v>
      </c>
      <c r="C333" s="2">
        <v>31.0</v>
      </c>
      <c r="D333" s="2" t="s">
        <v>58</v>
      </c>
      <c r="E333" s="2">
        <v>-90.0</v>
      </c>
      <c r="F333" s="2">
        <v>0.0</v>
      </c>
      <c r="G333" s="2">
        <f t="shared" si="1"/>
        <v>-90</v>
      </c>
      <c r="H333" s="2" t="s">
        <v>38</v>
      </c>
      <c r="L333" s="2" t="s">
        <v>11</v>
      </c>
    </row>
    <row r="334" ht="12.75" customHeight="1">
      <c r="A334" s="2">
        <v>2015.0</v>
      </c>
      <c r="B334" s="2">
        <v>7.0</v>
      </c>
      <c r="C334" s="2">
        <v>30.0</v>
      </c>
      <c r="D334" s="2" t="s">
        <v>19</v>
      </c>
      <c r="E334" s="2">
        <v>-320.0</v>
      </c>
      <c r="F334" s="2">
        <v>0.0</v>
      </c>
      <c r="G334" s="2">
        <f t="shared" si="1"/>
        <v>-320</v>
      </c>
      <c r="H334" s="2" t="s">
        <v>20</v>
      </c>
      <c r="L334" s="2" t="s">
        <v>11</v>
      </c>
    </row>
    <row r="335" ht="12.75" customHeight="1">
      <c r="A335" s="2">
        <v>2015.0</v>
      </c>
      <c r="B335" s="2">
        <v>7.0</v>
      </c>
      <c r="C335" s="2">
        <v>30.0</v>
      </c>
      <c r="D335" s="2" t="s">
        <v>91</v>
      </c>
      <c r="E335" s="2">
        <v>-80.0</v>
      </c>
      <c r="F335" s="2">
        <v>0.0</v>
      </c>
      <c r="G335" s="2">
        <f t="shared" si="1"/>
        <v>-80</v>
      </c>
      <c r="H335" s="2" t="s">
        <v>38</v>
      </c>
      <c r="L335" s="2" t="s">
        <v>11</v>
      </c>
    </row>
    <row r="336" ht="12.75" customHeight="1">
      <c r="A336" s="2">
        <v>2015.0</v>
      </c>
      <c r="B336" s="2">
        <v>7.0</v>
      </c>
      <c r="C336" s="2">
        <v>30.0</v>
      </c>
      <c r="D336" s="2" t="s">
        <v>105</v>
      </c>
      <c r="E336" s="2">
        <v>-841.0</v>
      </c>
      <c r="F336" s="2">
        <v>0.0</v>
      </c>
      <c r="G336" s="2">
        <f t="shared" si="1"/>
        <v>-841</v>
      </c>
      <c r="H336" s="2" t="s">
        <v>22</v>
      </c>
      <c r="L336" s="2" t="s">
        <v>11</v>
      </c>
    </row>
    <row r="337" ht="12.75" customHeight="1">
      <c r="A337" s="2">
        <v>2015.0</v>
      </c>
      <c r="B337" s="2">
        <v>7.0</v>
      </c>
      <c r="C337" s="2">
        <v>30.0</v>
      </c>
      <c r="D337" s="2" t="s">
        <v>23</v>
      </c>
      <c r="E337" s="2">
        <v>-303.0</v>
      </c>
      <c r="F337" s="2">
        <v>0.0</v>
      </c>
      <c r="G337" s="2">
        <f t="shared" si="1"/>
        <v>-303</v>
      </c>
      <c r="H337" s="2" t="s">
        <v>24</v>
      </c>
      <c r="L337" s="2" t="s">
        <v>11</v>
      </c>
    </row>
    <row r="338" ht="12.75" customHeight="1">
      <c r="A338" s="2">
        <v>2015.0</v>
      </c>
      <c r="B338" s="2">
        <v>7.0</v>
      </c>
      <c r="C338" s="2">
        <v>30.0</v>
      </c>
      <c r="D338" s="2">
        <v>4.7516877E7</v>
      </c>
      <c r="E338" s="2">
        <v>1000.0</v>
      </c>
      <c r="F338" s="2">
        <v>0.0</v>
      </c>
      <c r="G338" s="2">
        <f t="shared" si="1"/>
        <v>1000</v>
      </c>
      <c r="H338" s="2" t="s">
        <v>18</v>
      </c>
      <c r="L338" s="2" t="s">
        <v>11</v>
      </c>
    </row>
    <row r="339" ht="12.75" customHeight="1">
      <c r="A339" s="2">
        <v>2015.0</v>
      </c>
      <c r="B339" s="2">
        <v>7.0</v>
      </c>
      <c r="C339" s="2">
        <v>29.0</v>
      </c>
      <c r="D339" s="2" t="s">
        <v>21</v>
      </c>
      <c r="E339" s="2">
        <v>-404.0</v>
      </c>
      <c r="F339" s="2">
        <v>0.0</v>
      </c>
      <c r="G339" s="2">
        <f t="shared" si="1"/>
        <v>-404</v>
      </c>
      <c r="H339" s="2" t="s">
        <v>22</v>
      </c>
      <c r="L339" s="2" t="s">
        <v>11</v>
      </c>
    </row>
    <row r="340" ht="12.75" customHeight="1">
      <c r="A340" s="2">
        <v>2015.0</v>
      </c>
      <c r="B340" s="2">
        <v>7.0</v>
      </c>
      <c r="C340" s="2">
        <v>29.0</v>
      </c>
      <c r="D340" s="2" t="s">
        <v>58</v>
      </c>
      <c r="E340" s="2">
        <v>-95.0</v>
      </c>
      <c r="F340" s="2">
        <v>0.0</v>
      </c>
      <c r="G340" s="2">
        <f t="shared" si="1"/>
        <v>-95</v>
      </c>
      <c r="H340" s="2" t="s">
        <v>38</v>
      </c>
      <c r="L340" s="2" t="s">
        <v>11</v>
      </c>
    </row>
    <row r="341" ht="12.75" customHeight="1">
      <c r="A341" s="2">
        <v>2015.0</v>
      </c>
      <c r="B341" s="2">
        <v>7.0</v>
      </c>
      <c r="C341" s="2">
        <v>28.0</v>
      </c>
      <c r="D341" s="2" t="s">
        <v>25</v>
      </c>
      <c r="E341" s="2">
        <v>-100.0</v>
      </c>
      <c r="F341" s="2">
        <v>0.0</v>
      </c>
      <c r="G341" s="2">
        <f t="shared" si="1"/>
        <v>-100</v>
      </c>
      <c r="H341" s="2" t="s">
        <v>26</v>
      </c>
      <c r="L341" s="2" t="s">
        <v>11</v>
      </c>
    </row>
    <row r="342" ht="12.75" customHeight="1">
      <c r="A342" s="2">
        <v>2015.0</v>
      </c>
      <c r="B342" s="2">
        <v>7.0</v>
      </c>
      <c r="C342" s="2">
        <v>28.0</v>
      </c>
      <c r="D342" s="2" t="s">
        <v>187</v>
      </c>
      <c r="E342" s="2">
        <v>15265.0</v>
      </c>
      <c r="F342" s="2">
        <v>0.0</v>
      </c>
      <c r="G342" s="2">
        <f t="shared" si="1"/>
        <v>15265</v>
      </c>
      <c r="H342" s="2" t="s">
        <v>13</v>
      </c>
      <c r="L342" s="2" t="s">
        <v>11</v>
      </c>
    </row>
    <row r="343" ht="12.75" customHeight="1">
      <c r="A343" s="2">
        <v>2015.0</v>
      </c>
      <c r="B343" s="2">
        <v>7.0</v>
      </c>
      <c r="C343" s="2">
        <v>28.0</v>
      </c>
      <c r="D343" s="2" t="s">
        <v>58</v>
      </c>
      <c r="E343" s="2">
        <v>-95.0</v>
      </c>
      <c r="F343" s="2">
        <v>0.0</v>
      </c>
      <c r="G343" s="2">
        <f t="shared" si="1"/>
        <v>-95</v>
      </c>
      <c r="H343" s="2" t="s">
        <v>38</v>
      </c>
      <c r="L343" s="2" t="s">
        <v>11</v>
      </c>
    </row>
    <row r="344" ht="12.75" customHeight="1">
      <c r="A344" s="2">
        <v>2015.0</v>
      </c>
      <c r="B344" s="2">
        <v>7.0</v>
      </c>
      <c r="C344" s="2">
        <v>27.0</v>
      </c>
      <c r="D344" s="2" t="s">
        <v>27</v>
      </c>
      <c r="E344" s="2">
        <v>-5000.0</v>
      </c>
      <c r="F344" s="2">
        <v>0.0</v>
      </c>
      <c r="G344" s="2">
        <f t="shared" si="1"/>
        <v>-5000</v>
      </c>
      <c r="H344" s="2" t="s">
        <v>28</v>
      </c>
      <c r="L344" s="2" t="s">
        <v>11</v>
      </c>
    </row>
    <row r="345" ht="12.75" customHeight="1">
      <c r="A345" s="2">
        <v>2015.0</v>
      </c>
      <c r="B345" s="2">
        <v>7.0</v>
      </c>
      <c r="C345" s="2">
        <v>27.0</v>
      </c>
      <c r="D345" s="2" t="s">
        <v>27</v>
      </c>
      <c r="E345" s="2">
        <v>5000.0</v>
      </c>
      <c r="F345" s="2">
        <v>0.0</v>
      </c>
      <c r="G345" s="2">
        <f t="shared" si="1"/>
        <v>5000</v>
      </c>
      <c r="H345" s="2" t="s">
        <v>28</v>
      </c>
      <c r="L345" s="2" t="s">
        <v>11</v>
      </c>
    </row>
    <row r="346" ht="12.75" customHeight="1">
      <c r="A346" s="2">
        <v>2015.0</v>
      </c>
      <c r="B346" s="2">
        <v>7.0</v>
      </c>
      <c r="C346" s="2">
        <v>27.0</v>
      </c>
      <c r="D346" s="2" t="s">
        <v>29</v>
      </c>
      <c r="E346" s="2">
        <v>-1250.0</v>
      </c>
      <c r="F346" s="2">
        <v>0.0</v>
      </c>
      <c r="G346" s="2">
        <f t="shared" si="1"/>
        <v>-1250</v>
      </c>
      <c r="H346" s="2" t="s">
        <v>18</v>
      </c>
      <c r="L346" s="2" t="s">
        <v>11</v>
      </c>
    </row>
    <row r="347" ht="12.75" customHeight="1">
      <c r="A347" s="2">
        <v>2015.0</v>
      </c>
      <c r="B347" s="2">
        <v>7.0</v>
      </c>
      <c r="C347" s="2">
        <v>27.0</v>
      </c>
      <c r="D347" s="2" t="s">
        <v>58</v>
      </c>
      <c r="E347" s="2">
        <v>-95.0</v>
      </c>
      <c r="F347" s="2">
        <v>0.0</v>
      </c>
      <c r="G347" s="2">
        <f t="shared" si="1"/>
        <v>-95</v>
      </c>
      <c r="H347" s="2" t="s">
        <v>38</v>
      </c>
      <c r="L347" s="2" t="s">
        <v>11</v>
      </c>
    </row>
    <row r="348" ht="12.75" customHeight="1">
      <c r="A348" s="2">
        <v>2015.0</v>
      </c>
      <c r="B348" s="2">
        <v>7.0</v>
      </c>
      <c r="C348" s="2">
        <v>26.0</v>
      </c>
      <c r="D348" s="2" t="s">
        <v>188</v>
      </c>
      <c r="E348" s="2">
        <v>6930.0</v>
      </c>
      <c r="F348" s="2">
        <v>0.0</v>
      </c>
      <c r="G348" s="2">
        <f t="shared" si="1"/>
        <v>6930</v>
      </c>
      <c r="H348" s="2" t="s">
        <v>13</v>
      </c>
      <c r="L348" s="2" t="s">
        <v>11</v>
      </c>
    </row>
    <row r="349" ht="12.75" customHeight="1">
      <c r="A349" s="2">
        <v>2015.0</v>
      </c>
      <c r="B349" s="2">
        <v>7.0</v>
      </c>
      <c r="C349" s="2">
        <v>25.0</v>
      </c>
      <c r="D349" s="2" t="s">
        <v>77</v>
      </c>
      <c r="E349" s="2">
        <v>209.0</v>
      </c>
      <c r="F349" s="2">
        <v>0.0</v>
      </c>
      <c r="G349" s="2">
        <f t="shared" si="1"/>
        <v>209</v>
      </c>
      <c r="H349" s="2" t="s">
        <v>153</v>
      </c>
      <c r="L349" s="2" t="s">
        <v>11</v>
      </c>
    </row>
    <row r="350" ht="12.75" customHeight="1">
      <c r="A350" s="2">
        <v>2015.0</v>
      </c>
      <c r="B350" s="2">
        <v>7.0</v>
      </c>
      <c r="C350" s="2">
        <v>25.0</v>
      </c>
      <c r="D350" s="2" t="s">
        <v>189</v>
      </c>
      <c r="E350" s="2">
        <v>-741.78</v>
      </c>
      <c r="F350" s="2">
        <v>0.0</v>
      </c>
      <c r="G350" s="2">
        <f t="shared" si="1"/>
        <v>-741.78</v>
      </c>
      <c r="H350" s="2" t="s">
        <v>153</v>
      </c>
      <c r="L350" s="2" t="s">
        <v>11</v>
      </c>
    </row>
    <row r="351" ht="12.75" customHeight="1">
      <c r="A351" s="2">
        <v>2015.0</v>
      </c>
      <c r="B351" s="2">
        <v>7.0</v>
      </c>
      <c r="C351" s="2">
        <v>24.0</v>
      </c>
      <c r="D351" s="2" t="s">
        <v>58</v>
      </c>
      <c r="E351" s="2">
        <v>-95.0</v>
      </c>
      <c r="F351" s="2">
        <v>0.0</v>
      </c>
      <c r="G351" s="2">
        <f t="shared" si="1"/>
        <v>-95</v>
      </c>
      <c r="H351" s="2" t="s">
        <v>38</v>
      </c>
      <c r="L351" s="2" t="s">
        <v>11</v>
      </c>
    </row>
    <row r="352" ht="12.75" customHeight="1">
      <c r="A352" s="2">
        <v>2015.0</v>
      </c>
      <c r="B352" s="2">
        <v>7.0</v>
      </c>
      <c r="C352" s="2">
        <v>23.0</v>
      </c>
      <c r="D352" s="2" t="s">
        <v>39</v>
      </c>
      <c r="E352" s="2">
        <v>32079.0</v>
      </c>
      <c r="F352" s="2">
        <v>0.0</v>
      </c>
      <c r="G352" s="2">
        <f t="shared" si="1"/>
        <v>32079</v>
      </c>
      <c r="H352" s="2" t="s">
        <v>40</v>
      </c>
      <c r="L352" s="2" t="s">
        <v>11</v>
      </c>
    </row>
    <row r="353" ht="12.75" customHeight="1">
      <c r="A353" s="2">
        <v>2015.0</v>
      </c>
      <c r="B353" s="2">
        <v>7.0</v>
      </c>
      <c r="C353" s="2">
        <v>23.0</v>
      </c>
      <c r="D353" s="2" t="s">
        <v>53</v>
      </c>
      <c r="E353" s="2">
        <v>-84.9</v>
      </c>
      <c r="F353" s="2">
        <v>0.0</v>
      </c>
      <c r="G353" s="2">
        <f t="shared" si="1"/>
        <v>-84.9</v>
      </c>
      <c r="H353" s="2" t="s">
        <v>54</v>
      </c>
      <c r="L353" s="2" t="s">
        <v>11</v>
      </c>
    </row>
    <row r="354" ht="12.75" customHeight="1">
      <c r="A354" s="2">
        <v>2015.0</v>
      </c>
      <c r="B354" s="2">
        <v>7.0</v>
      </c>
      <c r="C354" s="2">
        <v>23.0</v>
      </c>
      <c r="D354" s="2" t="s">
        <v>58</v>
      </c>
      <c r="E354" s="2">
        <v>-95.0</v>
      </c>
      <c r="F354" s="2">
        <v>0.0</v>
      </c>
      <c r="G354" s="2">
        <f t="shared" si="1"/>
        <v>-95</v>
      </c>
      <c r="H354" s="2" t="s">
        <v>38</v>
      </c>
      <c r="L354" s="2" t="s">
        <v>11</v>
      </c>
    </row>
    <row r="355" ht="12.75" customHeight="1">
      <c r="A355" s="2">
        <v>2015.0</v>
      </c>
      <c r="B355" s="2">
        <v>7.0</v>
      </c>
      <c r="C355" s="2">
        <v>22.0</v>
      </c>
      <c r="D355" s="2" t="s">
        <v>59</v>
      </c>
      <c r="E355" s="2">
        <v>-95.0</v>
      </c>
      <c r="F355" s="2">
        <v>0.0</v>
      </c>
      <c r="G355" s="2">
        <f t="shared" si="1"/>
        <v>-95</v>
      </c>
      <c r="H355" s="2" t="s">
        <v>38</v>
      </c>
      <c r="L355" s="2" t="s">
        <v>11</v>
      </c>
    </row>
    <row r="356" ht="12.75" customHeight="1">
      <c r="A356" s="2">
        <v>2015.0</v>
      </c>
      <c r="B356" s="2">
        <v>7.0</v>
      </c>
      <c r="C356" s="2">
        <v>22.0</v>
      </c>
      <c r="D356" s="2" t="s">
        <v>53</v>
      </c>
      <c r="E356" s="2">
        <v>-338.24</v>
      </c>
      <c r="F356" s="2">
        <v>0.0</v>
      </c>
      <c r="G356" s="2">
        <f t="shared" si="1"/>
        <v>-338.24</v>
      </c>
      <c r="H356" s="2" t="s">
        <v>54</v>
      </c>
      <c r="L356" s="2" t="s">
        <v>11</v>
      </c>
    </row>
    <row r="357" ht="12.75" customHeight="1">
      <c r="A357" s="2">
        <v>2015.0</v>
      </c>
      <c r="B357" s="2">
        <v>7.0</v>
      </c>
      <c r="C357" s="2">
        <v>21.0</v>
      </c>
      <c r="D357" s="2" t="s">
        <v>190</v>
      </c>
      <c r="E357" s="2">
        <v>-36.25</v>
      </c>
      <c r="F357" s="2">
        <v>0.0</v>
      </c>
      <c r="G357" s="2">
        <f t="shared" si="1"/>
        <v>-36.25</v>
      </c>
      <c r="H357" s="2" t="s">
        <v>13</v>
      </c>
      <c r="L357" s="2" t="s">
        <v>11</v>
      </c>
    </row>
    <row r="358" ht="12.75" customHeight="1">
      <c r="A358" s="2">
        <v>2015.0</v>
      </c>
      <c r="B358" s="2">
        <v>7.0</v>
      </c>
      <c r="C358" s="2">
        <v>21.0</v>
      </c>
      <c r="D358" s="2" t="s">
        <v>191</v>
      </c>
      <c r="E358" s="2">
        <v>-700.0</v>
      </c>
      <c r="F358" s="2">
        <v>0.0</v>
      </c>
      <c r="G358" s="2">
        <f t="shared" si="1"/>
        <v>-700</v>
      </c>
      <c r="H358" s="2" t="s">
        <v>153</v>
      </c>
      <c r="L358" s="2" t="s">
        <v>11</v>
      </c>
    </row>
    <row r="359" ht="12.75" customHeight="1">
      <c r="A359" s="2">
        <v>2015.0</v>
      </c>
      <c r="B359" s="2">
        <v>7.0</v>
      </c>
      <c r="C359" s="2">
        <v>21.0</v>
      </c>
      <c r="D359" s="2" t="s">
        <v>192</v>
      </c>
      <c r="E359" s="2">
        <v>1400.0</v>
      </c>
      <c r="F359" s="2">
        <v>0.0</v>
      </c>
      <c r="G359" s="2">
        <f t="shared" si="1"/>
        <v>1400</v>
      </c>
      <c r="H359" s="2" t="s">
        <v>153</v>
      </c>
      <c r="L359" s="2" t="s">
        <v>11</v>
      </c>
    </row>
    <row r="360" ht="12.75" customHeight="1">
      <c r="A360" s="2">
        <v>2015.0</v>
      </c>
      <c r="B360" s="2">
        <v>7.0</v>
      </c>
      <c r="C360" s="2">
        <v>21.0</v>
      </c>
      <c r="D360" s="2" t="s">
        <v>193</v>
      </c>
      <c r="E360" s="2">
        <v>800.0</v>
      </c>
      <c r="F360" s="2">
        <v>0.0</v>
      </c>
      <c r="G360" s="2">
        <f t="shared" si="1"/>
        <v>800</v>
      </c>
      <c r="H360" s="2" t="s">
        <v>153</v>
      </c>
      <c r="L360" s="2" t="s">
        <v>11</v>
      </c>
    </row>
    <row r="361" ht="12.75" customHeight="1">
      <c r="A361" s="2">
        <v>2015.0</v>
      </c>
      <c r="B361" s="2">
        <v>7.0</v>
      </c>
      <c r="C361" s="2">
        <v>21.0</v>
      </c>
      <c r="D361" s="2" t="s">
        <v>58</v>
      </c>
      <c r="E361" s="2">
        <v>-60.0</v>
      </c>
      <c r="F361" s="2">
        <v>0.0</v>
      </c>
      <c r="G361" s="2">
        <f t="shared" si="1"/>
        <v>-60</v>
      </c>
      <c r="H361" s="2" t="s">
        <v>38</v>
      </c>
      <c r="L361" s="2" t="s">
        <v>11</v>
      </c>
    </row>
    <row r="362" ht="12.75" customHeight="1">
      <c r="A362" s="2">
        <v>2015.0</v>
      </c>
      <c r="B362" s="2">
        <v>7.0</v>
      </c>
      <c r="C362" s="2">
        <v>20.0</v>
      </c>
      <c r="D362" s="2" t="s">
        <v>194</v>
      </c>
      <c r="E362" s="2">
        <v>769.0</v>
      </c>
      <c r="F362" s="2">
        <v>0.0</v>
      </c>
      <c r="G362" s="2">
        <f t="shared" si="1"/>
        <v>769</v>
      </c>
      <c r="H362" s="2" t="s">
        <v>153</v>
      </c>
      <c r="L362" s="2" t="s">
        <v>11</v>
      </c>
    </row>
    <row r="363" ht="12.75" customHeight="1">
      <c r="A363" s="2">
        <v>2015.0</v>
      </c>
      <c r="B363" s="2">
        <v>7.0</v>
      </c>
      <c r="C363" s="2">
        <v>20.0</v>
      </c>
      <c r="D363" s="2" t="s">
        <v>195</v>
      </c>
      <c r="E363" s="2">
        <v>769.0</v>
      </c>
      <c r="F363" s="2">
        <v>0.0</v>
      </c>
      <c r="G363" s="2">
        <f t="shared" si="1"/>
        <v>769</v>
      </c>
      <c r="H363" s="2" t="s">
        <v>153</v>
      </c>
      <c r="L363" s="2" t="s">
        <v>11</v>
      </c>
    </row>
    <row r="364" ht="12.75" customHeight="1">
      <c r="A364" s="2">
        <v>2015.0</v>
      </c>
      <c r="B364" s="2">
        <v>7.0</v>
      </c>
      <c r="C364" s="2">
        <v>20.0</v>
      </c>
      <c r="D364" s="2" t="s">
        <v>196</v>
      </c>
      <c r="E364" s="2">
        <v>-29.0</v>
      </c>
      <c r="F364" s="2">
        <v>0.0</v>
      </c>
      <c r="G364" s="2">
        <f t="shared" si="1"/>
        <v>-29</v>
      </c>
      <c r="H364" s="2" t="s">
        <v>13</v>
      </c>
      <c r="L364" s="2" t="s">
        <v>11</v>
      </c>
    </row>
    <row r="365" ht="12.75" customHeight="1">
      <c r="A365" s="2">
        <v>2015.0</v>
      </c>
      <c r="B365" s="2">
        <v>7.0</v>
      </c>
      <c r="C365" s="2">
        <v>20.0</v>
      </c>
      <c r="D365" s="2" t="s">
        <v>58</v>
      </c>
      <c r="E365" s="2">
        <v>-90.0</v>
      </c>
      <c r="F365" s="2">
        <v>0.0</v>
      </c>
      <c r="G365" s="2">
        <f t="shared" si="1"/>
        <v>-90</v>
      </c>
      <c r="H365" s="2" t="s">
        <v>38</v>
      </c>
      <c r="L365" s="2" t="s">
        <v>11</v>
      </c>
    </row>
    <row r="366" ht="12.75" customHeight="1">
      <c r="A366" s="2">
        <v>2015.0</v>
      </c>
      <c r="B366" s="2">
        <v>7.0</v>
      </c>
      <c r="C366" s="2">
        <v>19.0</v>
      </c>
      <c r="D366" s="2" t="s">
        <v>197</v>
      </c>
      <c r="E366" s="2">
        <v>-76.0</v>
      </c>
      <c r="F366" s="2">
        <v>0.0</v>
      </c>
      <c r="G366" s="2">
        <f t="shared" si="1"/>
        <v>-76</v>
      </c>
      <c r="H366" s="2" t="s">
        <v>47</v>
      </c>
      <c r="L366" s="2" t="s">
        <v>11</v>
      </c>
    </row>
    <row r="367" ht="12.75" customHeight="1">
      <c r="A367" s="2">
        <v>2015.0</v>
      </c>
      <c r="B367" s="2">
        <v>7.0</v>
      </c>
      <c r="C367" s="2">
        <v>19.0</v>
      </c>
      <c r="D367" s="2" t="s">
        <v>197</v>
      </c>
      <c r="E367" s="2">
        <v>-70.0</v>
      </c>
      <c r="F367" s="2">
        <v>0.0</v>
      </c>
      <c r="G367" s="2">
        <f t="shared" si="1"/>
        <v>-70</v>
      </c>
      <c r="H367" s="2" t="s">
        <v>47</v>
      </c>
      <c r="L367" s="2" t="s">
        <v>11</v>
      </c>
    </row>
    <row r="368" ht="12.75" customHeight="1">
      <c r="A368" s="2">
        <v>2015.0</v>
      </c>
      <c r="B368" s="2">
        <v>7.0</v>
      </c>
      <c r="C368" s="2">
        <v>19.0</v>
      </c>
      <c r="D368" s="2" t="s">
        <v>197</v>
      </c>
      <c r="E368" s="2">
        <v>-114.0</v>
      </c>
      <c r="F368" s="2">
        <v>0.0</v>
      </c>
      <c r="G368" s="2">
        <f t="shared" si="1"/>
        <v>-114</v>
      </c>
      <c r="H368" s="2" t="s">
        <v>47</v>
      </c>
      <c r="L368" s="2" t="s">
        <v>11</v>
      </c>
    </row>
    <row r="369" ht="12.75" customHeight="1">
      <c r="A369" s="2">
        <v>2015.0</v>
      </c>
      <c r="B369" s="2">
        <v>7.0</v>
      </c>
      <c r="C369" s="2">
        <v>19.0</v>
      </c>
      <c r="D369" s="2" t="s">
        <v>198</v>
      </c>
      <c r="E369" s="2">
        <v>-292.0</v>
      </c>
      <c r="F369" s="2">
        <v>0.0</v>
      </c>
      <c r="G369" s="2">
        <f t="shared" si="1"/>
        <v>-292</v>
      </c>
      <c r="H369" s="2" t="s">
        <v>47</v>
      </c>
      <c r="L369" s="2" t="s">
        <v>11</v>
      </c>
    </row>
    <row r="370" ht="12.75" customHeight="1">
      <c r="A370" s="2">
        <v>2015.0</v>
      </c>
      <c r="B370" s="2">
        <v>7.0</v>
      </c>
      <c r="C370" s="2">
        <v>18.0</v>
      </c>
      <c r="D370" s="2" t="s">
        <v>95</v>
      </c>
      <c r="E370" s="2">
        <v>-180.0</v>
      </c>
      <c r="F370" s="2">
        <v>0.0</v>
      </c>
      <c r="G370" s="2">
        <f t="shared" si="1"/>
        <v>-180</v>
      </c>
      <c r="H370" s="2" t="s">
        <v>47</v>
      </c>
      <c r="L370" s="2" t="s">
        <v>11</v>
      </c>
    </row>
    <row r="371" ht="12.75" customHeight="1">
      <c r="A371" s="2">
        <v>2015.0</v>
      </c>
      <c r="B371" s="2">
        <v>7.0</v>
      </c>
      <c r="C371" s="2">
        <v>18.0</v>
      </c>
      <c r="D371" s="2" t="s">
        <v>199</v>
      </c>
      <c r="E371" s="2">
        <v>40.53</v>
      </c>
      <c r="F371" s="2">
        <v>0.0</v>
      </c>
      <c r="G371" s="2">
        <f t="shared" si="1"/>
        <v>40.53</v>
      </c>
      <c r="H371" s="2" t="s">
        <v>153</v>
      </c>
      <c r="L371" s="2" t="s">
        <v>11</v>
      </c>
    </row>
    <row r="372" ht="12.75" customHeight="1">
      <c r="A372" s="2">
        <v>2015.0</v>
      </c>
      <c r="B372" s="2">
        <v>7.0</v>
      </c>
      <c r="C372" s="2">
        <v>18.0</v>
      </c>
      <c r="D372" s="2" t="s">
        <v>200</v>
      </c>
      <c r="E372" s="2">
        <v>-6930.0</v>
      </c>
      <c r="F372" s="2">
        <v>0.0</v>
      </c>
      <c r="G372" s="2">
        <f t="shared" si="1"/>
        <v>-6930</v>
      </c>
      <c r="H372" s="2" t="s">
        <v>13</v>
      </c>
      <c r="L372" s="2" t="s">
        <v>11</v>
      </c>
    </row>
    <row r="373" ht="12.75" customHeight="1">
      <c r="A373" s="2">
        <v>2015.0</v>
      </c>
      <c r="B373" s="2">
        <v>7.0</v>
      </c>
      <c r="C373" s="2">
        <v>18.0</v>
      </c>
      <c r="D373" s="2" t="s">
        <v>55</v>
      </c>
      <c r="E373" s="2">
        <v>-45.0</v>
      </c>
      <c r="F373" s="2">
        <v>0.0</v>
      </c>
      <c r="G373" s="2">
        <f t="shared" si="1"/>
        <v>-45</v>
      </c>
      <c r="H373" s="2" t="s">
        <v>47</v>
      </c>
      <c r="L373" s="2" t="s">
        <v>11</v>
      </c>
    </row>
    <row r="374" ht="12.75" customHeight="1">
      <c r="A374" s="2">
        <v>2015.0</v>
      </c>
      <c r="B374" s="2">
        <v>7.0</v>
      </c>
      <c r="C374" s="2">
        <v>18.0</v>
      </c>
      <c r="D374" s="2" t="s">
        <v>201</v>
      </c>
      <c r="E374" s="2">
        <v>-26.0</v>
      </c>
      <c r="F374" s="2">
        <v>0.0</v>
      </c>
      <c r="G374" s="2">
        <f t="shared" si="1"/>
        <v>-26</v>
      </c>
      <c r="H374" s="2" t="s">
        <v>47</v>
      </c>
      <c r="L374" s="2" t="s">
        <v>11</v>
      </c>
    </row>
    <row r="375" ht="12.75" customHeight="1">
      <c r="A375" s="2">
        <v>2015.0</v>
      </c>
      <c r="B375" s="2">
        <v>7.0</v>
      </c>
      <c r="C375" s="2">
        <v>17.0</v>
      </c>
      <c r="D375" s="2" t="s">
        <v>202</v>
      </c>
      <c r="E375" s="2">
        <v>-137.0</v>
      </c>
      <c r="F375" s="2">
        <v>0.0</v>
      </c>
      <c r="G375" s="2">
        <f t="shared" si="1"/>
        <v>-137</v>
      </c>
      <c r="H375" s="2" t="s">
        <v>47</v>
      </c>
      <c r="L375" s="2" t="s">
        <v>11</v>
      </c>
    </row>
    <row r="376" ht="12.75" customHeight="1">
      <c r="A376" s="2">
        <v>2015.0</v>
      </c>
      <c r="B376" s="2">
        <v>7.0</v>
      </c>
      <c r="C376" s="2">
        <v>17.0</v>
      </c>
      <c r="D376" s="2" t="s">
        <v>203</v>
      </c>
      <c r="E376" s="2">
        <v>-15394.0</v>
      </c>
      <c r="F376" s="2">
        <v>0.0</v>
      </c>
      <c r="G376" s="2">
        <f t="shared" si="1"/>
        <v>-15394</v>
      </c>
      <c r="H376" s="2" t="s">
        <v>13</v>
      </c>
      <c r="L376" s="2" t="s">
        <v>11</v>
      </c>
    </row>
    <row r="377" ht="12.75" customHeight="1">
      <c r="A377" s="2">
        <v>2015.0</v>
      </c>
      <c r="B377" s="2">
        <v>7.0</v>
      </c>
      <c r="C377" s="2">
        <v>17.0</v>
      </c>
      <c r="D377" s="2" t="s">
        <v>204</v>
      </c>
      <c r="E377" s="2">
        <v>-110.0</v>
      </c>
      <c r="F377" s="2">
        <v>0.0</v>
      </c>
      <c r="G377" s="2">
        <f t="shared" si="1"/>
        <v>-110</v>
      </c>
      <c r="H377" s="2" t="s">
        <v>42</v>
      </c>
      <c r="L377" s="2" t="s">
        <v>11</v>
      </c>
    </row>
    <row r="378" ht="12.75" customHeight="1">
      <c r="A378" s="2">
        <v>2015.0</v>
      </c>
      <c r="B378" s="2">
        <v>7.0</v>
      </c>
      <c r="C378" s="2">
        <v>16.0</v>
      </c>
      <c r="D378" s="2" t="s">
        <v>205</v>
      </c>
      <c r="E378" s="2">
        <v>-450.0</v>
      </c>
      <c r="F378" s="2">
        <v>0.0</v>
      </c>
      <c r="G378" s="2">
        <f t="shared" si="1"/>
        <v>-450</v>
      </c>
      <c r="H378" s="2" t="s">
        <v>13</v>
      </c>
      <c r="L378" s="2" t="s">
        <v>11</v>
      </c>
    </row>
    <row r="379" ht="12.75" customHeight="1">
      <c r="A379" s="2">
        <v>2015.0</v>
      </c>
      <c r="B379" s="2">
        <v>7.0</v>
      </c>
      <c r="C379" s="2">
        <v>13.0</v>
      </c>
      <c r="D379" s="2" t="s">
        <v>21</v>
      </c>
      <c r="E379" s="2">
        <v>-1023.0</v>
      </c>
      <c r="F379" s="2">
        <v>0.0</v>
      </c>
      <c r="G379" s="2">
        <f t="shared" si="1"/>
        <v>-1023</v>
      </c>
      <c r="H379" s="2" t="s">
        <v>22</v>
      </c>
      <c r="L379" s="2" t="s">
        <v>11</v>
      </c>
    </row>
    <row r="380" ht="12.75" customHeight="1">
      <c r="A380" s="2">
        <v>2015.0</v>
      </c>
      <c r="B380" s="2">
        <v>7.0</v>
      </c>
      <c r="C380" s="2">
        <v>12.0</v>
      </c>
      <c r="D380" s="2" t="s">
        <v>206</v>
      </c>
      <c r="E380" s="2">
        <v>-145.01</v>
      </c>
      <c r="F380" s="2">
        <v>0.0</v>
      </c>
      <c r="G380" s="2">
        <f t="shared" si="1"/>
        <v>-145.01</v>
      </c>
      <c r="H380" s="2" t="s">
        <v>35</v>
      </c>
      <c r="L380" s="2" t="s">
        <v>11</v>
      </c>
    </row>
    <row r="381" ht="12.75" customHeight="1">
      <c r="A381" s="2">
        <v>2015.0</v>
      </c>
      <c r="B381" s="2">
        <v>7.0</v>
      </c>
      <c r="C381" s="2">
        <v>10.0</v>
      </c>
      <c r="D381" s="2" t="s">
        <v>67</v>
      </c>
      <c r="E381" s="2">
        <v>-1000.0</v>
      </c>
      <c r="F381" s="2">
        <v>0.0</v>
      </c>
      <c r="G381" s="2">
        <f t="shared" si="1"/>
        <v>-1000</v>
      </c>
      <c r="H381" s="2" t="s">
        <v>54</v>
      </c>
      <c r="L381" s="2" t="s">
        <v>11</v>
      </c>
    </row>
    <row r="382" ht="12.75" customHeight="1">
      <c r="A382" s="2">
        <v>2015.0</v>
      </c>
      <c r="B382" s="2">
        <v>7.0</v>
      </c>
      <c r="C382" s="2">
        <v>9.0</v>
      </c>
      <c r="D382" s="2" t="s">
        <v>207</v>
      </c>
      <c r="E382" s="2">
        <v>-848.99</v>
      </c>
      <c r="F382" s="2">
        <v>0.0</v>
      </c>
      <c r="G382" s="2">
        <f t="shared" si="1"/>
        <v>-848.99</v>
      </c>
      <c r="H382" s="2" t="s">
        <v>54</v>
      </c>
      <c r="L382" s="2" t="s">
        <v>11</v>
      </c>
    </row>
    <row r="383" ht="12.75" customHeight="1">
      <c r="A383" s="2">
        <v>2015.0</v>
      </c>
      <c r="B383" s="2">
        <v>7.0</v>
      </c>
      <c r="C383" s="2">
        <v>6.0</v>
      </c>
      <c r="D383" s="2" t="s">
        <v>15</v>
      </c>
      <c r="E383" s="2">
        <v>-207.8</v>
      </c>
      <c r="F383" s="2">
        <v>0.0</v>
      </c>
      <c r="G383" s="2">
        <f t="shared" si="1"/>
        <v>-207.8</v>
      </c>
      <c r="H383" s="2" t="s">
        <v>10</v>
      </c>
      <c r="L383" s="2" t="s">
        <v>11</v>
      </c>
    </row>
    <row r="384" ht="12.75" customHeight="1">
      <c r="A384" s="2">
        <v>2015.0</v>
      </c>
      <c r="B384" s="2">
        <v>7.0</v>
      </c>
      <c r="C384" s="2">
        <v>6.0</v>
      </c>
      <c r="D384" s="2" t="s">
        <v>102</v>
      </c>
      <c r="E384" s="2">
        <v>-201.0</v>
      </c>
      <c r="F384" s="2">
        <v>0.0</v>
      </c>
      <c r="G384" s="2">
        <f t="shared" si="1"/>
        <v>-201</v>
      </c>
      <c r="H384" s="2" t="s">
        <v>103</v>
      </c>
      <c r="L384" s="2" t="s">
        <v>11</v>
      </c>
    </row>
    <row r="385" ht="12.75" customHeight="1">
      <c r="A385" s="2">
        <v>2015.0</v>
      </c>
      <c r="B385" s="2">
        <v>7.0</v>
      </c>
      <c r="C385" s="2">
        <v>5.0</v>
      </c>
      <c r="D385" s="2" t="s">
        <v>208</v>
      </c>
      <c r="E385" s="2">
        <v>-70.0</v>
      </c>
      <c r="F385" s="2">
        <v>0.0</v>
      </c>
      <c r="G385" s="2">
        <f t="shared" si="1"/>
        <v>-70</v>
      </c>
      <c r="H385" s="2" t="s">
        <v>42</v>
      </c>
      <c r="L385" s="2" t="s">
        <v>11</v>
      </c>
    </row>
    <row r="386" ht="12.75" customHeight="1">
      <c r="A386" s="2">
        <v>2015.0</v>
      </c>
      <c r="B386" s="2">
        <v>7.0</v>
      </c>
      <c r="C386" s="2">
        <v>5.0</v>
      </c>
      <c r="D386" s="2" t="s">
        <v>209</v>
      </c>
      <c r="E386" s="2">
        <v>-629.0</v>
      </c>
      <c r="F386" s="2">
        <v>0.0</v>
      </c>
      <c r="G386" s="2">
        <f t="shared" si="1"/>
        <v>-629</v>
      </c>
      <c r="H386" s="2" t="s">
        <v>210</v>
      </c>
      <c r="L386" s="2" t="s">
        <v>11</v>
      </c>
    </row>
    <row r="387" ht="12.75" customHeight="1">
      <c r="A387" s="2">
        <v>2015.0</v>
      </c>
      <c r="B387" s="2">
        <v>7.0</v>
      </c>
      <c r="C387" s="2">
        <v>5.0</v>
      </c>
      <c r="D387" s="2" t="s">
        <v>211</v>
      </c>
      <c r="E387" s="2">
        <v>-600.0</v>
      </c>
      <c r="F387" s="2">
        <v>0.0</v>
      </c>
      <c r="G387" s="2">
        <f t="shared" si="1"/>
        <v>-600</v>
      </c>
      <c r="H387" s="2" t="s">
        <v>210</v>
      </c>
      <c r="L387" s="2" t="s">
        <v>11</v>
      </c>
    </row>
    <row r="388" ht="12.75" customHeight="1">
      <c r="A388" s="2">
        <v>2015.0</v>
      </c>
      <c r="B388" s="2">
        <v>7.0</v>
      </c>
      <c r="C388" s="2">
        <v>5.0</v>
      </c>
      <c r="D388" s="2" t="s">
        <v>211</v>
      </c>
      <c r="E388" s="2">
        <v>-396.0</v>
      </c>
      <c r="F388" s="2">
        <v>0.0</v>
      </c>
      <c r="G388" s="2">
        <f t="shared" si="1"/>
        <v>-396</v>
      </c>
      <c r="H388" s="2" t="s">
        <v>52</v>
      </c>
      <c r="L388" s="2" t="s">
        <v>11</v>
      </c>
    </row>
    <row r="389" ht="12.75" customHeight="1">
      <c r="A389" s="2">
        <v>2015.0</v>
      </c>
      <c r="B389" s="2">
        <v>7.0</v>
      </c>
      <c r="C389" s="2">
        <v>5.0</v>
      </c>
      <c r="D389" s="2" t="s">
        <v>211</v>
      </c>
      <c r="E389" s="2">
        <v>-256.0</v>
      </c>
      <c r="F389" s="2">
        <v>0.0</v>
      </c>
      <c r="G389" s="2">
        <f t="shared" si="1"/>
        <v>-256</v>
      </c>
      <c r="H389" s="2" t="s">
        <v>52</v>
      </c>
      <c r="L389" s="2" t="s">
        <v>11</v>
      </c>
    </row>
    <row r="390" ht="12.75" customHeight="1">
      <c r="A390" s="2">
        <v>2015.0</v>
      </c>
      <c r="B390" s="2">
        <v>7.0</v>
      </c>
      <c r="C390" s="2">
        <v>5.0</v>
      </c>
      <c r="D390" s="2" t="s">
        <v>211</v>
      </c>
      <c r="E390" s="2">
        <v>-155.0</v>
      </c>
      <c r="F390" s="2">
        <v>0.0</v>
      </c>
      <c r="G390" s="2">
        <f t="shared" si="1"/>
        <v>-155</v>
      </c>
      <c r="H390" s="2" t="s">
        <v>52</v>
      </c>
      <c r="L390" s="2" t="s">
        <v>11</v>
      </c>
    </row>
    <row r="391" ht="12.75" customHeight="1">
      <c r="A391" s="2">
        <v>2015.0</v>
      </c>
      <c r="B391" s="2">
        <v>7.0</v>
      </c>
      <c r="C391" s="2">
        <v>5.0</v>
      </c>
      <c r="D391" s="2" t="s">
        <v>212</v>
      </c>
      <c r="E391" s="2">
        <v>-207.0</v>
      </c>
      <c r="F391" s="2">
        <v>0.0</v>
      </c>
      <c r="G391" s="2">
        <f t="shared" si="1"/>
        <v>-207</v>
      </c>
      <c r="H391" s="2" t="s">
        <v>47</v>
      </c>
      <c r="L391" s="2" t="s">
        <v>11</v>
      </c>
    </row>
    <row r="392" ht="12.75" customHeight="1">
      <c r="A392" s="2">
        <v>2015.0</v>
      </c>
      <c r="B392" s="2">
        <v>7.0</v>
      </c>
      <c r="C392" s="2">
        <v>4.0</v>
      </c>
      <c r="D392" s="2" t="s">
        <v>213</v>
      </c>
      <c r="E392" s="2">
        <v>-148.0</v>
      </c>
      <c r="F392" s="2">
        <v>0.0</v>
      </c>
      <c r="G392" s="2">
        <f t="shared" si="1"/>
        <v>-148</v>
      </c>
      <c r="H392" s="2" t="s">
        <v>153</v>
      </c>
      <c r="L392" s="2" t="s">
        <v>11</v>
      </c>
    </row>
    <row r="393" ht="12.75" customHeight="1">
      <c r="A393" s="2">
        <v>2015.0</v>
      </c>
      <c r="B393" s="2">
        <v>7.0</v>
      </c>
      <c r="C393" s="2">
        <v>4.0</v>
      </c>
      <c r="D393" s="2" t="s">
        <v>213</v>
      </c>
      <c r="E393" s="2">
        <v>-138.0</v>
      </c>
      <c r="F393" s="2">
        <v>0.0</v>
      </c>
      <c r="G393" s="2">
        <f t="shared" si="1"/>
        <v>-138</v>
      </c>
      <c r="H393" s="2" t="s">
        <v>153</v>
      </c>
      <c r="L393" s="2" t="s">
        <v>11</v>
      </c>
    </row>
    <row r="394" ht="12.75" customHeight="1">
      <c r="A394" s="2">
        <v>2015.0</v>
      </c>
      <c r="B394" s="2">
        <v>7.0</v>
      </c>
      <c r="C394" s="2">
        <v>4.0</v>
      </c>
      <c r="D394" s="2" t="s">
        <v>211</v>
      </c>
      <c r="E394" s="2">
        <v>-700.0</v>
      </c>
      <c r="F394" s="2">
        <v>0.0</v>
      </c>
      <c r="G394" s="2">
        <f t="shared" si="1"/>
        <v>-700</v>
      </c>
      <c r="H394" s="2" t="s">
        <v>210</v>
      </c>
      <c r="L394" s="2" t="s">
        <v>11</v>
      </c>
    </row>
    <row r="395" ht="12.75" customHeight="1">
      <c r="A395" s="2">
        <v>2015.0</v>
      </c>
      <c r="B395" s="2">
        <v>7.0</v>
      </c>
      <c r="C395" s="2">
        <v>4.0</v>
      </c>
      <c r="D395" s="2" t="s">
        <v>214</v>
      </c>
      <c r="E395" s="2">
        <v>-83.38</v>
      </c>
      <c r="F395" s="2">
        <v>0.0</v>
      </c>
      <c r="G395" s="2">
        <f t="shared" si="1"/>
        <v>-83.38</v>
      </c>
      <c r="H395" s="2" t="s">
        <v>210</v>
      </c>
      <c r="L395" s="2" t="s">
        <v>11</v>
      </c>
    </row>
    <row r="396" ht="12.75" customHeight="1">
      <c r="A396" s="2">
        <v>2015.0</v>
      </c>
      <c r="B396" s="2">
        <v>7.0</v>
      </c>
      <c r="C396" s="2">
        <v>4.0</v>
      </c>
      <c r="D396" s="2" t="s">
        <v>215</v>
      </c>
      <c r="E396" s="2">
        <v>-108.0</v>
      </c>
      <c r="F396" s="2">
        <v>0.0</v>
      </c>
      <c r="G396" s="2">
        <f t="shared" si="1"/>
        <v>-108</v>
      </c>
      <c r="H396" s="2" t="s">
        <v>52</v>
      </c>
      <c r="L396" s="2" t="s">
        <v>11</v>
      </c>
    </row>
    <row r="397" ht="12.75" customHeight="1">
      <c r="A397" s="2">
        <v>2015.0</v>
      </c>
      <c r="B397" s="2">
        <v>7.0</v>
      </c>
      <c r="C397" s="2">
        <v>3.0</v>
      </c>
      <c r="D397" s="2" t="s">
        <v>216</v>
      </c>
      <c r="E397" s="2">
        <v>-169.7</v>
      </c>
      <c r="F397" s="2">
        <v>0.0</v>
      </c>
      <c r="G397" s="2">
        <f t="shared" si="1"/>
        <v>-169.7</v>
      </c>
      <c r="H397" s="2" t="s">
        <v>210</v>
      </c>
      <c r="L397" s="2" t="s">
        <v>11</v>
      </c>
    </row>
    <row r="398" ht="12.75" customHeight="1">
      <c r="A398" s="2">
        <v>2015.0</v>
      </c>
      <c r="B398" s="2">
        <v>7.0</v>
      </c>
      <c r="C398" s="2">
        <v>3.0</v>
      </c>
      <c r="D398" s="2" t="s">
        <v>217</v>
      </c>
      <c r="E398" s="2">
        <v>-933.0</v>
      </c>
      <c r="F398" s="2">
        <v>0.0</v>
      </c>
      <c r="G398" s="2">
        <f t="shared" si="1"/>
        <v>-933</v>
      </c>
      <c r="H398" s="2" t="s">
        <v>210</v>
      </c>
      <c r="L398" s="2" t="s">
        <v>11</v>
      </c>
    </row>
    <row r="399" ht="12.75" customHeight="1">
      <c r="A399" s="2">
        <v>2015.0</v>
      </c>
      <c r="B399" s="2">
        <v>7.0</v>
      </c>
      <c r="C399" s="2">
        <v>3.0</v>
      </c>
      <c r="D399" s="2" t="s">
        <v>218</v>
      </c>
      <c r="E399" s="2">
        <v>-69.0</v>
      </c>
      <c r="F399" s="2">
        <v>0.0</v>
      </c>
      <c r="G399" s="2">
        <f t="shared" si="1"/>
        <v>-69</v>
      </c>
      <c r="H399" s="2" t="s">
        <v>210</v>
      </c>
      <c r="L399" s="2" t="s">
        <v>11</v>
      </c>
    </row>
    <row r="400" ht="12.75" customHeight="1">
      <c r="A400" s="2">
        <v>2015.0</v>
      </c>
      <c r="B400" s="2">
        <v>7.0</v>
      </c>
      <c r="C400" s="2">
        <v>3.0</v>
      </c>
      <c r="D400" s="2" t="s">
        <v>219</v>
      </c>
      <c r="E400" s="2">
        <v>279.08</v>
      </c>
      <c r="F400" s="2">
        <v>0.0</v>
      </c>
      <c r="G400" s="2">
        <f t="shared" si="1"/>
        <v>279.08</v>
      </c>
      <c r="H400" s="2" t="s">
        <v>153</v>
      </c>
      <c r="L400" s="2" t="s">
        <v>11</v>
      </c>
    </row>
    <row r="401" ht="12.75" customHeight="1">
      <c r="A401" s="2">
        <v>2015.0</v>
      </c>
      <c r="B401" s="2">
        <v>7.0</v>
      </c>
      <c r="C401" s="2">
        <v>3.0</v>
      </c>
      <c r="D401" s="2" t="s">
        <v>220</v>
      </c>
      <c r="E401" s="2">
        <v>-1279.08</v>
      </c>
      <c r="F401" s="2">
        <v>0.0</v>
      </c>
      <c r="G401" s="2">
        <f t="shared" si="1"/>
        <v>-1279.08</v>
      </c>
      <c r="H401" s="2" t="s">
        <v>210</v>
      </c>
      <c r="L401" s="2" t="s">
        <v>11</v>
      </c>
    </row>
    <row r="402" ht="12.75" customHeight="1">
      <c r="A402" s="2">
        <v>2015.0</v>
      </c>
      <c r="B402" s="2">
        <v>7.0</v>
      </c>
      <c r="C402" s="2">
        <v>3.0</v>
      </c>
      <c r="D402" s="2" t="s">
        <v>221</v>
      </c>
      <c r="E402" s="2">
        <v>-35.0</v>
      </c>
      <c r="F402" s="2">
        <v>0.0</v>
      </c>
      <c r="G402" s="2">
        <f t="shared" si="1"/>
        <v>-35</v>
      </c>
      <c r="H402" s="2" t="s">
        <v>210</v>
      </c>
      <c r="L402" s="2" t="s">
        <v>11</v>
      </c>
    </row>
    <row r="403" ht="12.75" customHeight="1">
      <c r="A403" s="2">
        <v>2015.0</v>
      </c>
      <c r="B403" s="2">
        <v>7.0</v>
      </c>
      <c r="C403" s="2">
        <v>3.0</v>
      </c>
      <c r="D403" s="2" t="s">
        <v>222</v>
      </c>
      <c r="E403" s="2">
        <v>-137.11</v>
      </c>
      <c r="F403" s="2">
        <v>0.0</v>
      </c>
      <c r="G403" s="2">
        <f t="shared" si="1"/>
        <v>-137.11</v>
      </c>
      <c r="H403" s="2" t="s">
        <v>153</v>
      </c>
      <c r="L403" s="2" t="s">
        <v>11</v>
      </c>
    </row>
    <row r="404" ht="12.75" customHeight="1">
      <c r="A404" s="2">
        <v>2015.0</v>
      </c>
      <c r="B404" s="2">
        <v>7.0</v>
      </c>
      <c r="C404" s="2">
        <v>3.0</v>
      </c>
      <c r="D404" s="2" t="s">
        <v>223</v>
      </c>
      <c r="E404" s="2">
        <v>-202.8</v>
      </c>
      <c r="F404" s="2">
        <v>0.0</v>
      </c>
      <c r="G404" s="2">
        <f t="shared" si="1"/>
        <v>-202.8</v>
      </c>
      <c r="H404" s="2" t="s">
        <v>153</v>
      </c>
      <c r="L404" s="2" t="s">
        <v>11</v>
      </c>
    </row>
    <row r="405" ht="12.75" customHeight="1">
      <c r="A405" s="2">
        <v>2015.0</v>
      </c>
      <c r="B405" s="2">
        <v>7.0</v>
      </c>
      <c r="C405" s="2">
        <v>3.0</v>
      </c>
      <c r="D405" s="2" t="s">
        <v>223</v>
      </c>
      <c r="E405" s="2">
        <v>-142.01</v>
      </c>
      <c r="F405" s="2">
        <v>0.0</v>
      </c>
      <c r="G405" s="2">
        <f t="shared" si="1"/>
        <v>-142.01</v>
      </c>
      <c r="H405" s="2" t="s">
        <v>153</v>
      </c>
      <c r="L405" s="2" t="s">
        <v>11</v>
      </c>
    </row>
    <row r="406" ht="12.75" customHeight="1">
      <c r="A406" s="2">
        <v>2015.0</v>
      </c>
      <c r="B406" s="2">
        <v>7.0</v>
      </c>
      <c r="C406" s="2">
        <v>2.0</v>
      </c>
      <c r="D406" s="2" t="s">
        <v>224</v>
      </c>
      <c r="E406" s="2">
        <v>-267.75</v>
      </c>
      <c r="F406" s="2">
        <v>0.0</v>
      </c>
      <c r="G406" s="2">
        <f t="shared" si="1"/>
        <v>-267.75</v>
      </c>
      <c r="H406" s="2" t="s">
        <v>153</v>
      </c>
      <c r="L406" s="2" t="s">
        <v>11</v>
      </c>
    </row>
    <row r="407" ht="12.75" customHeight="1">
      <c r="A407" s="2">
        <v>2015.0</v>
      </c>
      <c r="B407" s="2">
        <v>7.0</v>
      </c>
      <c r="C407" s="2">
        <v>1.0</v>
      </c>
      <c r="D407" s="2" t="s">
        <v>225</v>
      </c>
      <c r="E407" s="2">
        <v>-374.5</v>
      </c>
      <c r="F407" s="2">
        <v>0.0</v>
      </c>
      <c r="G407" s="2">
        <f t="shared" si="1"/>
        <v>-374.5</v>
      </c>
      <c r="H407" s="2" t="s">
        <v>153</v>
      </c>
      <c r="L407" s="2" t="s">
        <v>11</v>
      </c>
    </row>
    <row r="408" ht="12.75" customHeight="1">
      <c r="A408" s="2">
        <v>2015.0</v>
      </c>
      <c r="B408" s="2">
        <v>7.0</v>
      </c>
      <c r="C408" s="2">
        <v>1.0</v>
      </c>
      <c r="D408" s="2" t="s">
        <v>157</v>
      </c>
      <c r="E408" s="2">
        <v>-130.0</v>
      </c>
      <c r="F408" s="2">
        <v>0.0</v>
      </c>
      <c r="G408" s="2">
        <f t="shared" si="1"/>
        <v>-130</v>
      </c>
      <c r="H408" s="2" t="s">
        <v>17</v>
      </c>
      <c r="L408" s="2" t="s">
        <v>11</v>
      </c>
    </row>
    <row r="409" ht="12.75" customHeight="1">
      <c r="A409" s="2">
        <v>2015.0</v>
      </c>
      <c r="B409" s="2">
        <v>7.0</v>
      </c>
      <c r="C409" s="2">
        <v>1.0</v>
      </c>
      <c r="D409" s="2" t="s">
        <v>73</v>
      </c>
      <c r="E409" s="2">
        <v>-8954.0</v>
      </c>
      <c r="F409" s="2">
        <v>0.0</v>
      </c>
      <c r="G409" s="2">
        <f t="shared" si="1"/>
        <v>-8954</v>
      </c>
      <c r="H409" s="2" t="s">
        <v>10</v>
      </c>
      <c r="L409" s="2" t="s">
        <v>11</v>
      </c>
    </row>
    <row r="410" ht="12.75" customHeight="1">
      <c r="A410" s="2">
        <v>2015.0</v>
      </c>
      <c r="B410" s="2">
        <v>7.0</v>
      </c>
      <c r="C410" s="2">
        <v>1.0</v>
      </c>
      <c r="D410" s="2" t="s">
        <v>226</v>
      </c>
      <c r="E410" s="2">
        <v>-2.0</v>
      </c>
      <c r="F410" s="2">
        <v>0.0</v>
      </c>
      <c r="G410" s="2">
        <f t="shared" si="1"/>
        <v>-2</v>
      </c>
      <c r="H410" s="2" t="s">
        <v>153</v>
      </c>
      <c r="L410" s="2" t="s">
        <v>11</v>
      </c>
    </row>
    <row r="411" ht="12.75" customHeight="1">
      <c r="A411" s="2">
        <v>2015.0</v>
      </c>
      <c r="B411" s="2">
        <v>7.0</v>
      </c>
      <c r="C411" s="2">
        <v>1.0</v>
      </c>
      <c r="D411" s="2" t="s">
        <v>224</v>
      </c>
      <c r="E411" s="2">
        <v>-228.6</v>
      </c>
      <c r="F411" s="2">
        <v>0.0</v>
      </c>
      <c r="G411" s="2">
        <f t="shared" si="1"/>
        <v>-228.6</v>
      </c>
      <c r="H411" s="2" t="s">
        <v>153</v>
      </c>
      <c r="L411" s="2" t="s">
        <v>11</v>
      </c>
    </row>
    <row r="412" ht="12.75" customHeight="1">
      <c r="A412" s="2">
        <v>2015.0</v>
      </c>
      <c r="B412" s="2">
        <v>6.0</v>
      </c>
      <c r="C412" s="2">
        <v>30.0</v>
      </c>
      <c r="D412" s="2" t="s">
        <v>9</v>
      </c>
      <c r="E412" s="2">
        <v>-7734.0</v>
      </c>
      <c r="F412" s="2">
        <v>0.0</v>
      </c>
      <c r="G412" s="2">
        <f t="shared" si="1"/>
        <v>-7734</v>
      </c>
      <c r="H412" s="2" t="s">
        <v>10</v>
      </c>
      <c r="L412" s="2" t="s">
        <v>11</v>
      </c>
    </row>
    <row r="413" ht="12.75" customHeight="1">
      <c r="A413" s="2">
        <v>2015.0</v>
      </c>
      <c r="B413" s="2">
        <v>6.0</v>
      </c>
      <c r="C413" s="2">
        <v>30.0</v>
      </c>
      <c r="D413" s="2" t="s">
        <v>12</v>
      </c>
      <c r="E413" s="2">
        <v>-16337.79</v>
      </c>
      <c r="F413" s="2">
        <v>0.0</v>
      </c>
      <c r="G413" s="2">
        <f t="shared" si="1"/>
        <v>-16337.79</v>
      </c>
      <c r="H413" s="2" t="s">
        <v>227</v>
      </c>
      <c r="L413" s="2" t="s">
        <v>228</v>
      </c>
    </row>
    <row r="414" ht="12.75" customHeight="1">
      <c r="A414" s="2">
        <v>2015.0</v>
      </c>
      <c r="B414" s="2">
        <v>6.0</v>
      </c>
      <c r="C414" s="2">
        <v>30.0</v>
      </c>
      <c r="D414" s="2" t="s">
        <v>229</v>
      </c>
      <c r="E414" s="2">
        <v>-59.0</v>
      </c>
      <c r="F414" s="2">
        <v>0.0</v>
      </c>
      <c r="G414" s="2">
        <f t="shared" si="1"/>
        <v>-59</v>
      </c>
      <c r="H414" s="2" t="s">
        <v>153</v>
      </c>
      <c r="L414" s="2" t="s">
        <v>11</v>
      </c>
    </row>
    <row r="415" ht="12.75" customHeight="1">
      <c r="A415" s="2">
        <v>2015.0</v>
      </c>
      <c r="B415" s="2">
        <v>6.0</v>
      </c>
      <c r="C415" s="2">
        <v>30.0</v>
      </c>
      <c r="D415" s="2" t="s">
        <v>14</v>
      </c>
      <c r="E415" s="2">
        <v>-4007.0</v>
      </c>
      <c r="F415" s="2">
        <v>0.0</v>
      </c>
      <c r="G415" s="2">
        <f t="shared" si="1"/>
        <v>-4007</v>
      </c>
      <c r="H415" s="2" t="s">
        <v>10</v>
      </c>
      <c r="L415" s="2" t="s">
        <v>11</v>
      </c>
    </row>
    <row r="416" ht="12.75" customHeight="1">
      <c r="A416" s="2">
        <v>2015.0</v>
      </c>
      <c r="B416" s="2">
        <v>6.0</v>
      </c>
      <c r="C416" s="2">
        <v>30.0</v>
      </c>
      <c r="D416" s="2" t="s">
        <v>102</v>
      </c>
      <c r="E416" s="2">
        <v>-266.0</v>
      </c>
      <c r="F416" s="2">
        <v>0.0</v>
      </c>
      <c r="G416" s="2">
        <f t="shared" si="1"/>
        <v>-266</v>
      </c>
      <c r="H416" s="2" t="s">
        <v>103</v>
      </c>
      <c r="L416" s="2" t="s">
        <v>11</v>
      </c>
    </row>
    <row r="417" ht="12.75" customHeight="1">
      <c r="A417" s="2">
        <v>2015.0</v>
      </c>
      <c r="B417" s="2">
        <v>6.0</v>
      </c>
      <c r="C417" s="2">
        <v>30.0</v>
      </c>
      <c r="D417" s="2">
        <v>4.7516877E7</v>
      </c>
      <c r="E417" s="2">
        <v>1000.0</v>
      </c>
      <c r="F417" s="2">
        <v>0.0</v>
      </c>
      <c r="G417" s="2">
        <f t="shared" si="1"/>
        <v>1000</v>
      </c>
      <c r="H417" s="2" t="s">
        <v>18</v>
      </c>
      <c r="L417" s="2" t="s">
        <v>11</v>
      </c>
    </row>
    <row r="418" ht="12.75" customHeight="1">
      <c r="A418" s="2">
        <v>2015.0</v>
      </c>
      <c r="B418" s="2">
        <v>6.0</v>
      </c>
      <c r="C418" s="2">
        <v>29.0</v>
      </c>
      <c r="D418" s="2" t="s">
        <v>25</v>
      </c>
      <c r="E418" s="2">
        <v>-100.0</v>
      </c>
      <c r="F418" s="2">
        <v>0.0</v>
      </c>
      <c r="G418" s="2">
        <f t="shared" si="1"/>
        <v>-100</v>
      </c>
      <c r="H418" s="2" t="s">
        <v>26</v>
      </c>
      <c r="L418" s="2" t="s">
        <v>11</v>
      </c>
    </row>
    <row r="419" ht="12.75" customHeight="1">
      <c r="A419" s="2">
        <v>2015.0</v>
      </c>
      <c r="B419" s="2">
        <v>6.0</v>
      </c>
      <c r="C419" s="2">
        <v>29.0</v>
      </c>
      <c r="D419" s="2" t="s">
        <v>19</v>
      </c>
      <c r="E419" s="2">
        <v>-320.0</v>
      </c>
      <c r="F419" s="2">
        <v>0.0</v>
      </c>
      <c r="G419" s="2">
        <f t="shared" si="1"/>
        <v>-320</v>
      </c>
      <c r="H419" s="2" t="s">
        <v>20</v>
      </c>
      <c r="L419" s="2" t="s">
        <v>11</v>
      </c>
    </row>
    <row r="420" ht="12.75" customHeight="1">
      <c r="A420" s="2">
        <v>2015.0</v>
      </c>
      <c r="B420" s="2">
        <v>6.0</v>
      </c>
      <c r="C420" s="2">
        <v>29.0</v>
      </c>
      <c r="D420" s="2" t="s">
        <v>206</v>
      </c>
      <c r="E420" s="2">
        <v>-47.36</v>
      </c>
      <c r="F420" s="2">
        <v>0.0</v>
      </c>
      <c r="G420" s="2">
        <f t="shared" si="1"/>
        <v>-47.36</v>
      </c>
      <c r="H420" s="2" t="s">
        <v>31</v>
      </c>
      <c r="L420" s="2" t="s">
        <v>11</v>
      </c>
    </row>
    <row r="421" ht="12.75" customHeight="1">
      <c r="A421" s="2">
        <v>2015.0</v>
      </c>
      <c r="B421" s="2">
        <v>6.0</v>
      </c>
      <c r="C421" s="2">
        <v>29.0</v>
      </c>
      <c r="D421" s="2" t="s">
        <v>23</v>
      </c>
      <c r="E421" s="2">
        <v>-303.0</v>
      </c>
      <c r="F421" s="2">
        <v>0.0</v>
      </c>
      <c r="G421" s="2">
        <f t="shared" si="1"/>
        <v>-303</v>
      </c>
      <c r="H421" s="2" t="s">
        <v>24</v>
      </c>
      <c r="L421" s="2" t="s">
        <v>11</v>
      </c>
    </row>
    <row r="422" ht="12.75" customHeight="1">
      <c r="A422" s="2">
        <v>2015.0</v>
      </c>
      <c r="B422" s="2">
        <v>6.0</v>
      </c>
      <c r="C422" s="2">
        <v>28.0</v>
      </c>
      <c r="D422" s="2" t="s">
        <v>230</v>
      </c>
      <c r="E422" s="2">
        <v>-692.0</v>
      </c>
      <c r="F422" s="2">
        <v>0.0</v>
      </c>
      <c r="G422" s="2">
        <f t="shared" si="1"/>
        <v>-692</v>
      </c>
      <c r="H422" s="2" t="s">
        <v>153</v>
      </c>
      <c r="L422" s="2" t="s">
        <v>11</v>
      </c>
    </row>
    <row r="423" ht="12.75" customHeight="1">
      <c r="A423" s="2">
        <v>2015.0</v>
      </c>
      <c r="B423" s="2">
        <v>6.0</v>
      </c>
      <c r="C423" s="2">
        <v>27.0</v>
      </c>
      <c r="D423" s="2" t="s">
        <v>224</v>
      </c>
      <c r="E423" s="2">
        <v>-156.7</v>
      </c>
      <c r="F423" s="2">
        <v>0.0</v>
      </c>
      <c r="G423" s="2">
        <f t="shared" si="1"/>
        <v>-156.7</v>
      </c>
      <c r="H423" s="2" t="s">
        <v>153</v>
      </c>
      <c r="L423" s="2" t="s">
        <v>11</v>
      </c>
    </row>
    <row r="424" ht="12.75" customHeight="1">
      <c r="A424" s="2">
        <v>2015.0</v>
      </c>
      <c r="B424" s="2">
        <v>6.0</v>
      </c>
      <c r="C424" s="2">
        <v>26.0</v>
      </c>
      <c r="D424" s="2" t="s">
        <v>29</v>
      </c>
      <c r="E424" s="2">
        <v>-1250.0</v>
      </c>
      <c r="F424" s="2">
        <v>0.0</v>
      </c>
      <c r="G424" s="2">
        <f t="shared" si="1"/>
        <v>-1250</v>
      </c>
      <c r="H424" s="2" t="s">
        <v>18</v>
      </c>
      <c r="L424" s="2" t="s">
        <v>11</v>
      </c>
    </row>
    <row r="425" ht="12.75" customHeight="1">
      <c r="A425" s="2">
        <v>2015.0</v>
      </c>
      <c r="B425" s="2">
        <v>6.0</v>
      </c>
      <c r="C425" s="2">
        <v>26.0</v>
      </c>
      <c r="D425" s="2" t="s">
        <v>224</v>
      </c>
      <c r="E425" s="2">
        <v>-328.02</v>
      </c>
      <c r="F425" s="2">
        <v>0.0</v>
      </c>
      <c r="G425" s="2">
        <f t="shared" si="1"/>
        <v>-328.02</v>
      </c>
      <c r="H425" s="2" t="s">
        <v>153</v>
      </c>
      <c r="L425" s="2" t="s">
        <v>11</v>
      </c>
    </row>
    <row r="426" ht="12.75" customHeight="1">
      <c r="A426" s="2">
        <v>2015.0</v>
      </c>
      <c r="B426" s="2">
        <v>6.0</v>
      </c>
      <c r="C426" s="2">
        <v>25.0</v>
      </c>
      <c r="D426" s="2" t="s">
        <v>27</v>
      </c>
      <c r="E426" s="2">
        <v>-5000.0</v>
      </c>
      <c r="F426" s="2">
        <v>0.0</v>
      </c>
      <c r="G426" s="2">
        <f t="shared" si="1"/>
        <v>-5000</v>
      </c>
      <c r="H426" s="2" t="s">
        <v>227</v>
      </c>
      <c r="L426" s="2" t="s">
        <v>11</v>
      </c>
    </row>
    <row r="427" ht="12.75" customHeight="1">
      <c r="A427" s="2">
        <v>2015.0</v>
      </c>
      <c r="B427" s="2">
        <v>6.0</v>
      </c>
      <c r="C427" s="2">
        <v>25.0</v>
      </c>
      <c r="D427" s="2" t="s">
        <v>27</v>
      </c>
      <c r="E427" s="2">
        <v>5000.0</v>
      </c>
      <c r="F427" s="2">
        <v>0.0</v>
      </c>
      <c r="G427" s="2">
        <f t="shared" si="1"/>
        <v>5000</v>
      </c>
      <c r="H427" s="2" t="s">
        <v>227</v>
      </c>
      <c r="L427" s="2" t="s">
        <v>11</v>
      </c>
    </row>
    <row r="428" ht="12.75" customHeight="1">
      <c r="A428" s="2">
        <v>2015.0</v>
      </c>
      <c r="B428" s="2">
        <v>6.0</v>
      </c>
      <c r="C428" s="2">
        <v>24.0</v>
      </c>
      <c r="D428" s="2" t="s">
        <v>231</v>
      </c>
      <c r="E428" s="2">
        <v>-683.65</v>
      </c>
      <c r="F428" s="2">
        <v>0.0</v>
      </c>
      <c r="G428" s="2">
        <f t="shared" si="1"/>
        <v>-683.65</v>
      </c>
      <c r="H428" s="2" t="s">
        <v>153</v>
      </c>
      <c r="L428" s="2" t="s">
        <v>11</v>
      </c>
    </row>
    <row r="429" ht="12.75" customHeight="1">
      <c r="A429" s="2">
        <v>2015.0</v>
      </c>
      <c r="B429" s="2">
        <v>6.0</v>
      </c>
      <c r="C429" s="2">
        <v>24.0</v>
      </c>
      <c r="D429" s="2" t="s">
        <v>232</v>
      </c>
      <c r="E429" s="2">
        <v>-181.0</v>
      </c>
      <c r="F429" s="2">
        <v>0.0</v>
      </c>
      <c r="G429" s="2">
        <f t="shared" si="1"/>
        <v>-181</v>
      </c>
      <c r="H429" s="2" t="s">
        <v>153</v>
      </c>
      <c r="L429" s="2" t="s">
        <v>11</v>
      </c>
    </row>
    <row r="430" ht="12.75" customHeight="1">
      <c r="A430" s="2">
        <v>2015.0</v>
      </c>
      <c r="B430" s="2">
        <v>6.0</v>
      </c>
      <c r="C430" s="2">
        <v>24.0</v>
      </c>
      <c r="D430" s="2" t="s">
        <v>39</v>
      </c>
      <c r="E430" s="2">
        <v>29683.0</v>
      </c>
      <c r="F430" s="2">
        <v>0.0</v>
      </c>
      <c r="G430" s="2">
        <f t="shared" si="1"/>
        <v>29683</v>
      </c>
      <c r="H430" s="2" t="s">
        <v>40</v>
      </c>
      <c r="L430" s="2" t="s">
        <v>11</v>
      </c>
    </row>
    <row r="431" ht="12.75" customHeight="1">
      <c r="A431" s="2">
        <v>2015.0</v>
      </c>
      <c r="B431" s="2">
        <v>6.0</v>
      </c>
      <c r="C431" s="2">
        <v>22.0</v>
      </c>
      <c r="D431" s="2" t="s">
        <v>233</v>
      </c>
      <c r="E431" s="2">
        <v>-158.0</v>
      </c>
      <c r="F431" s="2">
        <v>0.0</v>
      </c>
      <c r="G431" s="2">
        <f t="shared" si="1"/>
        <v>-158</v>
      </c>
      <c r="H431" s="2" t="s">
        <v>153</v>
      </c>
      <c r="L431" s="2" t="s">
        <v>11</v>
      </c>
    </row>
    <row r="432" ht="12.75" customHeight="1">
      <c r="A432" s="2">
        <v>2015.0</v>
      </c>
      <c r="B432" s="2">
        <v>6.0</v>
      </c>
      <c r="C432" s="2">
        <v>22.0</v>
      </c>
      <c r="D432" s="2" t="s">
        <v>234</v>
      </c>
      <c r="E432" s="2">
        <v>-165.0</v>
      </c>
      <c r="F432" s="2">
        <v>0.0</v>
      </c>
      <c r="G432" s="2">
        <f t="shared" si="1"/>
        <v>-165</v>
      </c>
      <c r="H432" s="2" t="s">
        <v>153</v>
      </c>
      <c r="L432" s="2" t="s">
        <v>11</v>
      </c>
    </row>
    <row r="433" ht="12.75" customHeight="1">
      <c r="A433" s="2">
        <v>2015.0</v>
      </c>
      <c r="B433" s="2">
        <v>6.0</v>
      </c>
      <c r="C433" s="2">
        <v>22.0</v>
      </c>
      <c r="D433" s="2" t="s">
        <v>235</v>
      </c>
      <c r="E433" s="2">
        <v>621.0</v>
      </c>
      <c r="F433" s="2">
        <v>0.0</v>
      </c>
      <c r="G433" s="2">
        <f t="shared" si="1"/>
        <v>621</v>
      </c>
      <c r="H433" s="2" t="s">
        <v>153</v>
      </c>
      <c r="L433" s="2" t="s">
        <v>11</v>
      </c>
    </row>
    <row r="434" ht="12.75" customHeight="1">
      <c r="A434" s="2">
        <v>2015.0</v>
      </c>
      <c r="B434" s="2">
        <v>6.0</v>
      </c>
      <c r="C434" s="2">
        <v>22.0</v>
      </c>
      <c r="D434" s="2" t="s">
        <v>236</v>
      </c>
      <c r="E434" s="2">
        <v>-164.0</v>
      </c>
      <c r="F434" s="2">
        <v>0.0</v>
      </c>
      <c r="G434" s="2">
        <f t="shared" si="1"/>
        <v>-164</v>
      </c>
      <c r="H434" s="2" t="s">
        <v>153</v>
      </c>
      <c r="L434" s="2" t="s">
        <v>11</v>
      </c>
    </row>
    <row r="435" ht="12.75" customHeight="1">
      <c r="A435" s="2">
        <v>2015.0</v>
      </c>
      <c r="B435" s="2">
        <v>6.0</v>
      </c>
      <c r="C435" s="2">
        <v>21.0</v>
      </c>
      <c r="D435" s="2" t="s">
        <v>237</v>
      </c>
      <c r="E435" s="2">
        <v>-70.0</v>
      </c>
      <c r="F435" s="2">
        <v>0.0</v>
      </c>
      <c r="G435" s="2">
        <f t="shared" si="1"/>
        <v>-70</v>
      </c>
      <c r="H435" s="2" t="s">
        <v>153</v>
      </c>
      <c r="L435" s="2" t="s">
        <v>11</v>
      </c>
    </row>
    <row r="436" ht="12.75" customHeight="1">
      <c r="A436" s="2">
        <v>2015.0</v>
      </c>
      <c r="B436" s="2">
        <v>6.0</v>
      </c>
      <c r="C436" s="2">
        <v>21.0</v>
      </c>
      <c r="D436" s="2" t="s">
        <v>237</v>
      </c>
      <c r="E436" s="2">
        <v>-60.0</v>
      </c>
      <c r="F436" s="2">
        <v>0.0</v>
      </c>
      <c r="G436" s="2">
        <f t="shared" si="1"/>
        <v>-60</v>
      </c>
      <c r="H436" s="2" t="s">
        <v>153</v>
      </c>
      <c r="L436" s="2" t="s">
        <v>11</v>
      </c>
    </row>
    <row r="437" ht="12.75" customHeight="1">
      <c r="A437" s="2">
        <v>2015.0</v>
      </c>
      <c r="B437" s="2">
        <v>6.0</v>
      </c>
      <c r="C437" s="2">
        <v>21.0</v>
      </c>
      <c r="D437" s="2" t="s">
        <v>238</v>
      </c>
      <c r="E437" s="2">
        <v>-100.0</v>
      </c>
      <c r="F437" s="2">
        <v>0.0</v>
      </c>
      <c r="G437" s="2">
        <f t="shared" si="1"/>
        <v>-100</v>
      </c>
      <c r="H437" s="2" t="s">
        <v>153</v>
      </c>
      <c r="L437" s="2" t="s">
        <v>11</v>
      </c>
    </row>
    <row r="438" ht="12.75" customHeight="1">
      <c r="A438" s="2">
        <v>2015.0</v>
      </c>
      <c r="B438" s="2">
        <v>6.0</v>
      </c>
      <c r="C438" s="2">
        <v>20.0</v>
      </c>
      <c r="D438" s="2" t="s">
        <v>239</v>
      </c>
      <c r="E438" s="2">
        <v>-21.0</v>
      </c>
      <c r="F438" s="2">
        <v>0.0</v>
      </c>
      <c r="G438" s="2">
        <f t="shared" si="1"/>
        <v>-21</v>
      </c>
      <c r="H438" s="2" t="s">
        <v>153</v>
      </c>
      <c r="L438" s="2" t="s">
        <v>11</v>
      </c>
    </row>
    <row r="439" ht="12.75" customHeight="1">
      <c r="A439" s="2">
        <v>2015.0</v>
      </c>
      <c r="B439" s="2">
        <v>6.0</v>
      </c>
      <c r="C439" s="2">
        <v>20.0</v>
      </c>
      <c r="D439" s="2" t="s">
        <v>240</v>
      </c>
      <c r="E439" s="2">
        <v>-316.0</v>
      </c>
      <c r="F439" s="2">
        <v>0.0</v>
      </c>
      <c r="G439" s="2">
        <f t="shared" si="1"/>
        <v>-316</v>
      </c>
      <c r="H439" s="2" t="s">
        <v>153</v>
      </c>
      <c r="L439" s="2" t="s">
        <v>11</v>
      </c>
    </row>
    <row r="440" ht="12.75" customHeight="1">
      <c r="A440" s="2">
        <v>2015.0</v>
      </c>
      <c r="B440" s="2">
        <v>6.0</v>
      </c>
      <c r="C440" s="2">
        <v>19.0</v>
      </c>
      <c r="D440" s="2" t="s">
        <v>241</v>
      </c>
      <c r="E440" s="2">
        <v>-220.0</v>
      </c>
      <c r="F440" s="2">
        <v>0.0</v>
      </c>
      <c r="G440" s="2">
        <f t="shared" si="1"/>
        <v>-220</v>
      </c>
      <c r="H440" s="2" t="s">
        <v>210</v>
      </c>
      <c r="L440" s="2" t="s">
        <v>11</v>
      </c>
    </row>
    <row r="441" ht="12.75" customHeight="1">
      <c r="A441" s="2">
        <v>2015.0</v>
      </c>
      <c r="B441" s="2">
        <v>6.0</v>
      </c>
      <c r="C441" s="2">
        <v>18.0</v>
      </c>
      <c r="D441" s="2" t="s">
        <v>242</v>
      </c>
      <c r="E441" s="2">
        <v>-300.0</v>
      </c>
      <c r="F441" s="2">
        <v>0.0</v>
      </c>
      <c r="G441" s="2">
        <f t="shared" si="1"/>
        <v>-300</v>
      </c>
      <c r="H441" s="2" t="s">
        <v>153</v>
      </c>
      <c r="L441" s="2" t="s">
        <v>11</v>
      </c>
    </row>
    <row r="442" ht="12.75" customHeight="1">
      <c r="A442" s="2">
        <v>2015.0</v>
      </c>
      <c r="B442" s="2">
        <v>6.0</v>
      </c>
      <c r="C442" s="2">
        <v>18.0</v>
      </c>
      <c r="D442" s="2" t="s">
        <v>243</v>
      </c>
      <c r="E442" s="2">
        <v>-612.0</v>
      </c>
      <c r="F442" s="2">
        <v>0.0</v>
      </c>
      <c r="G442" s="2">
        <f t="shared" si="1"/>
        <v>-612</v>
      </c>
      <c r="H442" s="2" t="s">
        <v>210</v>
      </c>
      <c r="L442" s="2" t="s">
        <v>11</v>
      </c>
    </row>
    <row r="443" ht="12.75" customHeight="1">
      <c r="A443" s="2">
        <v>2015.0</v>
      </c>
      <c r="B443" s="2">
        <v>6.0</v>
      </c>
      <c r="C443" s="2">
        <v>18.0</v>
      </c>
      <c r="D443" s="2" t="s">
        <v>244</v>
      </c>
      <c r="E443" s="2">
        <v>-74.0</v>
      </c>
      <c r="F443" s="2">
        <v>0.0</v>
      </c>
      <c r="G443" s="2">
        <f t="shared" si="1"/>
        <v>-74</v>
      </c>
      <c r="H443" s="2" t="s">
        <v>210</v>
      </c>
      <c r="L443" s="2" t="s">
        <v>11</v>
      </c>
    </row>
    <row r="444" ht="12.75" customHeight="1">
      <c r="A444" s="2">
        <v>2015.0</v>
      </c>
      <c r="B444" s="2">
        <v>6.0</v>
      </c>
      <c r="C444" s="2">
        <v>17.0</v>
      </c>
      <c r="D444" s="2" t="s">
        <v>163</v>
      </c>
      <c r="E444" s="2">
        <v>242.0</v>
      </c>
      <c r="F444" s="2">
        <v>0.0</v>
      </c>
      <c r="G444" s="2">
        <f t="shared" si="1"/>
        <v>242</v>
      </c>
      <c r="H444" s="2" t="s">
        <v>164</v>
      </c>
      <c r="L444" s="2" t="s">
        <v>11</v>
      </c>
    </row>
    <row r="445" ht="12.75" customHeight="1">
      <c r="A445" s="2">
        <v>2015.0</v>
      </c>
      <c r="B445" s="2">
        <v>6.0</v>
      </c>
      <c r="C445" s="2">
        <v>15.0</v>
      </c>
      <c r="D445" s="2" t="s">
        <v>245</v>
      </c>
      <c r="E445" s="2">
        <v>-83.0</v>
      </c>
      <c r="F445" s="2">
        <v>0.0</v>
      </c>
      <c r="G445" s="2">
        <f t="shared" si="1"/>
        <v>-83</v>
      </c>
      <c r="H445" s="2" t="s">
        <v>153</v>
      </c>
      <c r="L445" s="2" t="s">
        <v>11</v>
      </c>
    </row>
    <row r="446" ht="12.75" customHeight="1">
      <c r="A446" s="2">
        <v>2015.0</v>
      </c>
      <c r="B446" s="2">
        <v>6.0</v>
      </c>
      <c r="C446" s="2">
        <v>15.0</v>
      </c>
      <c r="D446" s="2" t="s">
        <v>234</v>
      </c>
      <c r="E446" s="2">
        <v>-657.0</v>
      </c>
      <c r="F446" s="2">
        <v>0.0</v>
      </c>
      <c r="G446" s="2">
        <f t="shared" si="1"/>
        <v>-657</v>
      </c>
      <c r="H446" s="2" t="s">
        <v>153</v>
      </c>
      <c r="L446" s="2" t="s">
        <v>11</v>
      </c>
    </row>
    <row r="447" ht="12.75" customHeight="1">
      <c r="A447" s="2">
        <v>2015.0</v>
      </c>
      <c r="B447" s="2">
        <v>6.0</v>
      </c>
      <c r="C447" s="2">
        <v>15.0</v>
      </c>
      <c r="D447" s="2" t="s">
        <v>246</v>
      </c>
      <c r="E447" s="2">
        <v>-15.0</v>
      </c>
      <c r="F447" s="2">
        <v>0.0</v>
      </c>
      <c r="G447" s="2">
        <f t="shared" si="1"/>
        <v>-15</v>
      </c>
      <c r="H447" s="2" t="s">
        <v>153</v>
      </c>
      <c r="L447" s="2" t="s">
        <v>11</v>
      </c>
    </row>
    <row r="448" ht="12.75" customHeight="1">
      <c r="A448" s="2">
        <v>2015.0</v>
      </c>
      <c r="B448" s="2">
        <v>6.0</v>
      </c>
      <c r="C448" s="2">
        <v>15.0</v>
      </c>
      <c r="D448" s="2" t="s">
        <v>247</v>
      </c>
      <c r="E448" s="2">
        <v>-30.0</v>
      </c>
      <c r="F448" s="2">
        <v>0.0</v>
      </c>
      <c r="G448" s="2">
        <f t="shared" si="1"/>
        <v>-30</v>
      </c>
      <c r="H448" s="2" t="s">
        <v>153</v>
      </c>
      <c r="L448" s="2" t="s">
        <v>11</v>
      </c>
    </row>
    <row r="449" ht="12.75" customHeight="1">
      <c r="A449" s="2">
        <v>2015.0</v>
      </c>
      <c r="B449" s="2">
        <v>6.0</v>
      </c>
      <c r="C449" s="2">
        <v>14.0</v>
      </c>
      <c r="D449" s="2" t="s">
        <v>248</v>
      </c>
      <c r="E449" s="2">
        <v>-150.0</v>
      </c>
      <c r="F449" s="2">
        <v>0.0</v>
      </c>
      <c r="G449" s="2">
        <f t="shared" si="1"/>
        <v>-150</v>
      </c>
      <c r="H449" s="2" t="s">
        <v>153</v>
      </c>
      <c r="L449" s="2" t="s">
        <v>11</v>
      </c>
    </row>
    <row r="450" ht="12.75" customHeight="1">
      <c r="A450" s="2">
        <v>2015.0</v>
      </c>
      <c r="B450" s="2">
        <v>6.0</v>
      </c>
      <c r="C450" s="2">
        <v>14.0</v>
      </c>
      <c r="D450" s="2" t="s">
        <v>248</v>
      </c>
      <c r="E450" s="2">
        <v>-119.0</v>
      </c>
      <c r="F450" s="2">
        <v>0.0</v>
      </c>
      <c r="G450" s="2">
        <f t="shared" si="1"/>
        <v>-119</v>
      </c>
      <c r="H450" s="2" t="s">
        <v>153</v>
      </c>
      <c r="L450" s="2" t="s">
        <v>11</v>
      </c>
    </row>
    <row r="451" ht="12.75" customHeight="1">
      <c r="A451" s="2">
        <v>2015.0</v>
      </c>
      <c r="B451" s="2">
        <v>6.0</v>
      </c>
      <c r="C451" s="2">
        <v>14.0</v>
      </c>
      <c r="D451" s="2" t="s">
        <v>249</v>
      </c>
      <c r="E451" s="2">
        <v>-230.0</v>
      </c>
      <c r="F451" s="2">
        <v>0.0</v>
      </c>
      <c r="G451" s="2">
        <f t="shared" si="1"/>
        <v>-230</v>
      </c>
      <c r="H451" s="2" t="s">
        <v>35</v>
      </c>
      <c r="L451" s="2" t="s">
        <v>11</v>
      </c>
    </row>
    <row r="452" ht="12.75" customHeight="1">
      <c r="A452" s="2">
        <v>2015.0</v>
      </c>
      <c r="B452" s="2">
        <v>6.0</v>
      </c>
      <c r="C452" s="2">
        <v>14.0</v>
      </c>
      <c r="D452" s="2" t="s">
        <v>250</v>
      </c>
      <c r="E452" s="2">
        <v>-99.0</v>
      </c>
      <c r="F452" s="2">
        <v>0.0</v>
      </c>
      <c r="G452" s="2">
        <f t="shared" si="1"/>
        <v>-99</v>
      </c>
      <c r="H452" s="2" t="s">
        <v>153</v>
      </c>
      <c r="L452" s="2" t="s">
        <v>11</v>
      </c>
    </row>
    <row r="453" ht="12.75" customHeight="1">
      <c r="A453" s="2">
        <v>2015.0</v>
      </c>
      <c r="B453" s="2">
        <v>6.0</v>
      </c>
      <c r="C453" s="2">
        <v>14.0</v>
      </c>
      <c r="D453" s="2" t="s">
        <v>250</v>
      </c>
      <c r="E453" s="2">
        <v>-69.0</v>
      </c>
      <c r="F453" s="2">
        <v>0.0</v>
      </c>
      <c r="G453" s="2">
        <f t="shared" si="1"/>
        <v>-69</v>
      </c>
      <c r="H453" s="2" t="s">
        <v>153</v>
      </c>
      <c r="L453" s="2" t="s">
        <v>11</v>
      </c>
    </row>
    <row r="454" ht="12.75" customHeight="1">
      <c r="A454" s="2">
        <v>2015.0</v>
      </c>
      <c r="B454" s="2">
        <v>6.0</v>
      </c>
      <c r="C454" s="2">
        <v>14.0</v>
      </c>
      <c r="D454" s="2" t="s">
        <v>250</v>
      </c>
      <c r="E454" s="2">
        <v>-550.0</v>
      </c>
      <c r="F454" s="2">
        <v>0.0</v>
      </c>
      <c r="G454" s="2">
        <f t="shared" si="1"/>
        <v>-550</v>
      </c>
      <c r="H454" s="2" t="s">
        <v>153</v>
      </c>
      <c r="L454" s="2" t="s">
        <v>11</v>
      </c>
    </row>
    <row r="455" ht="12.75" customHeight="1">
      <c r="A455" s="2">
        <v>2015.0</v>
      </c>
      <c r="B455" s="2">
        <v>6.0</v>
      </c>
      <c r="C455" s="2">
        <v>14.0</v>
      </c>
      <c r="D455" s="2" t="s">
        <v>251</v>
      </c>
      <c r="E455" s="2">
        <v>-50.0</v>
      </c>
      <c r="F455" s="2">
        <v>0.0</v>
      </c>
      <c r="G455" s="2">
        <f t="shared" si="1"/>
        <v>-50</v>
      </c>
      <c r="H455" s="2" t="s">
        <v>153</v>
      </c>
      <c r="L455" s="2" t="s">
        <v>11</v>
      </c>
    </row>
    <row r="456" ht="12.75" customHeight="1">
      <c r="A456" s="2">
        <v>2015.0</v>
      </c>
      <c r="B456" s="2">
        <v>6.0</v>
      </c>
      <c r="C456" s="2">
        <v>14.0</v>
      </c>
      <c r="D456" s="2" t="s">
        <v>252</v>
      </c>
      <c r="E456" s="2">
        <v>800.0</v>
      </c>
      <c r="F456" s="2">
        <v>0.0</v>
      </c>
      <c r="G456" s="2">
        <f t="shared" si="1"/>
        <v>800</v>
      </c>
      <c r="H456" s="2" t="s">
        <v>153</v>
      </c>
      <c r="L456" s="2" t="s">
        <v>11</v>
      </c>
    </row>
    <row r="457" ht="12.75" customHeight="1">
      <c r="A457" s="2">
        <v>2015.0</v>
      </c>
      <c r="B457" s="2">
        <v>6.0</v>
      </c>
      <c r="C457" s="2">
        <v>14.0</v>
      </c>
      <c r="D457" s="2" t="s">
        <v>253</v>
      </c>
      <c r="E457" s="2">
        <v>-2800.0</v>
      </c>
      <c r="F457" s="2">
        <v>0.0</v>
      </c>
      <c r="G457" s="2">
        <f t="shared" si="1"/>
        <v>-2800</v>
      </c>
      <c r="H457" s="2" t="s">
        <v>153</v>
      </c>
      <c r="L457" s="2" t="s">
        <v>11</v>
      </c>
    </row>
    <row r="458" ht="12.75" customHeight="1">
      <c r="A458" s="2">
        <v>2015.0</v>
      </c>
      <c r="B458" s="2">
        <v>6.0</v>
      </c>
      <c r="C458" s="2">
        <v>14.0</v>
      </c>
      <c r="D458" s="2" t="s">
        <v>254</v>
      </c>
      <c r="E458" s="2">
        <v>-200.0</v>
      </c>
      <c r="F458" s="2">
        <v>0.0</v>
      </c>
      <c r="G458" s="2">
        <f t="shared" si="1"/>
        <v>-200</v>
      </c>
      <c r="H458" s="2" t="s">
        <v>153</v>
      </c>
      <c r="L458" s="2" t="s">
        <v>11</v>
      </c>
    </row>
    <row r="459" ht="12.75" customHeight="1">
      <c r="A459" s="2">
        <v>2015.0</v>
      </c>
      <c r="B459" s="2">
        <v>6.0</v>
      </c>
      <c r="C459" s="2">
        <v>13.0</v>
      </c>
      <c r="D459" s="2" t="s">
        <v>255</v>
      </c>
      <c r="E459" s="2">
        <v>-138.0</v>
      </c>
      <c r="F459" s="2">
        <v>0.0</v>
      </c>
      <c r="G459" s="2">
        <f t="shared" si="1"/>
        <v>-138</v>
      </c>
      <c r="H459" s="2" t="s">
        <v>153</v>
      </c>
      <c r="L459" s="2" t="s">
        <v>11</v>
      </c>
    </row>
    <row r="460" ht="12.75" customHeight="1">
      <c r="A460" s="2">
        <v>2015.0</v>
      </c>
      <c r="B460" s="2">
        <v>6.0</v>
      </c>
      <c r="C460" s="2">
        <v>13.0</v>
      </c>
      <c r="D460" s="2" t="s">
        <v>256</v>
      </c>
      <c r="E460" s="2">
        <v>-51.0</v>
      </c>
      <c r="F460" s="2">
        <v>0.0</v>
      </c>
      <c r="G460" s="2">
        <f t="shared" si="1"/>
        <v>-51</v>
      </c>
      <c r="H460" s="2" t="s">
        <v>153</v>
      </c>
      <c r="L460" s="2" t="s">
        <v>11</v>
      </c>
    </row>
    <row r="461" ht="12.75" customHeight="1">
      <c r="A461" s="2">
        <v>2015.0</v>
      </c>
      <c r="B461" s="2">
        <v>6.0</v>
      </c>
      <c r="C461" s="2">
        <v>13.0</v>
      </c>
      <c r="D461" s="2" t="s">
        <v>257</v>
      </c>
      <c r="E461" s="2">
        <v>-79.0</v>
      </c>
      <c r="F461" s="2">
        <v>0.0</v>
      </c>
      <c r="G461" s="2">
        <f t="shared" si="1"/>
        <v>-79</v>
      </c>
      <c r="H461" s="2" t="s">
        <v>153</v>
      </c>
      <c r="L461" s="2" t="s">
        <v>11</v>
      </c>
    </row>
    <row r="462" ht="12.75" customHeight="1">
      <c r="A462" s="2">
        <v>2015.0</v>
      </c>
      <c r="B462" s="2">
        <v>6.0</v>
      </c>
      <c r="C462" s="2">
        <v>10.0</v>
      </c>
      <c r="D462" s="2" t="s">
        <v>9</v>
      </c>
      <c r="E462" s="2">
        <v>-7734.0</v>
      </c>
      <c r="F462" s="2">
        <v>0.0</v>
      </c>
      <c r="G462" s="2">
        <f t="shared" si="1"/>
        <v>-7734</v>
      </c>
      <c r="H462" s="2" t="s">
        <v>10</v>
      </c>
      <c r="L462" s="2" t="s">
        <v>11</v>
      </c>
    </row>
    <row r="463" ht="12.75" customHeight="1">
      <c r="A463" s="2">
        <v>2015.0</v>
      </c>
      <c r="B463" s="2">
        <v>6.0</v>
      </c>
      <c r="C463" s="2">
        <v>9.0</v>
      </c>
      <c r="D463" s="2" t="s">
        <v>258</v>
      </c>
      <c r="E463" s="2">
        <v>10265.0</v>
      </c>
      <c r="F463" s="2">
        <v>0.0</v>
      </c>
      <c r="G463" s="2">
        <f t="shared" si="1"/>
        <v>10265</v>
      </c>
      <c r="H463" s="2" t="s">
        <v>18</v>
      </c>
      <c r="L463" s="2" t="s">
        <v>11</v>
      </c>
    </row>
    <row r="464" ht="12.75" customHeight="1">
      <c r="A464" s="2">
        <v>2015.0</v>
      </c>
      <c r="B464" s="2">
        <v>6.0</v>
      </c>
      <c r="C464" s="2">
        <v>8.0</v>
      </c>
      <c r="D464" s="2" t="s">
        <v>259</v>
      </c>
      <c r="E464" s="2">
        <v>-2260.0</v>
      </c>
      <c r="F464" s="2">
        <v>0.0</v>
      </c>
      <c r="G464" s="2">
        <f t="shared" si="1"/>
        <v>-2260</v>
      </c>
      <c r="H464" s="2" t="s">
        <v>47</v>
      </c>
      <c r="L464" s="2" t="s">
        <v>11</v>
      </c>
    </row>
    <row r="465" ht="12.75" customHeight="1">
      <c r="A465" s="2">
        <v>2015.0</v>
      </c>
      <c r="B465" s="2">
        <v>6.0</v>
      </c>
      <c r="C465" s="2">
        <v>8.0</v>
      </c>
      <c r="D465" s="2" t="s">
        <v>260</v>
      </c>
      <c r="E465" s="2">
        <v>-214.57</v>
      </c>
      <c r="F465" s="2">
        <v>0.0</v>
      </c>
      <c r="G465" s="2">
        <f t="shared" si="1"/>
        <v>-214.57</v>
      </c>
      <c r="H465" s="2" t="s">
        <v>153</v>
      </c>
      <c r="L465" s="2" t="s">
        <v>11</v>
      </c>
    </row>
    <row r="466" ht="12.75" customHeight="1">
      <c r="A466" s="2">
        <v>2015.0</v>
      </c>
      <c r="B466" s="2">
        <v>6.0</v>
      </c>
      <c r="C466" s="2">
        <v>7.0</v>
      </c>
      <c r="D466" s="2" t="s">
        <v>261</v>
      </c>
      <c r="E466" s="2">
        <v>1.0</v>
      </c>
      <c r="F466" s="2">
        <v>0.0</v>
      </c>
      <c r="G466" s="2">
        <f t="shared" si="1"/>
        <v>1</v>
      </c>
      <c r="H466" s="2" t="s">
        <v>153</v>
      </c>
      <c r="L466" s="2" t="s">
        <v>11</v>
      </c>
    </row>
    <row r="467" ht="12.75" customHeight="1">
      <c r="A467" s="2">
        <v>2015.0</v>
      </c>
      <c r="B467" s="2">
        <v>6.0</v>
      </c>
      <c r="C467" s="2">
        <v>7.0</v>
      </c>
      <c r="D467" s="2" t="s">
        <v>262</v>
      </c>
      <c r="E467" s="2">
        <v>-35.0</v>
      </c>
      <c r="F467" s="2">
        <v>0.0</v>
      </c>
      <c r="G467" s="2">
        <f t="shared" si="1"/>
        <v>-35</v>
      </c>
      <c r="H467" s="2" t="s">
        <v>153</v>
      </c>
      <c r="L467" s="2" t="s">
        <v>11</v>
      </c>
    </row>
    <row r="468" ht="12.75" customHeight="1">
      <c r="A468" s="2">
        <v>2015.0</v>
      </c>
      <c r="B468" s="2">
        <v>6.0</v>
      </c>
      <c r="C468" s="2">
        <v>7.0</v>
      </c>
      <c r="D468" s="2" t="s">
        <v>260</v>
      </c>
      <c r="E468" s="2">
        <v>-2248.58</v>
      </c>
      <c r="F468" s="2">
        <v>0.0</v>
      </c>
      <c r="G468" s="2">
        <f t="shared" si="1"/>
        <v>-2248.58</v>
      </c>
      <c r="H468" s="2" t="s">
        <v>153</v>
      </c>
      <c r="L468" s="2" t="s">
        <v>11</v>
      </c>
    </row>
    <row r="469" ht="12.75" customHeight="1">
      <c r="A469" s="2">
        <v>2015.0</v>
      </c>
      <c r="B469" s="2">
        <v>6.0</v>
      </c>
      <c r="C469" s="2">
        <v>7.0</v>
      </c>
      <c r="D469" s="2" t="s">
        <v>263</v>
      </c>
      <c r="E469" s="2">
        <v>-105.29</v>
      </c>
      <c r="F469" s="2">
        <v>0.0</v>
      </c>
      <c r="G469" s="2">
        <f t="shared" si="1"/>
        <v>-105.29</v>
      </c>
      <c r="H469" s="2" t="s">
        <v>153</v>
      </c>
      <c r="L469" s="2" t="s">
        <v>11</v>
      </c>
    </row>
    <row r="470" ht="12.75" customHeight="1">
      <c r="A470" s="2">
        <v>2015.0</v>
      </c>
      <c r="B470" s="2">
        <v>6.0</v>
      </c>
      <c r="C470" s="2">
        <v>7.0</v>
      </c>
      <c r="D470" s="2" t="s">
        <v>264</v>
      </c>
      <c r="E470" s="2">
        <v>-35.01</v>
      </c>
      <c r="F470" s="2">
        <v>0.0</v>
      </c>
      <c r="G470" s="2">
        <f t="shared" si="1"/>
        <v>-35.01</v>
      </c>
      <c r="H470" s="2" t="s">
        <v>153</v>
      </c>
      <c r="L470" s="2" t="s">
        <v>11</v>
      </c>
    </row>
    <row r="471" ht="12.75" customHeight="1">
      <c r="A471" s="2">
        <v>2015.0</v>
      </c>
      <c r="B471" s="2">
        <v>6.0</v>
      </c>
      <c r="C471" s="2">
        <v>7.0</v>
      </c>
      <c r="D471" s="2" t="s">
        <v>265</v>
      </c>
      <c r="E471" s="2">
        <v>-575.0</v>
      </c>
      <c r="F471" s="2">
        <v>0.0</v>
      </c>
      <c r="G471" s="2">
        <f t="shared" si="1"/>
        <v>-575</v>
      </c>
      <c r="H471" s="2" t="s">
        <v>153</v>
      </c>
      <c r="L471" s="2" t="s">
        <v>11</v>
      </c>
    </row>
    <row r="472" ht="12.75" customHeight="1">
      <c r="A472" s="2">
        <v>2015.0</v>
      </c>
      <c r="B472" s="2">
        <v>6.0</v>
      </c>
      <c r="C472" s="2">
        <v>7.0</v>
      </c>
      <c r="D472" s="2" t="s">
        <v>266</v>
      </c>
      <c r="E472" s="2">
        <v>-136.55</v>
      </c>
      <c r="F472" s="2">
        <v>0.0</v>
      </c>
      <c r="G472" s="2">
        <f t="shared" si="1"/>
        <v>-136.55</v>
      </c>
      <c r="H472" s="2" t="s">
        <v>153</v>
      </c>
      <c r="L472" s="2" t="s">
        <v>11</v>
      </c>
    </row>
    <row r="473" ht="12.75" customHeight="1">
      <c r="A473" s="2">
        <v>2015.0</v>
      </c>
      <c r="B473" s="2">
        <v>6.0</v>
      </c>
      <c r="C473" s="2">
        <v>7.0</v>
      </c>
      <c r="D473" s="2" t="s">
        <v>267</v>
      </c>
      <c r="E473" s="2">
        <v>-330.33</v>
      </c>
      <c r="F473" s="2">
        <v>0.0</v>
      </c>
      <c r="G473" s="2">
        <f t="shared" si="1"/>
        <v>-330.33</v>
      </c>
      <c r="H473" s="2" t="s">
        <v>153</v>
      </c>
      <c r="L473" s="2" t="s">
        <v>11</v>
      </c>
    </row>
    <row r="474" ht="12.75" customHeight="1">
      <c r="A474" s="2">
        <v>2015.0</v>
      </c>
      <c r="B474" s="2">
        <v>6.0</v>
      </c>
      <c r="C474" s="2">
        <v>7.0</v>
      </c>
      <c r="D474" s="2" t="s">
        <v>268</v>
      </c>
      <c r="E474" s="2">
        <v>-74.73</v>
      </c>
      <c r="F474" s="2">
        <v>0.0</v>
      </c>
      <c r="G474" s="2">
        <f t="shared" si="1"/>
        <v>-74.73</v>
      </c>
      <c r="H474" s="2" t="s">
        <v>153</v>
      </c>
      <c r="L474" s="2" t="s">
        <v>11</v>
      </c>
    </row>
    <row r="475" ht="12.75" customHeight="1">
      <c r="A475" s="2">
        <v>2015.0</v>
      </c>
      <c r="B475" s="2">
        <v>6.0</v>
      </c>
      <c r="C475" s="2">
        <v>6.0</v>
      </c>
      <c r="D475" s="2" t="s">
        <v>269</v>
      </c>
      <c r="E475" s="2">
        <v>-70.03</v>
      </c>
      <c r="F475" s="2">
        <v>0.0</v>
      </c>
      <c r="G475" s="2">
        <f t="shared" si="1"/>
        <v>-70.03</v>
      </c>
      <c r="H475" s="2" t="s">
        <v>153</v>
      </c>
      <c r="L475" s="2" t="s">
        <v>11</v>
      </c>
    </row>
    <row r="476" ht="12.75" customHeight="1">
      <c r="A476" s="2">
        <v>2015.0</v>
      </c>
      <c r="B476" s="2">
        <v>6.0</v>
      </c>
      <c r="C476" s="2">
        <v>6.0</v>
      </c>
      <c r="D476" s="2" t="s">
        <v>269</v>
      </c>
      <c r="E476" s="2">
        <v>-171.68</v>
      </c>
      <c r="F476" s="2">
        <v>0.0</v>
      </c>
      <c r="G476" s="2">
        <f t="shared" si="1"/>
        <v>-171.68</v>
      </c>
      <c r="H476" s="2" t="s">
        <v>153</v>
      </c>
      <c r="L476" s="2" t="s">
        <v>11</v>
      </c>
    </row>
    <row r="477" ht="12.75" customHeight="1">
      <c r="A477" s="2">
        <v>2015.0</v>
      </c>
      <c r="B477" s="2">
        <v>6.0</v>
      </c>
      <c r="C477" s="2">
        <v>6.0</v>
      </c>
      <c r="D477" s="2" t="s">
        <v>269</v>
      </c>
      <c r="E477" s="2">
        <v>-13.76</v>
      </c>
      <c r="F477" s="2">
        <v>0.0</v>
      </c>
      <c r="G477" s="2">
        <f t="shared" si="1"/>
        <v>-13.76</v>
      </c>
      <c r="H477" s="2" t="s">
        <v>153</v>
      </c>
      <c r="L477" s="2" t="s">
        <v>11</v>
      </c>
    </row>
    <row r="478" ht="12.75" customHeight="1">
      <c r="A478" s="2">
        <v>2015.0</v>
      </c>
      <c r="B478" s="2">
        <v>6.0</v>
      </c>
      <c r="C478" s="2">
        <v>5.0</v>
      </c>
      <c r="D478" s="2" t="s">
        <v>270</v>
      </c>
      <c r="E478" s="2">
        <v>-394.47</v>
      </c>
      <c r="F478" s="2">
        <v>0.0</v>
      </c>
      <c r="G478" s="2">
        <f t="shared" si="1"/>
        <v>-394.47</v>
      </c>
      <c r="H478" s="2" t="s">
        <v>153</v>
      </c>
      <c r="L478" s="2" t="s">
        <v>11</v>
      </c>
    </row>
    <row r="479" ht="12.75" customHeight="1">
      <c r="A479" s="2">
        <v>2015.0</v>
      </c>
      <c r="B479" s="2">
        <v>6.0</v>
      </c>
      <c r="C479" s="2">
        <v>5.0</v>
      </c>
      <c r="D479" s="2" t="s">
        <v>271</v>
      </c>
      <c r="E479" s="2">
        <v>-408.49</v>
      </c>
      <c r="F479" s="2">
        <v>0.0</v>
      </c>
      <c r="G479" s="2">
        <f t="shared" si="1"/>
        <v>-408.49</v>
      </c>
      <c r="H479" s="2" t="s">
        <v>153</v>
      </c>
      <c r="L479" s="2" t="s">
        <v>11</v>
      </c>
    </row>
    <row r="480" ht="12.75" customHeight="1">
      <c r="A480" s="2">
        <v>2015.0</v>
      </c>
      <c r="B480" s="2">
        <v>6.0</v>
      </c>
      <c r="C480" s="2">
        <v>5.0</v>
      </c>
      <c r="D480" s="2" t="s">
        <v>272</v>
      </c>
      <c r="E480" s="2">
        <v>-700.0</v>
      </c>
      <c r="F480" s="2">
        <v>0.0</v>
      </c>
      <c r="G480" s="2">
        <f t="shared" si="1"/>
        <v>-700</v>
      </c>
      <c r="H480" s="2" t="s">
        <v>153</v>
      </c>
      <c r="L480" s="2" t="s">
        <v>11</v>
      </c>
    </row>
    <row r="481" ht="12.75" customHeight="1">
      <c r="A481" s="2">
        <v>2015.0</v>
      </c>
      <c r="B481" s="2">
        <v>6.0</v>
      </c>
      <c r="C481" s="2">
        <v>5.0</v>
      </c>
      <c r="D481" s="2" t="s">
        <v>273</v>
      </c>
      <c r="E481" s="2">
        <v>-82.39</v>
      </c>
      <c r="F481" s="2">
        <v>0.0</v>
      </c>
      <c r="G481" s="2">
        <f t="shared" si="1"/>
        <v>-82.39</v>
      </c>
      <c r="H481" s="2" t="s">
        <v>153</v>
      </c>
      <c r="L481" s="2" t="s">
        <v>11</v>
      </c>
    </row>
    <row r="482" ht="12.75" customHeight="1">
      <c r="A482" s="2">
        <v>2015.0</v>
      </c>
      <c r="B482" s="2">
        <v>6.0</v>
      </c>
      <c r="C482" s="2">
        <v>5.0</v>
      </c>
      <c r="D482" s="2" t="s">
        <v>274</v>
      </c>
      <c r="E482" s="2">
        <v>-166.0</v>
      </c>
      <c r="F482" s="2">
        <v>0.0</v>
      </c>
      <c r="G482" s="2">
        <f t="shared" si="1"/>
        <v>-166</v>
      </c>
      <c r="H482" s="2" t="s">
        <v>38</v>
      </c>
      <c r="L482" s="2" t="s">
        <v>11</v>
      </c>
    </row>
    <row r="483" ht="12.75" customHeight="1">
      <c r="A483" s="2">
        <v>2015.0</v>
      </c>
      <c r="B483" s="2">
        <v>6.0</v>
      </c>
      <c r="C483" s="2">
        <v>4.0</v>
      </c>
      <c r="D483" s="2" t="s">
        <v>275</v>
      </c>
      <c r="E483" s="2">
        <v>-95.0</v>
      </c>
      <c r="F483" s="2">
        <v>0.0</v>
      </c>
      <c r="G483" s="2">
        <f t="shared" si="1"/>
        <v>-95</v>
      </c>
      <c r="H483" s="2" t="s">
        <v>47</v>
      </c>
      <c r="L483" s="2" t="s">
        <v>11</v>
      </c>
    </row>
    <row r="484" ht="12.75" customHeight="1">
      <c r="A484" s="2">
        <v>2015.0</v>
      </c>
      <c r="B484" s="2">
        <v>6.0</v>
      </c>
      <c r="C484" s="2">
        <v>4.0</v>
      </c>
      <c r="D484" s="2" t="s">
        <v>276</v>
      </c>
      <c r="E484" s="2">
        <v>-59.9</v>
      </c>
      <c r="F484" s="2">
        <v>0.0</v>
      </c>
      <c r="G484" s="2">
        <f t="shared" si="1"/>
        <v>-59.9</v>
      </c>
      <c r="H484" s="2" t="s">
        <v>31</v>
      </c>
      <c r="L484" s="2" t="s">
        <v>11</v>
      </c>
    </row>
    <row r="485" ht="12.75" customHeight="1">
      <c r="A485" s="2">
        <v>2015.0</v>
      </c>
      <c r="B485" s="2">
        <v>6.0</v>
      </c>
      <c r="C485" s="2">
        <v>4.0</v>
      </c>
      <c r="D485" s="2" t="s">
        <v>274</v>
      </c>
      <c r="E485" s="2">
        <v>-83.0</v>
      </c>
      <c r="F485" s="2">
        <v>0.0</v>
      </c>
      <c r="G485" s="2">
        <f t="shared" si="1"/>
        <v>-83</v>
      </c>
      <c r="H485" s="2" t="s">
        <v>38</v>
      </c>
      <c r="L485" s="2" t="s">
        <v>11</v>
      </c>
    </row>
    <row r="486" ht="12.75" customHeight="1">
      <c r="A486" s="2">
        <v>2015.0</v>
      </c>
      <c r="B486" s="2">
        <v>6.0</v>
      </c>
      <c r="C486" s="2">
        <v>3.0</v>
      </c>
      <c r="D486" s="2" t="s">
        <v>277</v>
      </c>
      <c r="E486" s="2">
        <v>-95.0</v>
      </c>
      <c r="F486" s="2">
        <v>0.0</v>
      </c>
      <c r="G486" s="2">
        <f t="shared" si="1"/>
        <v>-95</v>
      </c>
      <c r="H486" s="2" t="s">
        <v>38</v>
      </c>
      <c r="L486" s="2" t="s">
        <v>11</v>
      </c>
    </row>
    <row r="487" ht="12.75" customHeight="1">
      <c r="A487" s="2">
        <v>2015.0</v>
      </c>
      <c r="B487" s="2">
        <v>6.0</v>
      </c>
      <c r="C487" s="2">
        <v>3.0</v>
      </c>
      <c r="D487" s="2" t="s">
        <v>275</v>
      </c>
      <c r="E487" s="2">
        <v>-95.0</v>
      </c>
      <c r="F487" s="2">
        <v>0.0</v>
      </c>
      <c r="G487" s="2">
        <f t="shared" si="1"/>
        <v>-95</v>
      </c>
      <c r="H487" s="2" t="s">
        <v>47</v>
      </c>
      <c r="L487" s="2" t="s">
        <v>11</v>
      </c>
    </row>
    <row r="488" ht="12.75" customHeight="1">
      <c r="A488" s="2">
        <v>2015.0</v>
      </c>
      <c r="B488" s="2">
        <v>6.0</v>
      </c>
      <c r="C488" s="2">
        <v>3.0</v>
      </c>
      <c r="D488" s="2" t="s">
        <v>278</v>
      </c>
      <c r="E488" s="2">
        <v>-247.0</v>
      </c>
      <c r="F488" s="2">
        <v>0.0</v>
      </c>
      <c r="G488" s="2">
        <f t="shared" si="1"/>
        <v>-247</v>
      </c>
      <c r="H488" s="2" t="s">
        <v>31</v>
      </c>
      <c r="L488" s="2" t="s">
        <v>11</v>
      </c>
    </row>
    <row r="489" ht="12.75" customHeight="1">
      <c r="A489" s="2">
        <v>2015.0</v>
      </c>
      <c r="B489" s="2">
        <v>6.0</v>
      </c>
      <c r="C489" s="2">
        <v>2.0</v>
      </c>
      <c r="D489" s="2" t="s">
        <v>279</v>
      </c>
      <c r="E489" s="2">
        <v>-75.0</v>
      </c>
      <c r="F489" s="2">
        <v>0.0</v>
      </c>
      <c r="G489" s="2">
        <f t="shared" si="1"/>
        <v>-75</v>
      </c>
      <c r="H489" s="2" t="s">
        <v>47</v>
      </c>
      <c r="L489" s="2" t="s">
        <v>11</v>
      </c>
    </row>
    <row r="490" ht="12.75" customHeight="1">
      <c r="A490" s="2">
        <v>2015.0</v>
      </c>
      <c r="B490" s="2">
        <v>6.0</v>
      </c>
      <c r="C490" s="2">
        <v>2.0</v>
      </c>
      <c r="D490" s="2" t="s">
        <v>280</v>
      </c>
      <c r="E490" s="2">
        <v>-80.0</v>
      </c>
      <c r="F490" s="2">
        <v>0.0</v>
      </c>
      <c r="G490" s="2">
        <f t="shared" si="1"/>
        <v>-80</v>
      </c>
      <c r="H490" s="2" t="s">
        <v>38</v>
      </c>
      <c r="L490" s="2" t="s">
        <v>11</v>
      </c>
    </row>
    <row r="491" ht="12.75" customHeight="1">
      <c r="A491" s="2">
        <v>2015.0</v>
      </c>
      <c r="B491" s="2">
        <v>6.0</v>
      </c>
      <c r="C491" s="2">
        <v>2.0</v>
      </c>
      <c r="D491" s="2" t="s">
        <v>281</v>
      </c>
      <c r="E491" s="2">
        <v>-105.0</v>
      </c>
      <c r="F491" s="2">
        <v>0.0</v>
      </c>
      <c r="G491" s="2">
        <f t="shared" si="1"/>
        <v>-105</v>
      </c>
      <c r="H491" s="2" t="s">
        <v>47</v>
      </c>
      <c r="L491" s="2" t="s">
        <v>11</v>
      </c>
    </row>
    <row r="492" ht="12.75" customHeight="1">
      <c r="A492" s="2">
        <v>2015.0</v>
      </c>
      <c r="B492" s="2">
        <v>6.0</v>
      </c>
      <c r="C492" s="2">
        <v>1.0</v>
      </c>
      <c r="D492" s="2" t="s">
        <v>282</v>
      </c>
      <c r="E492" s="2">
        <v>-100.0</v>
      </c>
      <c r="F492" s="2">
        <v>0.0</v>
      </c>
      <c r="G492" s="2">
        <f t="shared" si="1"/>
        <v>-100</v>
      </c>
      <c r="H492" s="2" t="s">
        <v>47</v>
      </c>
      <c r="L492" s="2" t="s">
        <v>11</v>
      </c>
    </row>
    <row r="493" ht="12.75" customHeight="1">
      <c r="A493" s="2">
        <v>2015.0</v>
      </c>
      <c r="B493" s="2">
        <v>6.0</v>
      </c>
      <c r="C493" s="2">
        <v>1.0</v>
      </c>
      <c r="D493" s="2" t="s">
        <v>157</v>
      </c>
      <c r="E493" s="2">
        <v>-130.0</v>
      </c>
      <c r="F493" s="2">
        <v>0.0</v>
      </c>
      <c r="G493" s="2">
        <f t="shared" si="1"/>
        <v>-130</v>
      </c>
      <c r="H493" s="2" t="s">
        <v>17</v>
      </c>
      <c r="L493" s="2" t="s">
        <v>11</v>
      </c>
    </row>
    <row r="494" ht="12.75" customHeight="1">
      <c r="A494" s="2">
        <v>2015.0</v>
      </c>
      <c r="B494" s="2">
        <v>6.0</v>
      </c>
      <c r="C494" s="2">
        <v>1.0</v>
      </c>
      <c r="D494" s="2" t="s">
        <v>73</v>
      </c>
      <c r="E494" s="2">
        <v>-8980.0</v>
      </c>
      <c r="F494" s="2">
        <v>0.0</v>
      </c>
      <c r="G494" s="2">
        <f t="shared" si="1"/>
        <v>-8980</v>
      </c>
      <c r="H494" s="2" t="s">
        <v>10</v>
      </c>
      <c r="L494" s="2" t="s">
        <v>11</v>
      </c>
    </row>
    <row r="495" ht="12.75" customHeight="1">
      <c r="A495" s="2">
        <v>2015.0</v>
      </c>
      <c r="B495" s="2">
        <v>6.0</v>
      </c>
      <c r="C495" s="2">
        <v>1.0</v>
      </c>
      <c r="D495" s="2" t="s">
        <v>283</v>
      </c>
      <c r="E495" s="2">
        <v>-100.0</v>
      </c>
      <c r="F495" s="2">
        <v>0.0</v>
      </c>
      <c r="G495" s="2">
        <f t="shared" si="1"/>
        <v>-100</v>
      </c>
      <c r="H495" s="2" t="s">
        <v>38</v>
      </c>
      <c r="L495" s="2" t="s">
        <v>11</v>
      </c>
    </row>
    <row r="496" ht="12.75" customHeight="1">
      <c r="A496" s="2">
        <v>2015.0</v>
      </c>
      <c r="B496" s="2">
        <v>5.0</v>
      </c>
      <c r="C496" s="2">
        <v>30.0</v>
      </c>
      <c r="D496" s="2" t="s">
        <v>284</v>
      </c>
      <c r="E496" s="2">
        <v>-165.0</v>
      </c>
      <c r="F496" s="2">
        <v>0.0</v>
      </c>
      <c r="G496" s="2">
        <f t="shared" si="1"/>
        <v>-165</v>
      </c>
      <c r="H496" s="2" t="s">
        <v>42</v>
      </c>
      <c r="L496" s="2" t="s">
        <v>11</v>
      </c>
    </row>
    <row r="497" ht="12.75" customHeight="1">
      <c r="A497" s="2">
        <v>2015.0</v>
      </c>
      <c r="B497" s="2">
        <v>5.0</v>
      </c>
      <c r="C497" s="2">
        <v>30.0</v>
      </c>
      <c r="D497" s="2" t="s">
        <v>285</v>
      </c>
      <c r="E497" s="2">
        <v>-110.0</v>
      </c>
      <c r="F497" s="2">
        <v>0.0</v>
      </c>
      <c r="G497" s="2">
        <f t="shared" si="1"/>
        <v>-110</v>
      </c>
      <c r="H497" s="2" t="s">
        <v>47</v>
      </c>
      <c r="L497" s="2" t="s">
        <v>11</v>
      </c>
    </row>
    <row r="498" ht="12.75" customHeight="1">
      <c r="A498" s="2">
        <v>2015.0</v>
      </c>
      <c r="B498" s="2">
        <v>5.0</v>
      </c>
      <c r="C498" s="2">
        <v>30.0</v>
      </c>
      <c r="D498" s="2">
        <v>4.7516877E7</v>
      </c>
      <c r="E498" s="2">
        <v>1000.0</v>
      </c>
      <c r="F498" s="2">
        <v>0.0</v>
      </c>
      <c r="G498" s="2">
        <f t="shared" si="1"/>
        <v>1000</v>
      </c>
      <c r="H498" s="2" t="s">
        <v>18</v>
      </c>
      <c r="L498" s="2" t="s">
        <v>11</v>
      </c>
    </row>
    <row r="499" ht="12.75" customHeight="1">
      <c r="A499" s="2">
        <v>2015.0</v>
      </c>
      <c r="B499" s="2">
        <v>5.0</v>
      </c>
      <c r="C499" s="2">
        <v>29.0</v>
      </c>
      <c r="D499" s="2" t="s">
        <v>279</v>
      </c>
      <c r="E499" s="2">
        <v>-75.0</v>
      </c>
      <c r="F499" s="2">
        <v>0.0</v>
      </c>
      <c r="G499" s="2">
        <f t="shared" si="1"/>
        <v>-75</v>
      </c>
      <c r="H499" s="2" t="s">
        <v>47</v>
      </c>
      <c r="L499" s="2" t="s">
        <v>11</v>
      </c>
    </row>
    <row r="500" ht="12.75" customHeight="1">
      <c r="A500" s="2">
        <v>2015.0</v>
      </c>
      <c r="B500" s="2">
        <v>5.0</v>
      </c>
      <c r="C500" s="2">
        <v>29.0</v>
      </c>
      <c r="D500" s="2" t="s">
        <v>12</v>
      </c>
      <c r="E500" s="2">
        <v>-14383.94</v>
      </c>
      <c r="F500" s="2">
        <v>0.0</v>
      </c>
      <c r="G500" s="2">
        <f t="shared" si="1"/>
        <v>-14383.94</v>
      </c>
      <c r="H500" s="2" t="s">
        <v>227</v>
      </c>
      <c r="L500" s="2" t="s">
        <v>228</v>
      </c>
    </row>
    <row r="501" ht="12.75" customHeight="1">
      <c r="A501" s="2">
        <v>2015.0</v>
      </c>
      <c r="B501" s="2">
        <v>5.0</v>
      </c>
      <c r="C501" s="2">
        <v>29.0</v>
      </c>
      <c r="D501" s="2" t="s">
        <v>14</v>
      </c>
      <c r="E501" s="2">
        <v>-4007.0</v>
      </c>
      <c r="F501" s="2">
        <v>0.0</v>
      </c>
      <c r="G501" s="2">
        <f t="shared" si="1"/>
        <v>-4007</v>
      </c>
      <c r="H501" s="2" t="s">
        <v>10</v>
      </c>
      <c r="L501" s="2" t="s">
        <v>11</v>
      </c>
    </row>
    <row r="502" ht="12.75" customHeight="1">
      <c r="A502" s="2">
        <v>2015.0</v>
      </c>
      <c r="B502" s="2">
        <v>5.0</v>
      </c>
      <c r="C502" s="2">
        <v>29.0</v>
      </c>
      <c r="D502" s="2" t="s">
        <v>15</v>
      </c>
      <c r="E502" s="2">
        <v>-623.4</v>
      </c>
      <c r="F502" s="2">
        <v>0.0</v>
      </c>
      <c r="G502" s="2">
        <f t="shared" si="1"/>
        <v>-623.4</v>
      </c>
      <c r="H502" s="2" t="s">
        <v>10</v>
      </c>
      <c r="L502" s="2" t="s">
        <v>11</v>
      </c>
    </row>
    <row r="503" ht="12.75" customHeight="1">
      <c r="A503" s="2">
        <v>2015.0</v>
      </c>
      <c r="B503" s="2">
        <v>5.0</v>
      </c>
      <c r="C503" s="2">
        <v>29.0</v>
      </c>
      <c r="D503" s="2" t="s">
        <v>75</v>
      </c>
      <c r="E503" s="2">
        <v>-3064.0</v>
      </c>
      <c r="F503" s="2">
        <v>0.0</v>
      </c>
      <c r="G503" s="2">
        <f t="shared" si="1"/>
        <v>-3064</v>
      </c>
      <c r="H503" s="2" t="s">
        <v>76</v>
      </c>
      <c r="L503" s="2" t="s">
        <v>11</v>
      </c>
    </row>
    <row r="504" ht="12.75" customHeight="1">
      <c r="A504" s="2">
        <v>2015.0</v>
      </c>
      <c r="B504" s="2">
        <v>5.0</v>
      </c>
      <c r="C504" s="2">
        <v>28.0</v>
      </c>
      <c r="D504" s="2" t="s">
        <v>94</v>
      </c>
      <c r="E504" s="2">
        <v>223.0</v>
      </c>
      <c r="F504" s="2">
        <v>0.0</v>
      </c>
      <c r="G504" s="2">
        <f t="shared" si="1"/>
        <v>223</v>
      </c>
      <c r="H504" s="2" t="s">
        <v>164</v>
      </c>
      <c r="L504" s="2" t="s">
        <v>11</v>
      </c>
    </row>
    <row r="505" ht="12.75" customHeight="1">
      <c r="A505" s="2">
        <v>2015.0</v>
      </c>
      <c r="B505" s="2">
        <v>5.0</v>
      </c>
      <c r="C505" s="2">
        <v>28.0</v>
      </c>
      <c r="D505" s="2" t="s">
        <v>25</v>
      </c>
      <c r="E505" s="2">
        <v>-100.0</v>
      </c>
      <c r="F505" s="2">
        <v>0.0</v>
      </c>
      <c r="G505" s="2">
        <f t="shared" si="1"/>
        <v>-100</v>
      </c>
      <c r="H505" s="2" t="s">
        <v>26</v>
      </c>
      <c r="L505" s="2" t="s">
        <v>11</v>
      </c>
    </row>
    <row r="506" ht="12.75" customHeight="1">
      <c r="A506" s="2">
        <v>2015.0</v>
      </c>
      <c r="B506" s="2">
        <v>5.0</v>
      </c>
      <c r="C506" s="2">
        <v>28.0</v>
      </c>
      <c r="D506" s="2" t="s">
        <v>279</v>
      </c>
      <c r="E506" s="2">
        <v>-75.0</v>
      </c>
      <c r="F506" s="2">
        <v>0.0</v>
      </c>
      <c r="G506" s="2">
        <f t="shared" si="1"/>
        <v>-75</v>
      </c>
      <c r="H506" s="2" t="s">
        <v>47</v>
      </c>
      <c r="L506" s="2" t="s">
        <v>11</v>
      </c>
    </row>
    <row r="507" ht="12.75" customHeight="1">
      <c r="A507" s="2">
        <v>2015.0</v>
      </c>
      <c r="B507" s="2">
        <v>5.0</v>
      </c>
      <c r="C507" s="2">
        <v>28.0</v>
      </c>
      <c r="D507" s="2" t="s">
        <v>286</v>
      </c>
      <c r="E507" s="2">
        <v>-242.0</v>
      </c>
      <c r="F507" s="2">
        <v>0.0</v>
      </c>
      <c r="G507" s="2">
        <f t="shared" si="1"/>
        <v>-242</v>
      </c>
      <c r="H507" s="2" t="s">
        <v>164</v>
      </c>
      <c r="L507" s="2" t="s">
        <v>11</v>
      </c>
    </row>
    <row r="508" ht="12.75" customHeight="1">
      <c r="A508" s="2">
        <v>2015.0</v>
      </c>
      <c r="B508" s="2">
        <v>5.0</v>
      </c>
      <c r="C508" s="2">
        <v>28.0</v>
      </c>
      <c r="D508" s="2" t="s">
        <v>19</v>
      </c>
      <c r="E508" s="2">
        <v>-320.0</v>
      </c>
      <c r="F508" s="2">
        <v>0.0</v>
      </c>
      <c r="G508" s="2">
        <f t="shared" si="1"/>
        <v>-320</v>
      </c>
      <c r="H508" s="2" t="s">
        <v>20</v>
      </c>
      <c r="L508" s="2" t="s">
        <v>11</v>
      </c>
    </row>
    <row r="509" ht="12.75" customHeight="1">
      <c r="A509" s="2">
        <v>2015.0</v>
      </c>
      <c r="B509" s="2">
        <v>5.0</v>
      </c>
      <c r="C509" s="2">
        <v>28.0</v>
      </c>
      <c r="D509" s="2" t="s">
        <v>287</v>
      </c>
      <c r="E509" s="2">
        <v>-2423.0</v>
      </c>
      <c r="F509" s="2">
        <v>0.0</v>
      </c>
      <c r="G509" s="2">
        <f t="shared" si="1"/>
        <v>-2423</v>
      </c>
      <c r="H509" s="2" t="s">
        <v>13</v>
      </c>
      <c r="L509" s="2" t="s">
        <v>11</v>
      </c>
    </row>
    <row r="510" ht="12.75" customHeight="1">
      <c r="A510" s="2">
        <v>2015.0</v>
      </c>
      <c r="B510" s="2">
        <v>5.0</v>
      </c>
      <c r="C510" s="2">
        <v>28.0</v>
      </c>
      <c r="D510" s="2" t="s">
        <v>23</v>
      </c>
      <c r="E510" s="2">
        <v>-303.0</v>
      </c>
      <c r="F510" s="2">
        <v>0.0</v>
      </c>
      <c r="G510" s="2">
        <f t="shared" si="1"/>
        <v>-303</v>
      </c>
      <c r="H510" s="2" t="s">
        <v>24</v>
      </c>
      <c r="L510" s="2" t="s">
        <v>11</v>
      </c>
    </row>
    <row r="511" ht="12.75" customHeight="1">
      <c r="A511" s="2">
        <v>2015.0</v>
      </c>
      <c r="B511" s="2">
        <v>5.0</v>
      </c>
      <c r="C511" s="2">
        <v>27.0</v>
      </c>
      <c r="D511" s="2" t="s">
        <v>279</v>
      </c>
      <c r="E511" s="2">
        <v>-75.0</v>
      </c>
      <c r="F511" s="2">
        <v>0.0</v>
      </c>
      <c r="G511" s="2">
        <f t="shared" si="1"/>
        <v>-75</v>
      </c>
      <c r="H511" s="2" t="s">
        <v>47</v>
      </c>
      <c r="L511" s="2" t="s">
        <v>11</v>
      </c>
    </row>
    <row r="512" ht="12.75" customHeight="1">
      <c r="A512" s="2">
        <v>2015.0</v>
      </c>
      <c r="B512" s="2">
        <v>5.0</v>
      </c>
      <c r="C512" s="2">
        <v>27.0</v>
      </c>
      <c r="D512" s="2" t="s">
        <v>288</v>
      </c>
      <c r="E512" s="2">
        <v>-82.0</v>
      </c>
      <c r="F512" s="2">
        <v>0.0</v>
      </c>
      <c r="G512" s="2">
        <f t="shared" si="1"/>
        <v>-82</v>
      </c>
      <c r="H512" s="2" t="s">
        <v>38</v>
      </c>
      <c r="L512" s="2" t="s">
        <v>11</v>
      </c>
    </row>
    <row r="513" ht="12.75" customHeight="1">
      <c r="A513" s="2">
        <v>2015.0</v>
      </c>
      <c r="B513" s="2">
        <v>5.0</v>
      </c>
      <c r="C513" s="2">
        <v>26.0</v>
      </c>
      <c r="D513" s="2" t="s">
        <v>279</v>
      </c>
      <c r="E513" s="2">
        <v>-75.0</v>
      </c>
      <c r="F513" s="2">
        <v>0.0</v>
      </c>
      <c r="G513" s="2">
        <f t="shared" si="1"/>
        <v>-75</v>
      </c>
      <c r="H513" s="2" t="s">
        <v>47</v>
      </c>
      <c r="L513" s="2" t="s">
        <v>11</v>
      </c>
    </row>
    <row r="514" ht="12.75" customHeight="1">
      <c r="A514" s="2">
        <v>2015.0</v>
      </c>
      <c r="B514" s="2">
        <v>5.0</v>
      </c>
      <c r="C514" s="2">
        <v>26.0</v>
      </c>
      <c r="D514" s="2" t="s">
        <v>29</v>
      </c>
      <c r="E514" s="2">
        <v>-1250.0</v>
      </c>
      <c r="F514" s="2">
        <v>0.0</v>
      </c>
      <c r="G514" s="2">
        <f t="shared" si="1"/>
        <v>-1250</v>
      </c>
      <c r="H514" s="2" t="s">
        <v>18</v>
      </c>
      <c r="L514" s="2" t="s">
        <v>11</v>
      </c>
    </row>
    <row r="515" ht="12.75" customHeight="1">
      <c r="A515" s="2">
        <v>2015.0</v>
      </c>
      <c r="B515" s="2">
        <v>5.0</v>
      </c>
      <c r="C515" s="2">
        <v>25.0</v>
      </c>
      <c r="D515" s="2" t="s">
        <v>286</v>
      </c>
      <c r="E515" s="2">
        <v>-261.0</v>
      </c>
      <c r="F515" s="2">
        <v>0.0</v>
      </c>
      <c r="G515" s="2">
        <f t="shared" si="1"/>
        <v>-261</v>
      </c>
      <c r="H515" s="2" t="s">
        <v>164</v>
      </c>
      <c r="L515" s="2" t="s">
        <v>11</v>
      </c>
    </row>
    <row r="516" ht="12.75" customHeight="1">
      <c r="A516" s="2">
        <v>2015.0</v>
      </c>
      <c r="B516" s="2">
        <v>5.0</v>
      </c>
      <c r="C516" s="2">
        <v>25.0</v>
      </c>
      <c r="D516" s="2" t="s">
        <v>289</v>
      </c>
      <c r="E516" s="2">
        <v>-85.0</v>
      </c>
      <c r="F516" s="2">
        <v>0.0</v>
      </c>
      <c r="G516" s="2">
        <f t="shared" si="1"/>
        <v>-85</v>
      </c>
      <c r="H516" s="2" t="s">
        <v>38</v>
      </c>
      <c r="L516" s="2" t="s">
        <v>11</v>
      </c>
    </row>
    <row r="517" ht="12.75" customHeight="1">
      <c r="A517" s="2">
        <v>2015.0</v>
      </c>
      <c r="B517" s="2">
        <v>5.0</v>
      </c>
      <c r="C517" s="2">
        <v>25.0</v>
      </c>
      <c r="D517" s="2" t="s">
        <v>27</v>
      </c>
      <c r="E517" s="2">
        <v>-5000.0</v>
      </c>
      <c r="F517" s="2">
        <v>0.0</v>
      </c>
      <c r="G517" s="2">
        <f t="shared" si="1"/>
        <v>-5000</v>
      </c>
      <c r="H517" s="2" t="s">
        <v>227</v>
      </c>
      <c r="L517" s="2" t="s">
        <v>11</v>
      </c>
    </row>
    <row r="518" ht="12.75" customHeight="1">
      <c r="A518" s="2">
        <v>2015.0</v>
      </c>
      <c r="B518" s="2">
        <v>5.0</v>
      </c>
      <c r="C518" s="2">
        <v>25.0</v>
      </c>
      <c r="D518" s="2" t="s">
        <v>27</v>
      </c>
      <c r="E518" s="2">
        <v>5000.0</v>
      </c>
      <c r="F518" s="2">
        <v>0.0</v>
      </c>
      <c r="G518" s="2">
        <f t="shared" si="1"/>
        <v>5000</v>
      </c>
      <c r="H518" s="2" t="s">
        <v>227</v>
      </c>
      <c r="L518" s="2" t="s">
        <v>11</v>
      </c>
    </row>
    <row r="519" ht="12.75" customHeight="1">
      <c r="A519" s="2">
        <v>2015.0</v>
      </c>
      <c r="B519" s="2">
        <v>5.0</v>
      </c>
      <c r="C519" s="2">
        <v>25.0</v>
      </c>
      <c r="D519" s="2" t="s">
        <v>290</v>
      </c>
      <c r="E519" s="2">
        <v>-210.0</v>
      </c>
      <c r="F519" s="2">
        <v>0.0</v>
      </c>
      <c r="G519" s="2">
        <f t="shared" si="1"/>
        <v>-210</v>
      </c>
      <c r="H519" s="2" t="s">
        <v>13</v>
      </c>
      <c r="L519" s="2" t="s">
        <v>11</v>
      </c>
    </row>
    <row r="520" ht="12.75" customHeight="1">
      <c r="A520" s="2">
        <v>2015.0</v>
      </c>
      <c r="B520" s="2">
        <v>5.0</v>
      </c>
      <c r="C520" s="2">
        <v>24.0</v>
      </c>
      <c r="D520" s="2" t="s">
        <v>286</v>
      </c>
      <c r="E520" s="2">
        <v>-205.0</v>
      </c>
      <c r="F520" s="2">
        <v>0.0</v>
      </c>
      <c r="G520" s="2">
        <f t="shared" si="1"/>
        <v>-205</v>
      </c>
      <c r="H520" s="2" t="s">
        <v>52</v>
      </c>
      <c r="L520" s="2" t="s">
        <v>11</v>
      </c>
    </row>
    <row r="521" ht="12.75" customHeight="1">
      <c r="A521" s="2">
        <v>2015.0</v>
      </c>
      <c r="B521" s="2">
        <v>5.0</v>
      </c>
      <c r="C521" s="2">
        <v>24.0</v>
      </c>
      <c r="D521" s="2" t="s">
        <v>291</v>
      </c>
      <c r="E521" s="2">
        <v>-58.0</v>
      </c>
      <c r="F521" s="2">
        <v>0.0</v>
      </c>
      <c r="G521" s="2">
        <f t="shared" si="1"/>
        <v>-58</v>
      </c>
      <c r="H521" s="2" t="s">
        <v>52</v>
      </c>
      <c r="L521" s="2" t="s">
        <v>11</v>
      </c>
    </row>
    <row r="522" ht="12.75" customHeight="1">
      <c r="A522" s="2">
        <v>2015.0</v>
      </c>
      <c r="B522" s="2">
        <v>5.0</v>
      </c>
      <c r="C522" s="2">
        <v>24.0</v>
      </c>
      <c r="D522" s="2" t="s">
        <v>292</v>
      </c>
      <c r="E522" s="2">
        <v>-46.0</v>
      </c>
      <c r="F522" s="2">
        <v>0.0</v>
      </c>
      <c r="G522" s="2">
        <f t="shared" si="1"/>
        <v>-46</v>
      </c>
      <c r="H522" s="2" t="s">
        <v>52</v>
      </c>
      <c r="L522" s="2" t="s">
        <v>11</v>
      </c>
    </row>
    <row r="523" ht="12.75" customHeight="1">
      <c r="A523" s="2">
        <v>2015.0</v>
      </c>
      <c r="B523" s="2">
        <v>5.0</v>
      </c>
      <c r="C523" s="2">
        <v>24.0</v>
      </c>
      <c r="D523" s="2" t="s">
        <v>292</v>
      </c>
      <c r="E523" s="2">
        <v>-320.0</v>
      </c>
      <c r="F523" s="2">
        <v>0.0</v>
      </c>
      <c r="G523" s="2">
        <f t="shared" si="1"/>
        <v>-320</v>
      </c>
      <c r="H523" s="2" t="s">
        <v>52</v>
      </c>
      <c r="L523" s="2" t="s">
        <v>11</v>
      </c>
    </row>
    <row r="524" ht="12.75" customHeight="1">
      <c r="A524" s="2">
        <v>2015.0</v>
      </c>
      <c r="B524" s="2">
        <v>5.0</v>
      </c>
      <c r="C524" s="2">
        <v>24.0</v>
      </c>
      <c r="D524" s="2" t="s">
        <v>293</v>
      </c>
      <c r="E524" s="2">
        <v>84.0</v>
      </c>
      <c r="F524" s="2">
        <v>0.0</v>
      </c>
      <c r="G524" s="2">
        <f t="shared" si="1"/>
        <v>84</v>
      </c>
      <c r="H524" s="2" t="s">
        <v>47</v>
      </c>
      <c r="L524" s="2" t="s">
        <v>11</v>
      </c>
    </row>
    <row r="525" ht="12.75" customHeight="1">
      <c r="A525" s="2">
        <v>2015.0</v>
      </c>
      <c r="B525" s="2">
        <v>5.0</v>
      </c>
      <c r="C525" s="2">
        <v>23.0</v>
      </c>
      <c r="D525" s="2" t="s">
        <v>294</v>
      </c>
      <c r="E525" s="2">
        <v>-219.0</v>
      </c>
      <c r="F525" s="2">
        <v>0.0</v>
      </c>
      <c r="G525" s="2">
        <f t="shared" si="1"/>
        <v>-219</v>
      </c>
      <c r="H525" s="2" t="s">
        <v>47</v>
      </c>
      <c r="L525" s="2" t="s">
        <v>11</v>
      </c>
    </row>
    <row r="526" ht="12.75" customHeight="1">
      <c r="A526" s="2">
        <v>2015.0</v>
      </c>
      <c r="B526" s="2">
        <v>5.0</v>
      </c>
      <c r="C526" s="2">
        <v>23.0</v>
      </c>
      <c r="D526" s="2" t="s">
        <v>295</v>
      </c>
      <c r="E526" s="2">
        <v>-110.0</v>
      </c>
      <c r="F526" s="2">
        <v>0.0</v>
      </c>
      <c r="G526" s="2">
        <f t="shared" si="1"/>
        <v>-110</v>
      </c>
      <c r="H526" s="2" t="s">
        <v>42</v>
      </c>
      <c r="L526" s="2" t="s">
        <v>11</v>
      </c>
    </row>
    <row r="527" ht="12.75" customHeight="1">
      <c r="A527" s="2">
        <v>2015.0</v>
      </c>
      <c r="B527" s="2">
        <v>5.0</v>
      </c>
      <c r="C527" s="2">
        <v>23.0</v>
      </c>
      <c r="D527" s="2" t="s">
        <v>296</v>
      </c>
      <c r="E527" s="2">
        <v>-68.0</v>
      </c>
      <c r="F527" s="2">
        <v>0.0</v>
      </c>
      <c r="G527" s="2">
        <f t="shared" si="1"/>
        <v>-68</v>
      </c>
      <c r="H527" s="2" t="s">
        <v>47</v>
      </c>
      <c r="L527" s="2" t="s">
        <v>11</v>
      </c>
    </row>
    <row r="528" ht="12.75" customHeight="1">
      <c r="A528" s="2">
        <v>2015.0</v>
      </c>
      <c r="B528" s="2">
        <v>5.0</v>
      </c>
      <c r="C528" s="2">
        <v>23.0</v>
      </c>
      <c r="D528" s="2" t="s">
        <v>296</v>
      </c>
      <c r="E528" s="2">
        <v>-4.0</v>
      </c>
      <c r="F528" s="2">
        <v>0.0</v>
      </c>
      <c r="G528" s="2">
        <f t="shared" si="1"/>
        <v>-4</v>
      </c>
      <c r="H528" s="2" t="s">
        <v>47</v>
      </c>
      <c r="L528" s="2" t="s">
        <v>11</v>
      </c>
    </row>
    <row r="529" ht="12.75" customHeight="1">
      <c r="A529" s="2">
        <v>2015.0</v>
      </c>
      <c r="B529" s="2">
        <v>5.0</v>
      </c>
      <c r="C529" s="2">
        <v>23.0</v>
      </c>
      <c r="D529" s="2" t="s">
        <v>296</v>
      </c>
      <c r="E529" s="2">
        <v>-29.0</v>
      </c>
      <c r="F529" s="2">
        <v>0.0</v>
      </c>
      <c r="G529" s="2">
        <f t="shared" si="1"/>
        <v>-29</v>
      </c>
      <c r="H529" s="2" t="s">
        <v>47</v>
      </c>
      <c r="L529" s="2" t="s">
        <v>11</v>
      </c>
    </row>
    <row r="530" ht="12.75" customHeight="1">
      <c r="A530" s="2">
        <v>2015.0</v>
      </c>
      <c r="B530" s="2">
        <v>5.0</v>
      </c>
      <c r="C530" s="2">
        <v>23.0</v>
      </c>
      <c r="D530" s="2" t="s">
        <v>296</v>
      </c>
      <c r="E530" s="2">
        <v>-25.0</v>
      </c>
      <c r="F530" s="2">
        <v>0.0</v>
      </c>
      <c r="G530" s="2">
        <f t="shared" si="1"/>
        <v>-25</v>
      </c>
      <c r="H530" s="2" t="s">
        <v>47</v>
      </c>
      <c r="L530" s="2" t="s">
        <v>11</v>
      </c>
    </row>
    <row r="531" ht="12.75" customHeight="1">
      <c r="A531" s="2">
        <v>2015.0</v>
      </c>
      <c r="B531" s="2">
        <v>5.0</v>
      </c>
      <c r="C531" s="2">
        <v>22.0</v>
      </c>
      <c r="D531" s="2" t="s">
        <v>39</v>
      </c>
      <c r="E531" s="2">
        <v>28273.0</v>
      </c>
      <c r="F531" s="2">
        <v>0.0</v>
      </c>
      <c r="G531" s="2">
        <f t="shared" si="1"/>
        <v>28273</v>
      </c>
      <c r="H531" s="2" t="s">
        <v>40</v>
      </c>
      <c r="L531" s="2" t="s">
        <v>11</v>
      </c>
    </row>
    <row r="532" ht="12.75" customHeight="1">
      <c r="A532" s="2">
        <v>2015.0</v>
      </c>
      <c r="B532" s="2">
        <v>5.0</v>
      </c>
      <c r="C532" s="2">
        <v>22.0</v>
      </c>
      <c r="D532" s="2" t="s">
        <v>297</v>
      </c>
      <c r="E532" s="2">
        <v>100.0</v>
      </c>
      <c r="F532" s="2">
        <v>0.0</v>
      </c>
      <c r="G532" s="2">
        <f t="shared" si="1"/>
        <v>100</v>
      </c>
      <c r="H532" s="2" t="s">
        <v>47</v>
      </c>
      <c r="L532" s="2" t="s">
        <v>11</v>
      </c>
    </row>
    <row r="533" ht="12.75" customHeight="1">
      <c r="A533" s="2">
        <v>2015.0</v>
      </c>
      <c r="B533" s="2">
        <v>5.0</v>
      </c>
      <c r="C533" s="2">
        <v>21.0</v>
      </c>
      <c r="D533" s="2" t="s">
        <v>298</v>
      </c>
      <c r="E533" s="2">
        <v>-15.0</v>
      </c>
      <c r="F533" s="2">
        <v>0.0</v>
      </c>
      <c r="G533" s="2">
        <f t="shared" si="1"/>
        <v>-15</v>
      </c>
      <c r="H533" s="2" t="s">
        <v>47</v>
      </c>
      <c r="L533" s="2" t="s">
        <v>11</v>
      </c>
    </row>
    <row r="534" ht="12.75" customHeight="1">
      <c r="A534" s="2">
        <v>2015.0</v>
      </c>
      <c r="B534" s="2">
        <v>5.0</v>
      </c>
      <c r="C534" s="2">
        <v>21.0</v>
      </c>
      <c r="D534" s="2" t="s">
        <v>299</v>
      </c>
      <c r="E534" s="2">
        <v>-69.0</v>
      </c>
      <c r="F534" s="2">
        <v>0.0</v>
      </c>
      <c r="G534" s="2">
        <f t="shared" si="1"/>
        <v>-69</v>
      </c>
      <c r="H534" s="2" t="s">
        <v>38</v>
      </c>
      <c r="L534" s="2" t="s">
        <v>11</v>
      </c>
    </row>
    <row r="535" ht="12.75" customHeight="1">
      <c r="A535" s="2">
        <v>2015.0</v>
      </c>
      <c r="B535" s="2">
        <v>5.0</v>
      </c>
      <c r="C535" s="2">
        <v>20.0</v>
      </c>
      <c r="D535" s="2" t="s">
        <v>300</v>
      </c>
      <c r="E535" s="2">
        <v>-75.0</v>
      </c>
      <c r="F535" s="2">
        <v>0.0</v>
      </c>
      <c r="G535" s="2">
        <f t="shared" si="1"/>
        <v>-75</v>
      </c>
      <c r="H535" s="2" t="s">
        <v>38</v>
      </c>
      <c r="L535" s="2" t="s">
        <v>11</v>
      </c>
    </row>
    <row r="536" ht="12.75" customHeight="1">
      <c r="A536" s="2">
        <v>2015.0</v>
      </c>
      <c r="B536" s="2">
        <v>5.0</v>
      </c>
      <c r="C536" s="2">
        <v>20.0</v>
      </c>
      <c r="D536" s="2" t="s">
        <v>279</v>
      </c>
      <c r="E536" s="2">
        <v>-75.0</v>
      </c>
      <c r="F536" s="2">
        <v>0.0</v>
      </c>
      <c r="G536" s="2">
        <f t="shared" si="1"/>
        <v>-75</v>
      </c>
      <c r="H536" s="2" t="s">
        <v>47</v>
      </c>
      <c r="L536" s="2" t="s">
        <v>11</v>
      </c>
    </row>
    <row r="537" ht="12.75" customHeight="1">
      <c r="A537" s="2">
        <v>2015.0</v>
      </c>
      <c r="B537" s="2">
        <v>5.0</v>
      </c>
      <c r="C537" s="2">
        <v>20.0</v>
      </c>
      <c r="D537" s="2" t="s">
        <v>301</v>
      </c>
      <c r="E537" s="2">
        <v>-134.5</v>
      </c>
      <c r="F537" s="2">
        <v>0.0</v>
      </c>
      <c r="G537" s="2">
        <f t="shared" si="1"/>
        <v>-134.5</v>
      </c>
      <c r="H537" s="2" t="s">
        <v>47</v>
      </c>
      <c r="L537" s="2" t="s">
        <v>11</v>
      </c>
    </row>
    <row r="538" ht="12.75" customHeight="1">
      <c r="A538" s="2">
        <v>2015.0</v>
      </c>
      <c r="B538" s="2">
        <v>5.0</v>
      </c>
      <c r="C538" s="2">
        <v>19.0</v>
      </c>
      <c r="D538" s="2" t="s">
        <v>302</v>
      </c>
      <c r="E538" s="2">
        <v>-84.0</v>
      </c>
      <c r="F538" s="2">
        <v>0.0</v>
      </c>
      <c r="G538" s="2">
        <f t="shared" si="1"/>
        <v>-84</v>
      </c>
      <c r="H538" s="2" t="s">
        <v>47</v>
      </c>
      <c r="L538" s="2" t="s">
        <v>11</v>
      </c>
    </row>
    <row r="539" ht="12.75" customHeight="1">
      <c r="A539" s="2">
        <v>2015.0</v>
      </c>
      <c r="B539" s="2">
        <v>5.0</v>
      </c>
      <c r="C539" s="2">
        <v>18.0</v>
      </c>
      <c r="D539" s="2" t="s">
        <v>94</v>
      </c>
      <c r="E539" s="2">
        <v>266.0</v>
      </c>
      <c r="F539" s="2">
        <v>0.0</v>
      </c>
      <c r="G539" s="2">
        <f t="shared" si="1"/>
        <v>266</v>
      </c>
      <c r="H539" s="2" t="s">
        <v>164</v>
      </c>
      <c r="L539" s="2" t="s">
        <v>11</v>
      </c>
    </row>
    <row r="540" ht="12.75" customHeight="1">
      <c r="A540" s="2">
        <v>2015.0</v>
      </c>
      <c r="B540" s="2">
        <v>5.0</v>
      </c>
      <c r="C540" s="2">
        <v>18.0</v>
      </c>
      <c r="D540" s="2" t="s">
        <v>303</v>
      </c>
      <c r="E540" s="2">
        <v>-749.0</v>
      </c>
      <c r="F540" s="2">
        <v>0.0</v>
      </c>
      <c r="G540" s="2">
        <f t="shared" si="1"/>
        <v>-749</v>
      </c>
      <c r="H540" s="2" t="s">
        <v>304</v>
      </c>
      <c r="I540" s="2" t="s">
        <v>305</v>
      </c>
      <c r="L540" s="2" t="s">
        <v>11</v>
      </c>
    </row>
    <row r="541" ht="12.75" customHeight="1">
      <c r="A541" s="2">
        <v>2015.0</v>
      </c>
      <c r="B541" s="2">
        <v>5.0</v>
      </c>
      <c r="C541" s="2">
        <v>18.0</v>
      </c>
      <c r="D541" s="2" t="s">
        <v>306</v>
      </c>
      <c r="E541" s="2">
        <v>-21.0</v>
      </c>
      <c r="F541" s="2">
        <v>0.0</v>
      </c>
      <c r="G541" s="2">
        <f t="shared" si="1"/>
        <v>-21</v>
      </c>
      <c r="H541" s="2" t="s">
        <v>47</v>
      </c>
      <c r="L541" s="2" t="s">
        <v>11</v>
      </c>
    </row>
    <row r="542" ht="12.75" customHeight="1">
      <c r="A542" s="2">
        <v>2015.0</v>
      </c>
      <c r="B542" s="2">
        <v>5.0</v>
      </c>
      <c r="C542" s="2">
        <v>16.0</v>
      </c>
      <c r="D542" s="2" t="s">
        <v>307</v>
      </c>
      <c r="E542" s="2">
        <v>-192.0</v>
      </c>
      <c r="F542" s="2">
        <v>0.0</v>
      </c>
      <c r="G542" s="2">
        <f t="shared" si="1"/>
        <v>-192</v>
      </c>
      <c r="H542" s="2" t="s">
        <v>52</v>
      </c>
      <c r="L542" s="2" t="s">
        <v>11</v>
      </c>
    </row>
    <row r="543" ht="12.75" customHeight="1">
      <c r="A543" s="2">
        <v>2015.0</v>
      </c>
      <c r="B543" s="2">
        <v>5.0</v>
      </c>
      <c r="C543" s="2">
        <v>16.0</v>
      </c>
      <c r="D543" s="2" t="s">
        <v>307</v>
      </c>
      <c r="E543" s="2">
        <v>-126.0</v>
      </c>
      <c r="F543" s="2">
        <v>0.0</v>
      </c>
      <c r="G543" s="2">
        <f t="shared" si="1"/>
        <v>-126</v>
      </c>
      <c r="H543" s="2" t="s">
        <v>52</v>
      </c>
      <c r="L543" s="2" t="s">
        <v>11</v>
      </c>
    </row>
    <row r="544" ht="12.75" customHeight="1">
      <c r="A544" s="2">
        <v>2015.0</v>
      </c>
      <c r="B544" s="2">
        <v>5.0</v>
      </c>
      <c r="C544" s="2">
        <v>16.0</v>
      </c>
      <c r="D544" s="2" t="s">
        <v>307</v>
      </c>
      <c r="E544" s="2">
        <v>-108.0</v>
      </c>
      <c r="F544" s="2">
        <v>0.0</v>
      </c>
      <c r="G544" s="2">
        <f t="shared" si="1"/>
        <v>-108</v>
      </c>
      <c r="H544" s="2" t="s">
        <v>52</v>
      </c>
      <c r="L544" s="2" t="s">
        <v>11</v>
      </c>
    </row>
    <row r="545" ht="12.75" customHeight="1">
      <c r="A545" s="2">
        <v>2015.0</v>
      </c>
      <c r="B545" s="2">
        <v>5.0</v>
      </c>
      <c r="C545" s="2">
        <v>16.0</v>
      </c>
      <c r="D545" s="2" t="s">
        <v>308</v>
      </c>
      <c r="E545" s="2">
        <v>-60.0</v>
      </c>
      <c r="F545" s="2">
        <v>0.0</v>
      </c>
      <c r="G545" s="2">
        <f t="shared" si="1"/>
        <v>-60</v>
      </c>
      <c r="H545" s="2" t="s">
        <v>52</v>
      </c>
      <c r="L545" s="2" t="s">
        <v>11</v>
      </c>
    </row>
    <row r="546" ht="12.75" customHeight="1">
      <c r="A546" s="2">
        <v>2015.0</v>
      </c>
      <c r="B546" s="2">
        <v>5.0</v>
      </c>
      <c r="C546" s="2">
        <v>16.0</v>
      </c>
      <c r="D546" s="2" t="s">
        <v>259</v>
      </c>
      <c r="E546" s="2">
        <v>-917.0</v>
      </c>
      <c r="F546" s="2">
        <v>0.0</v>
      </c>
      <c r="G546" s="2">
        <f t="shared" si="1"/>
        <v>-917</v>
      </c>
      <c r="H546" s="2" t="s">
        <v>47</v>
      </c>
      <c r="L546" s="2" t="s">
        <v>11</v>
      </c>
    </row>
    <row r="547" ht="12.75" customHeight="1">
      <c r="A547" s="2">
        <v>2015.0</v>
      </c>
      <c r="B547" s="2">
        <v>5.0</v>
      </c>
      <c r="C547" s="2">
        <v>16.0</v>
      </c>
      <c r="D547" s="2" t="s">
        <v>309</v>
      </c>
      <c r="E547" s="2">
        <v>-5000.0</v>
      </c>
      <c r="F547" s="2">
        <v>0.0</v>
      </c>
      <c r="G547" s="2">
        <f t="shared" si="1"/>
        <v>-5000</v>
      </c>
      <c r="H547" s="2" t="s">
        <v>13</v>
      </c>
      <c r="L547" s="2" t="s">
        <v>11</v>
      </c>
    </row>
    <row r="548" ht="12.75" customHeight="1">
      <c r="A548" s="2">
        <v>2015.0</v>
      </c>
      <c r="B548" s="2">
        <v>5.0</v>
      </c>
      <c r="C548" s="2">
        <v>16.0</v>
      </c>
      <c r="D548" s="2" t="s">
        <v>310</v>
      </c>
      <c r="E548" s="2">
        <v>-5000.0</v>
      </c>
      <c r="F548" s="2">
        <v>0.0</v>
      </c>
      <c r="G548" s="2">
        <f t="shared" si="1"/>
        <v>-5000</v>
      </c>
      <c r="H548" s="2" t="s">
        <v>13</v>
      </c>
      <c r="L548" s="2" t="s">
        <v>11</v>
      </c>
    </row>
    <row r="549" ht="12.75" customHeight="1">
      <c r="A549" s="2">
        <v>2015.0</v>
      </c>
      <c r="B549" s="2">
        <v>5.0</v>
      </c>
      <c r="C549" s="2">
        <v>16.0</v>
      </c>
      <c r="D549" s="2" t="s">
        <v>311</v>
      </c>
      <c r="E549" s="2">
        <v>-2400.0</v>
      </c>
      <c r="F549" s="2">
        <v>0.0</v>
      </c>
      <c r="G549" s="2">
        <f t="shared" si="1"/>
        <v>-2400</v>
      </c>
      <c r="H549" s="2" t="s">
        <v>13</v>
      </c>
      <c r="L549" s="2" t="s">
        <v>11</v>
      </c>
    </row>
    <row r="550" ht="12.75" customHeight="1">
      <c r="A550" s="2">
        <v>2015.0</v>
      </c>
      <c r="B550" s="2">
        <v>5.0</v>
      </c>
      <c r="C550" s="2">
        <v>16.0</v>
      </c>
      <c r="D550" s="2" t="s">
        <v>312</v>
      </c>
      <c r="E550" s="2">
        <v>-401.0</v>
      </c>
      <c r="F550" s="2">
        <v>0.0</v>
      </c>
      <c r="G550" s="2">
        <f t="shared" si="1"/>
        <v>-401</v>
      </c>
      <c r="H550" s="2" t="s">
        <v>52</v>
      </c>
      <c r="L550" s="2" t="s">
        <v>11</v>
      </c>
    </row>
    <row r="551" ht="12.75" customHeight="1">
      <c r="A551" s="2">
        <v>2015.0</v>
      </c>
      <c r="B551" s="2">
        <v>5.0</v>
      </c>
      <c r="C551" s="2">
        <v>16.0</v>
      </c>
      <c r="D551" s="2" t="s">
        <v>268</v>
      </c>
      <c r="E551" s="2">
        <v>-199.0</v>
      </c>
      <c r="F551" s="2">
        <v>0.0</v>
      </c>
      <c r="G551" s="2">
        <f t="shared" si="1"/>
        <v>-199</v>
      </c>
      <c r="H551" s="2" t="s">
        <v>52</v>
      </c>
      <c r="L551" s="2" t="s">
        <v>11</v>
      </c>
    </row>
    <row r="552" ht="12.75" customHeight="1">
      <c r="A552" s="2">
        <v>2015.0</v>
      </c>
      <c r="B552" s="2">
        <v>5.0</v>
      </c>
      <c r="C552" s="2">
        <v>15.0</v>
      </c>
      <c r="D552" s="2" t="s">
        <v>307</v>
      </c>
      <c r="E552" s="2">
        <v>-58.0</v>
      </c>
      <c r="F552" s="2">
        <v>0.0</v>
      </c>
      <c r="G552" s="2">
        <f t="shared" si="1"/>
        <v>-58</v>
      </c>
      <c r="H552" s="2" t="s">
        <v>52</v>
      </c>
      <c r="L552" s="2" t="s">
        <v>11</v>
      </c>
    </row>
    <row r="553" ht="12.75" customHeight="1">
      <c r="A553" s="2">
        <v>2015.0</v>
      </c>
      <c r="B553" s="2">
        <v>5.0</v>
      </c>
      <c r="C553" s="2">
        <v>15.0</v>
      </c>
      <c r="D553" s="2" t="s">
        <v>307</v>
      </c>
      <c r="E553" s="2">
        <v>-350.0</v>
      </c>
      <c r="F553" s="2">
        <v>0.0</v>
      </c>
      <c r="G553" s="2">
        <f t="shared" si="1"/>
        <v>-350</v>
      </c>
      <c r="H553" s="2" t="s">
        <v>52</v>
      </c>
      <c r="L553" s="2" t="s">
        <v>11</v>
      </c>
    </row>
    <row r="554" ht="12.75" customHeight="1">
      <c r="A554" s="2">
        <v>2015.0</v>
      </c>
      <c r="B554" s="2">
        <v>5.0</v>
      </c>
      <c r="C554" s="2">
        <v>15.0</v>
      </c>
      <c r="D554" s="2" t="s">
        <v>313</v>
      </c>
      <c r="E554" s="2">
        <v>-80.0</v>
      </c>
      <c r="F554" s="2">
        <v>0.0</v>
      </c>
      <c r="G554" s="2">
        <f t="shared" si="1"/>
        <v>-80</v>
      </c>
      <c r="H554" s="2" t="s">
        <v>52</v>
      </c>
      <c r="L554" s="2" t="s">
        <v>11</v>
      </c>
    </row>
    <row r="555" ht="12.75" customHeight="1">
      <c r="A555" s="2">
        <v>2015.0</v>
      </c>
      <c r="B555" s="2">
        <v>5.0</v>
      </c>
      <c r="C555" s="2">
        <v>15.0</v>
      </c>
      <c r="D555" s="2" t="s">
        <v>313</v>
      </c>
      <c r="E555" s="2">
        <v>-555.0</v>
      </c>
      <c r="F555" s="2">
        <v>0.0</v>
      </c>
      <c r="G555" s="2">
        <f t="shared" si="1"/>
        <v>-555</v>
      </c>
      <c r="H555" s="2" t="s">
        <v>52</v>
      </c>
      <c r="L555" s="2" t="s">
        <v>11</v>
      </c>
    </row>
    <row r="556" ht="12.75" customHeight="1">
      <c r="A556" s="2">
        <v>2015.0</v>
      </c>
      <c r="B556" s="2">
        <v>5.0</v>
      </c>
      <c r="C556" s="2">
        <v>15.0</v>
      </c>
      <c r="D556" s="2" t="s">
        <v>283</v>
      </c>
      <c r="E556" s="2">
        <v>-90.0</v>
      </c>
      <c r="F556" s="2">
        <v>0.0</v>
      </c>
      <c r="G556" s="2">
        <f t="shared" si="1"/>
        <v>-90</v>
      </c>
      <c r="H556" s="2" t="s">
        <v>38</v>
      </c>
      <c r="L556" s="2" t="s">
        <v>11</v>
      </c>
    </row>
    <row r="557" ht="12.75" customHeight="1">
      <c r="A557" s="2">
        <v>2015.0</v>
      </c>
      <c r="B557" s="2">
        <v>5.0</v>
      </c>
      <c r="C557" s="2">
        <v>13.0</v>
      </c>
      <c r="D557" s="2" t="s">
        <v>279</v>
      </c>
      <c r="E557" s="2">
        <v>-75.0</v>
      </c>
      <c r="F557" s="2">
        <v>0.0</v>
      </c>
      <c r="G557" s="2">
        <f t="shared" si="1"/>
        <v>-75</v>
      </c>
      <c r="H557" s="2" t="s">
        <v>47</v>
      </c>
      <c r="L557" s="2" t="s">
        <v>11</v>
      </c>
    </row>
    <row r="558" ht="12.75" customHeight="1">
      <c r="A558" s="2">
        <v>2015.0</v>
      </c>
      <c r="B558" s="2">
        <v>5.0</v>
      </c>
      <c r="C558" s="2">
        <v>13.0</v>
      </c>
      <c r="D558" s="2" t="s">
        <v>277</v>
      </c>
      <c r="E558" s="2">
        <v>-95.0</v>
      </c>
      <c r="F558" s="2">
        <v>0.0</v>
      </c>
      <c r="G558" s="2">
        <f t="shared" si="1"/>
        <v>-95</v>
      </c>
      <c r="H558" s="2" t="s">
        <v>38</v>
      </c>
      <c r="L558" s="2" t="s">
        <v>11</v>
      </c>
    </row>
    <row r="559" ht="12.75" customHeight="1">
      <c r="A559" s="2">
        <v>2015.0</v>
      </c>
      <c r="B559" s="2">
        <v>5.0</v>
      </c>
      <c r="C559" s="2">
        <v>12.0</v>
      </c>
      <c r="D559" s="2" t="s">
        <v>279</v>
      </c>
      <c r="E559" s="2">
        <v>-75.0</v>
      </c>
      <c r="F559" s="2">
        <v>0.0</v>
      </c>
      <c r="G559" s="2">
        <f t="shared" si="1"/>
        <v>-75</v>
      </c>
      <c r="H559" s="2" t="s">
        <v>47</v>
      </c>
      <c r="L559" s="2" t="s">
        <v>11</v>
      </c>
    </row>
    <row r="560" ht="12.75" customHeight="1">
      <c r="A560" s="2">
        <v>2015.0</v>
      </c>
      <c r="B560" s="2">
        <v>5.0</v>
      </c>
      <c r="C560" s="2">
        <v>12.0</v>
      </c>
      <c r="D560" s="2" t="s">
        <v>314</v>
      </c>
      <c r="E560" s="2">
        <v>-80.0</v>
      </c>
      <c r="F560" s="2">
        <v>0.0</v>
      </c>
      <c r="G560" s="2">
        <f t="shared" si="1"/>
        <v>-80</v>
      </c>
      <c r="H560" s="2" t="s">
        <v>38</v>
      </c>
      <c r="L560" s="2" t="s">
        <v>11</v>
      </c>
    </row>
    <row r="561" ht="12.75" customHeight="1">
      <c r="A561" s="2">
        <v>2015.0</v>
      </c>
      <c r="B561" s="2">
        <v>5.0</v>
      </c>
      <c r="C561" s="2">
        <v>11.0</v>
      </c>
      <c r="D561" s="2" t="s">
        <v>279</v>
      </c>
      <c r="E561" s="2">
        <v>-70.0</v>
      </c>
      <c r="F561" s="2">
        <v>0.0</v>
      </c>
      <c r="G561" s="2">
        <f t="shared" si="1"/>
        <v>-70</v>
      </c>
      <c r="H561" s="2" t="s">
        <v>47</v>
      </c>
      <c r="L561" s="2" t="s">
        <v>11</v>
      </c>
    </row>
    <row r="562" ht="12.75" customHeight="1">
      <c r="A562" s="2">
        <v>2015.0</v>
      </c>
      <c r="B562" s="2">
        <v>5.0</v>
      </c>
      <c r="C562" s="2">
        <v>11.0</v>
      </c>
      <c r="D562" s="2" t="s">
        <v>286</v>
      </c>
      <c r="E562" s="2">
        <v>-266.0</v>
      </c>
      <c r="F562" s="2">
        <v>0.0</v>
      </c>
      <c r="G562" s="2">
        <f t="shared" si="1"/>
        <v>-266</v>
      </c>
      <c r="H562" s="2" t="s">
        <v>164</v>
      </c>
      <c r="L562" s="2" t="s">
        <v>11</v>
      </c>
    </row>
    <row r="563" ht="12.75" customHeight="1">
      <c r="A563" s="2">
        <v>2015.0</v>
      </c>
      <c r="B563" s="2">
        <v>5.0</v>
      </c>
      <c r="C563" s="2">
        <v>11.0</v>
      </c>
      <c r="D563" s="2" t="s">
        <v>315</v>
      </c>
      <c r="E563" s="2">
        <v>-90.0</v>
      </c>
      <c r="F563" s="2">
        <v>0.0</v>
      </c>
      <c r="G563" s="2">
        <f t="shared" si="1"/>
        <v>-90</v>
      </c>
      <c r="H563" s="2" t="s">
        <v>38</v>
      </c>
      <c r="L563" s="2" t="s">
        <v>11</v>
      </c>
    </row>
    <row r="564" ht="12.75" customHeight="1">
      <c r="A564" s="2">
        <v>2015.0</v>
      </c>
      <c r="B564" s="2">
        <v>5.0</v>
      </c>
      <c r="C564" s="2">
        <v>10.0</v>
      </c>
      <c r="D564" s="2" t="s">
        <v>316</v>
      </c>
      <c r="E564" s="2">
        <v>-79.0</v>
      </c>
      <c r="F564" s="2">
        <v>0.0</v>
      </c>
      <c r="G564" s="2">
        <f t="shared" si="1"/>
        <v>-79</v>
      </c>
      <c r="H564" s="2" t="s">
        <v>47</v>
      </c>
      <c r="L564" s="2" t="s">
        <v>11</v>
      </c>
    </row>
    <row r="565" ht="12.75" customHeight="1">
      <c r="A565" s="2">
        <v>2015.0</v>
      </c>
      <c r="B565" s="2">
        <v>5.0</v>
      </c>
      <c r="C565" s="2">
        <v>10.0</v>
      </c>
      <c r="D565" s="2" t="s">
        <v>317</v>
      </c>
      <c r="E565" s="2">
        <v>-249.0</v>
      </c>
      <c r="F565" s="2">
        <v>0.0</v>
      </c>
      <c r="G565" s="2">
        <f t="shared" si="1"/>
        <v>-249</v>
      </c>
      <c r="H565" s="2" t="s">
        <v>123</v>
      </c>
      <c r="L565" s="2" t="s">
        <v>11</v>
      </c>
    </row>
    <row r="566" ht="12.75" customHeight="1">
      <c r="A566" s="2">
        <v>2015.0</v>
      </c>
      <c r="B566" s="2">
        <v>5.0</v>
      </c>
      <c r="C566" s="2">
        <v>9.0</v>
      </c>
      <c r="D566" s="2" t="s">
        <v>303</v>
      </c>
      <c r="E566" s="2">
        <v>-267.0</v>
      </c>
      <c r="F566" s="2">
        <v>0.0</v>
      </c>
      <c r="G566" s="2">
        <f t="shared" si="1"/>
        <v>-267</v>
      </c>
      <c r="H566" s="2" t="s">
        <v>72</v>
      </c>
      <c r="L566" s="2" t="s">
        <v>11</v>
      </c>
    </row>
    <row r="567" ht="12.75" customHeight="1">
      <c r="A567" s="2">
        <v>2015.0</v>
      </c>
      <c r="B567" s="2">
        <v>5.0</v>
      </c>
      <c r="C567" s="2">
        <v>9.0</v>
      </c>
      <c r="D567" s="2" t="s">
        <v>256</v>
      </c>
      <c r="E567" s="2">
        <v>-110.0</v>
      </c>
      <c r="F567" s="2">
        <v>0.0</v>
      </c>
      <c r="G567" s="2">
        <f t="shared" si="1"/>
        <v>-110</v>
      </c>
      <c r="H567" s="2" t="s">
        <v>42</v>
      </c>
      <c r="L567" s="2" t="s">
        <v>11</v>
      </c>
    </row>
    <row r="568" ht="12.75" customHeight="1">
      <c r="A568" s="2">
        <v>2015.0</v>
      </c>
      <c r="B568" s="2">
        <v>5.0</v>
      </c>
      <c r="C568" s="2">
        <v>8.0</v>
      </c>
      <c r="D568" s="2" t="s">
        <v>318</v>
      </c>
      <c r="E568" s="2">
        <v>-298.44</v>
      </c>
      <c r="F568" s="2">
        <v>0.0</v>
      </c>
      <c r="G568" s="2">
        <f t="shared" si="1"/>
        <v>-298.44</v>
      </c>
      <c r="H568" s="2" t="s">
        <v>47</v>
      </c>
      <c r="L568" s="2" t="s">
        <v>11</v>
      </c>
    </row>
    <row r="569" ht="12.75" customHeight="1">
      <c r="A569" s="2">
        <v>2015.0</v>
      </c>
      <c r="B569" s="2">
        <v>5.0</v>
      </c>
      <c r="C569" s="2">
        <v>7.0</v>
      </c>
      <c r="D569" s="2" t="s">
        <v>319</v>
      </c>
      <c r="E569" s="2">
        <v>-60.0</v>
      </c>
      <c r="F569" s="2">
        <v>0.0</v>
      </c>
      <c r="G569" s="2">
        <f t="shared" si="1"/>
        <v>-60</v>
      </c>
      <c r="H569" s="2" t="s">
        <v>47</v>
      </c>
      <c r="L569" s="2" t="s">
        <v>11</v>
      </c>
    </row>
    <row r="570" ht="12.75" customHeight="1">
      <c r="A570" s="2">
        <v>2015.0</v>
      </c>
      <c r="B570" s="2">
        <v>5.0</v>
      </c>
      <c r="C570" s="2">
        <v>7.0</v>
      </c>
      <c r="D570" s="2" t="s">
        <v>320</v>
      </c>
      <c r="E570" s="2">
        <v>-1879.0</v>
      </c>
      <c r="F570" s="2">
        <v>0.0</v>
      </c>
      <c r="G570" s="2">
        <f t="shared" si="1"/>
        <v>-1879</v>
      </c>
      <c r="H570" s="2" t="s">
        <v>35</v>
      </c>
      <c r="L570" s="2" t="s">
        <v>11</v>
      </c>
    </row>
    <row r="571" ht="12.75" customHeight="1">
      <c r="A571" s="2">
        <v>2015.0</v>
      </c>
      <c r="B571" s="2">
        <v>5.0</v>
      </c>
      <c r="C571" s="2">
        <v>7.0</v>
      </c>
      <c r="D571" s="2" t="s">
        <v>102</v>
      </c>
      <c r="E571" s="2">
        <v>-182.0</v>
      </c>
      <c r="F571" s="2">
        <v>0.0</v>
      </c>
      <c r="G571" s="2">
        <f t="shared" si="1"/>
        <v>-182</v>
      </c>
      <c r="H571" s="2" t="s">
        <v>103</v>
      </c>
      <c r="L571" s="2" t="s">
        <v>11</v>
      </c>
    </row>
    <row r="572" ht="12.75" customHeight="1">
      <c r="A572" s="2">
        <v>2015.0</v>
      </c>
      <c r="B572" s="2">
        <v>5.0</v>
      </c>
      <c r="C572" s="2">
        <v>7.0</v>
      </c>
      <c r="D572" s="2" t="s">
        <v>321</v>
      </c>
      <c r="E572" s="2">
        <v>-100.0</v>
      </c>
      <c r="F572" s="2">
        <v>0.0</v>
      </c>
      <c r="G572" s="2">
        <f t="shared" si="1"/>
        <v>-100</v>
      </c>
      <c r="H572" s="2" t="s">
        <v>13</v>
      </c>
      <c r="L572" s="2" t="s">
        <v>11</v>
      </c>
    </row>
    <row r="573" ht="12.75" customHeight="1">
      <c r="A573" s="2">
        <v>2015.0</v>
      </c>
      <c r="B573" s="2">
        <v>5.0</v>
      </c>
      <c r="C573" s="2">
        <v>5.0</v>
      </c>
      <c r="D573" s="2" t="s">
        <v>322</v>
      </c>
      <c r="E573" s="2">
        <v>-106.0</v>
      </c>
      <c r="F573" s="2">
        <v>0.0</v>
      </c>
      <c r="G573" s="2">
        <f t="shared" si="1"/>
        <v>-106</v>
      </c>
      <c r="H573" s="2" t="s">
        <v>72</v>
      </c>
      <c r="L573" s="2" t="s">
        <v>11</v>
      </c>
    </row>
    <row r="574" ht="12.75" customHeight="1">
      <c r="A574" s="2">
        <v>2015.0</v>
      </c>
      <c r="B574" s="2">
        <v>5.0</v>
      </c>
      <c r="C574" s="2">
        <v>4.0</v>
      </c>
      <c r="D574" s="2" t="s">
        <v>303</v>
      </c>
      <c r="E574" s="2">
        <v>-179.0</v>
      </c>
      <c r="F574" s="2">
        <v>0.0</v>
      </c>
      <c r="G574" s="2">
        <f t="shared" si="1"/>
        <v>-179</v>
      </c>
      <c r="H574" s="2" t="s">
        <v>72</v>
      </c>
      <c r="L574" s="2" t="s">
        <v>11</v>
      </c>
    </row>
    <row r="575" ht="12.75" customHeight="1">
      <c r="A575" s="2">
        <v>2015.0</v>
      </c>
      <c r="B575" s="2">
        <v>5.0</v>
      </c>
      <c r="C575" s="2">
        <v>4.0</v>
      </c>
      <c r="D575" s="2" t="s">
        <v>323</v>
      </c>
      <c r="E575" s="2">
        <v>-70.0</v>
      </c>
      <c r="F575" s="2">
        <v>0.0</v>
      </c>
      <c r="G575" s="2">
        <f t="shared" si="1"/>
        <v>-70</v>
      </c>
      <c r="H575" s="2" t="s">
        <v>47</v>
      </c>
      <c r="L575" s="2" t="s">
        <v>11</v>
      </c>
    </row>
    <row r="576" ht="12.75" customHeight="1">
      <c r="A576" s="2">
        <v>2015.0</v>
      </c>
      <c r="B576" s="2">
        <v>5.0</v>
      </c>
      <c r="C576" s="2">
        <v>4.0</v>
      </c>
      <c r="D576" s="2" t="s">
        <v>157</v>
      </c>
      <c r="E576" s="2">
        <v>-130.0</v>
      </c>
      <c r="F576" s="2">
        <v>0.0</v>
      </c>
      <c r="G576" s="2">
        <f t="shared" si="1"/>
        <v>-130</v>
      </c>
      <c r="H576" s="2" t="s">
        <v>17</v>
      </c>
      <c r="L576" s="2" t="s">
        <v>11</v>
      </c>
    </row>
    <row r="577" ht="12.75" customHeight="1">
      <c r="A577" s="2">
        <v>2015.0</v>
      </c>
      <c r="B577" s="2">
        <v>5.0</v>
      </c>
      <c r="C577" s="2">
        <v>4.0</v>
      </c>
      <c r="D577" s="2" t="s">
        <v>324</v>
      </c>
      <c r="E577" s="2">
        <v>-250.0</v>
      </c>
      <c r="F577" s="2">
        <v>0.0</v>
      </c>
      <c r="G577" s="2">
        <f t="shared" si="1"/>
        <v>-250</v>
      </c>
      <c r="H577" s="2" t="s">
        <v>26</v>
      </c>
      <c r="L577" s="2" t="s">
        <v>11</v>
      </c>
    </row>
    <row r="578" ht="12.75" customHeight="1">
      <c r="A578" s="2">
        <v>2015.0</v>
      </c>
      <c r="B578" s="2">
        <v>5.0</v>
      </c>
      <c r="C578" s="2">
        <v>4.0</v>
      </c>
      <c r="D578" s="2" t="s">
        <v>73</v>
      </c>
      <c r="E578" s="2">
        <v>-9088.0</v>
      </c>
      <c r="F578" s="2">
        <v>0.0</v>
      </c>
      <c r="G578" s="2">
        <f t="shared" si="1"/>
        <v>-9088</v>
      </c>
      <c r="H578" s="2" t="s">
        <v>10</v>
      </c>
      <c r="L578" s="2" t="s">
        <v>11</v>
      </c>
    </row>
    <row r="579" ht="12.75" customHeight="1">
      <c r="A579" s="2">
        <v>2015.0</v>
      </c>
      <c r="B579" s="2">
        <v>5.0</v>
      </c>
      <c r="C579" s="2">
        <v>1.0</v>
      </c>
      <c r="D579" s="2" t="s">
        <v>325</v>
      </c>
      <c r="E579" s="2">
        <v>-165.0</v>
      </c>
      <c r="F579" s="2">
        <v>0.0</v>
      </c>
      <c r="G579" s="2">
        <f t="shared" si="1"/>
        <v>-165</v>
      </c>
      <c r="H579" s="2" t="s">
        <v>52</v>
      </c>
      <c r="L579" s="2" t="s">
        <v>11</v>
      </c>
    </row>
    <row r="580" ht="12.75" customHeight="1">
      <c r="A580" s="2">
        <v>2015.0</v>
      </c>
      <c r="B580" s="2">
        <v>5.0</v>
      </c>
      <c r="C580" s="2">
        <v>1.0</v>
      </c>
      <c r="D580" s="2" t="s">
        <v>326</v>
      </c>
      <c r="E580" s="2">
        <v>-333.0</v>
      </c>
      <c r="F580" s="2">
        <v>0.0</v>
      </c>
      <c r="G580" s="2">
        <f t="shared" si="1"/>
        <v>-333</v>
      </c>
      <c r="H580" s="2" t="s">
        <v>52</v>
      </c>
      <c r="L580" s="2" t="s">
        <v>11</v>
      </c>
    </row>
    <row r="581" ht="12.75" customHeight="1">
      <c r="A581" s="2">
        <v>2015.0</v>
      </c>
      <c r="B581" s="2">
        <v>5.0</v>
      </c>
      <c r="C581" s="2">
        <v>1.0</v>
      </c>
      <c r="D581" s="2" t="s">
        <v>327</v>
      </c>
      <c r="E581" s="2">
        <v>-94.0</v>
      </c>
      <c r="F581" s="2">
        <v>0.0</v>
      </c>
      <c r="G581" s="2">
        <f t="shared" si="1"/>
        <v>-94</v>
      </c>
      <c r="H581" s="2" t="s">
        <v>52</v>
      </c>
      <c r="L581" s="2" t="s">
        <v>11</v>
      </c>
    </row>
    <row r="582" ht="12.75" customHeight="1">
      <c r="A582" s="2">
        <v>2015.0</v>
      </c>
      <c r="B582" s="2">
        <v>5.0</v>
      </c>
      <c r="C582" s="2">
        <v>1.0</v>
      </c>
      <c r="D582" s="2" t="s">
        <v>327</v>
      </c>
      <c r="E582" s="2">
        <v>-88.0</v>
      </c>
      <c r="F582" s="2">
        <v>0.0</v>
      </c>
      <c r="G582" s="2">
        <f t="shared" si="1"/>
        <v>-88</v>
      </c>
      <c r="H582" s="2" t="s">
        <v>52</v>
      </c>
      <c r="L582" s="2" t="s">
        <v>11</v>
      </c>
    </row>
    <row r="583" ht="12.75" customHeight="1">
      <c r="A583" s="2">
        <v>2015.0</v>
      </c>
      <c r="B583" s="2">
        <v>5.0</v>
      </c>
      <c r="C583" s="2">
        <v>1.0</v>
      </c>
      <c r="D583" s="2" t="s">
        <v>327</v>
      </c>
      <c r="E583" s="2">
        <v>-200.0</v>
      </c>
      <c r="F583" s="2">
        <v>0.0</v>
      </c>
      <c r="G583" s="2">
        <f t="shared" si="1"/>
        <v>-200</v>
      </c>
      <c r="H583" s="2" t="s">
        <v>52</v>
      </c>
      <c r="L583" s="2" t="s">
        <v>11</v>
      </c>
    </row>
    <row r="584" ht="12.75" customHeight="1">
      <c r="A584" s="2">
        <v>2015.0</v>
      </c>
      <c r="B584" s="2">
        <v>5.0</v>
      </c>
      <c r="C584" s="2">
        <v>1.0</v>
      </c>
      <c r="D584" s="2" t="s">
        <v>327</v>
      </c>
      <c r="E584" s="2">
        <v>-174.0</v>
      </c>
      <c r="F584" s="2">
        <v>0.0</v>
      </c>
      <c r="G584" s="2">
        <f t="shared" si="1"/>
        <v>-174</v>
      </c>
      <c r="H584" s="2" t="s">
        <v>52</v>
      </c>
      <c r="L584" s="2" t="s">
        <v>11</v>
      </c>
    </row>
    <row r="585" ht="12.75" customHeight="1">
      <c r="A585" s="2">
        <v>2015.0</v>
      </c>
      <c r="B585" s="2">
        <v>5.0</v>
      </c>
      <c r="C585" s="2">
        <v>1.0</v>
      </c>
      <c r="D585" s="2" t="s">
        <v>328</v>
      </c>
      <c r="E585" s="2">
        <v>50000.0</v>
      </c>
      <c r="F585" s="2">
        <v>0.0</v>
      </c>
      <c r="G585" s="2">
        <f t="shared" si="1"/>
        <v>50000</v>
      </c>
      <c r="H585" s="2" t="s">
        <v>18</v>
      </c>
      <c r="L585" s="2" t="s">
        <v>11</v>
      </c>
    </row>
    <row r="586" ht="12.75" customHeight="1">
      <c r="A586" s="2">
        <v>2015.0</v>
      </c>
      <c r="B586" s="2">
        <v>4.0</v>
      </c>
      <c r="C586" s="2">
        <v>30.0</v>
      </c>
      <c r="D586" s="2" t="s">
        <v>329</v>
      </c>
      <c r="E586" s="2">
        <v>-200.0</v>
      </c>
      <c r="F586" s="2">
        <v>0.0</v>
      </c>
      <c r="G586" s="2">
        <f t="shared" si="1"/>
        <v>-200</v>
      </c>
      <c r="H586" s="2" t="s">
        <v>52</v>
      </c>
      <c r="L586" s="2" t="s">
        <v>11</v>
      </c>
    </row>
    <row r="587" ht="12.75" customHeight="1">
      <c r="A587" s="2">
        <v>2015.0</v>
      </c>
      <c r="B587" s="2">
        <v>4.0</v>
      </c>
      <c r="C587" s="2">
        <v>30.0</v>
      </c>
      <c r="D587" s="2" t="s">
        <v>330</v>
      </c>
      <c r="E587" s="2">
        <v>-155.5</v>
      </c>
      <c r="F587" s="2">
        <v>0.0</v>
      </c>
      <c r="G587" s="2">
        <f t="shared" si="1"/>
        <v>-155.5</v>
      </c>
      <c r="H587" s="2" t="s">
        <v>52</v>
      </c>
      <c r="I587" s="2" t="s">
        <v>331</v>
      </c>
      <c r="L587" s="2" t="s">
        <v>11</v>
      </c>
    </row>
    <row r="588" ht="12.75" customHeight="1">
      <c r="A588" s="2">
        <v>2015.0</v>
      </c>
      <c r="B588" s="2">
        <v>4.0</v>
      </c>
      <c r="C588" s="2">
        <v>30.0</v>
      </c>
      <c r="D588" s="2" t="s">
        <v>12</v>
      </c>
      <c r="E588" s="2">
        <v>-10856.46</v>
      </c>
      <c r="F588" s="2">
        <v>0.0</v>
      </c>
      <c r="G588" s="2">
        <f t="shared" si="1"/>
        <v>-10856.46</v>
      </c>
      <c r="H588" s="2" t="s">
        <v>227</v>
      </c>
      <c r="L588" s="2" t="s">
        <v>228</v>
      </c>
    </row>
    <row r="589" ht="12.75" customHeight="1">
      <c r="A589" s="2">
        <v>2015.0</v>
      </c>
      <c r="B589" s="2">
        <v>4.0</v>
      </c>
      <c r="C589" s="2">
        <v>30.0</v>
      </c>
      <c r="D589" s="2" t="s">
        <v>332</v>
      </c>
      <c r="E589" s="2">
        <v>-74.0</v>
      </c>
      <c r="F589" s="2">
        <v>0.0</v>
      </c>
      <c r="G589" s="2">
        <f t="shared" si="1"/>
        <v>-74</v>
      </c>
      <c r="H589" s="2" t="s">
        <v>26</v>
      </c>
      <c r="I589" s="2" t="s">
        <v>333</v>
      </c>
      <c r="L589" s="2" t="s">
        <v>11</v>
      </c>
    </row>
    <row r="590" ht="12.75" customHeight="1">
      <c r="A590" s="2">
        <v>2015.0</v>
      </c>
      <c r="B590" s="2">
        <v>4.0</v>
      </c>
      <c r="C590" s="2">
        <v>30.0</v>
      </c>
      <c r="D590" s="2" t="s">
        <v>334</v>
      </c>
      <c r="E590" s="2">
        <v>-3143.0</v>
      </c>
      <c r="F590" s="2">
        <v>0.0</v>
      </c>
      <c r="G590" s="2">
        <f t="shared" si="1"/>
        <v>-3143</v>
      </c>
      <c r="H590" s="2" t="s">
        <v>35</v>
      </c>
      <c r="L590" s="2" t="s">
        <v>11</v>
      </c>
    </row>
    <row r="591" ht="12.75" customHeight="1">
      <c r="A591" s="2">
        <v>2015.0</v>
      </c>
      <c r="B591" s="2">
        <v>4.0</v>
      </c>
      <c r="C591" s="2">
        <v>30.0</v>
      </c>
      <c r="D591" s="2" t="s">
        <v>14</v>
      </c>
      <c r="E591" s="2">
        <v>-4007.0</v>
      </c>
      <c r="F591" s="2">
        <v>0.0</v>
      </c>
      <c r="G591" s="2">
        <f t="shared" si="1"/>
        <v>-4007</v>
      </c>
      <c r="H591" s="2" t="s">
        <v>10</v>
      </c>
      <c r="L591" s="2" t="s">
        <v>11</v>
      </c>
    </row>
    <row r="592" ht="12.75" customHeight="1">
      <c r="A592" s="2">
        <v>2015.0</v>
      </c>
      <c r="B592" s="2">
        <v>4.0</v>
      </c>
      <c r="C592" s="2">
        <v>30.0</v>
      </c>
      <c r="D592" s="2" t="s">
        <v>15</v>
      </c>
      <c r="E592" s="2">
        <v>-207.8</v>
      </c>
      <c r="F592" s="2">
        <v>0.0</v>
      </c>
      <c r="G592" s="2">
        <f t="shared" si="1"/>
        <v>-207.8</v>
      </c>
      <c r="H592" s="2" t="s">
        <v>10</v>
      </c>
      <c r="L592" s="2" t="s">
        <v>11</v>
      </c>
    </row>
    <row r="593" ht="12.75" customHeight="1">
      <c r="A593" s="2">
        <v>2015.0</v>
      </c>
      <c r="B593" s="2">
        <v>4.0</v>
      </c>
      <c r="C593" s="2">
        <v>30.0</v>
      </c>
      <c r="D593" s="2" t="s">
        <v>283</v>
      </c>
      <c r="E593" s="2">
        <v>-90.0</v>
      </c>
      <c r="F593" s="2">
        <v>0.0</v>
      </c>
      <c r="G593" s="2">
        <f t="shared" si="1"/>
        <v>-90</v>
      </c>
      <c r="H593" s="2" t="s">
        <v>38</v>
      </c>
      <c r="L593" s="2" t="s">
        <v>11</v>
      </c>
    </row>
    <row r="594" ht="12.75" customHeight="1">
      <c r="A594" s="2">
        <v>2015.0</v>
      </c>
      <c r="B594" s="2">
        <v>4.0</v>
      </c>
      <c r="C594" s="2">
        <v>30.0</v>
      </c>
      <c r="D594" s="2">
        <v>4.7516877E7</v>
      </c>
      <c r="E594" s="2">
        <v>1000.0</v>
      </c>
      <c r="F594" s="2">
        <v>0.0</v>
      </c>
      <c r="G594" s="2">
        <f t="shared" si="1"/>
        <v>1000</v>
      </c>
      <c r="H594" s="2" t="s">
        <v>18</v>
      </c>
      <c r="L594" s="2" t="s">
        <v>11</v>
      </c>
    </row>
    <row r="595" ht="12.75" customHeight="1">
      <c r="A595" s="2">
        <v>2015.0</v>
      </c>
      <c r="B595" s="2">
        <v>4.0</v>
      </c>
      <c r="C595" s="2">
        <v>29.0</v>
      </c>
      <c r="D595" s="2" t="s">
        <v>19</v>
      </c>
      <c r="E595" s="2">
        <v>-320.0</v>
      </c>
      <c r="F595" s="2">
        <v>0.0</v>
      </c>
      <c r="G595" s="2">
        <f t="shared" si="1"/>
        <v>-320</v>
      </c>
      <c r="H595" s="2" t="s">
        <v>20</v>
      </c>
      <c r="L595" s="2" t="s">
        <v>11</v>
      </c>
    </row>
    <row r="596" ht="12.75" customHeight="1">
      <c r="A596" s="2">
        <v>2015.0</v>
      </c>
      <c r="B596" s="2">
        <v>4.0</v>
      </c>
      <c r="C596" s="2">
        <v>29.0</v>
      </c>
      <c r="D596" s="2" t="s">
        <v>283</v>
      </c>
      <c r="E596" s="2">
        <v>-95.0</v>
      </c>
      <c r="F596" s="2">
        <v>0.0</v>
      </c>
      <c r="G596" s="2">
        <f t="shared" si="1"/>
        <v>-95</v>
      </c>
      <c r="H596" s="2" t="s">
        <v>38</v>
      </c>
      <c r="L596" s="2" t="s">
        <v>11</v>
      </c>
    </row>
    <row r="597" ht="12.75" customHeight="1">
      <c r="A597" s="2">
        <v>2015.0</v>
      </c>
      <c r="B597" s="2">
        <v>4.0</v>
      </c>
      <c r="C597" s="2">
        <v>29.0</v>
      </c>
      <c r="D597" s="2" t="s">
        <v>23</v>
      </c>
      <c r="E597" s="2">
        <v>-303.0</v>
      </c>
      <c r="F597" s="2">
        <v>0.0</v>
      </c>
      <c r="G597" s="2">
        <f t="shared" si="1"/>
        <v>-303</v>
      </c>
      <c r="H597" s="2" t="s">
        <v>24</v>
      </c>
      <c r="L597" s="2" t="s">
        <v>11</v>
      </c>
    </row>
    <row r="598" ht="12.75" customHeight="1">
      <c r="A598" s="2">
        <v>2015.0</v>
      </c>
      <c r="B598" s="2">
        <v>4.0</v>
      </c>
      <c r="C598" s="2">
        <v>28.0</v>
      </c>
      <c r="D598" s="2" t="s">
        <v>94</v>
      </c>
      <c r="E598" s="2">
        <v>787.0</v>
      </c>
      <c r="F598" s="2">
        <v>0.0</v>
      </c>
      <c r="G598" s="2">
        <f t="shared" si="1"/>
        <v>787</v>
      </c>
      <c r="H598" s="2" t="s">
        <v>164</v>
      </c>
      <c r="L598" s="2" t="s">
        <v>11</v>
      </c>
    </row>
    <row r="599" ht="12.75" customHeight="1">
      <c r="A599" s="2">
        <v>2015.0</v>
      </c>
      <c r="B599" s="2">
        <v>4.0</v>
      </c>
      <c r="C599" s="2">
        <v>28.0</v>
      </c>
      <c r="D599" s="2" t="s">
        <v>25</v>
      </c>
      <c r="E599" s="2">
        <v>-100.0</v>
      </c>
      <c r="F599" s="2">
        <v>0.0</v>
      </c>
      <c r="G599" s="2">
        <f t="shared" si="1"/>
        <v>-100</v>
      </c>
      <c r="H599" s="2" t="s">
        <v>26</v>
      </c>
      <c r="L599" s="2" t="s">
        <v>11</v>
      </c>
    </row>
    <row r="600" ht="12.75" customHeight="1">
      <c r="A600" s="2">
        <v>2015.0</v>
      </c>
      <c r="B600" s="2">
        <v>4.0</v>
      </c>
      <c r="C600" s="2">
        <v>28.0</v>
      </c>
      <c r="D600" s="2" t="s">
        <v>282</v>
      </c>
      <c r="E600" s="2">
        <v>-45.0</v>
      </c>
      <c r="F600" s="2">
        <v>0.0</v>
      </c>
      <c r="G600" s="2">
        <f t="shared" si="1"/>
        <v>-45</v>
      </c>
      <c r="H600" s="2" t="s">
        <v>42</v>
      </c>
      <c r="L600" s="2" t="s">
        <v>11</v>
      </c>
    </row>
    <row r="601" ht="12.75" customHeight="1">
      <c r="A601" s="2">
        <v>2015.0</v>
      </c>
      <c r="B601" s="2">
        <v>4.0</v>
      </c>
      <c r="C601" s="2">
        <v>27.0</v>
      </c>
      <c r="D601" s="2" t="s">
        <v>335</v>
      </c>
      <c r="E601" s="2">
        <v>-2750.0</v>
      </c>
      <c r="F601" s="2">
        <v>0.0</v>
      </c>
      <c r="G601" s="2">
        <f t="shared" si="1"/>
        <v>-2750</v>
      </c>
      <c r="H601" s="2" t="s">
        <v>26</v>
      </c>
      <c r="L601" s="2" t="s">
        <v>11</v>
      </c>
    </row>
    <row r="602" ht="12.75" customHeight="1">
      <c r="A602" s="2">
        <v>2015.0</v>
      </c>
      <c r="B602" s="2">
        <v>4.0</v>
      </c>
      <c r="C602" s="2">
        <v>27.0</v>
      </c>
      <c r="D602" s="2" t="s">
        <v>27</v>
      </c>
      <c r="E602" s="2">
        <v>-5000.0</v>
      </c>
      <c r="F602" s="2">
        <v>0.0</v>
      </c>
      <c r="G602" s="2">
        <f t="shared" si="1"/>
        <v>-5000</v>
      </c>
      <c r="H602" s="2" t="s">
        <v>227</v>
      </c>
      <c r="L602" s="2" t="s">
        <v>11</v>
      </c>
    </row>
    <row r="603" ht="12.75" customHeight="1">
      <c r="A603" s="2">
        <v>2015.0</v>
      </c>
      <c r="B603" s="2">
        <v>4.0</v>
      </c>
      <c r="C603" s="2">
        <v>27.0</v>
      </c>
      <c r="D603" s="2" t="s">
        <v>27</v>
      </c>
      <c r="E603" s="2">
        <v>5000.0</v>
      </c>
      <c r="F603" s="2">
        <v>0.0</v>
      </c>
      <c r="G603" s="2">
        <f t="shared" si="1"/>
        <v>5000</v>
      </c>
      <c r="H603" s="2" t="s">
        <v>227</v>
      </c>
      <c r="L603" s="2" t="s">
        <v>11</v>
      </c>
    </row>
    <row r="604" ht="12.75" customHeight="1">
      <c r="A604" s="2">
        <v>2015.0</v>
      </c>
      <c r="B604" s="2">
        <v>4.0</v>
      </c>
      <c r="C604" s="2">
        <v>27.0</v>
      </c>
      <c r="D604" s="2" t="s">
        <v>29</v>
      </c>
      <c r="E604" s="2">
        <v>-1250.0</v>
      </c>
      <c r="F604" s="2">
        <v>0.0</v>
      </c>
      <c r="G604" s="2">
        <f t="shared" si="1"/>
        <v>-1250</v>
      </c>
      <c r="H604" s="2" t="s">
        <v>18</v>
      </c>
      <c r="L604" s="2" t="s">
        <v>11</v>
      </c>
    </row>
    <row r="605" ht="12.75" customHeight="1">
      <c r="A605" s="2">
        <v>2015.0</v>
      </c>
      <c r="B605" s="2">
        <v>4.0</v>
      </c>
      <c r="C605" s="2">
        <v>26.0</v>
      </c>
      <c r="D605" s="2" t="s">
        <v>284</v>
      </c>
      <c r="E605" s="2">
        <v>-110.0</v>
      </c>
      <c r="F605" s="2">
        <v>0.0</v>
      </c>
      <c r="G605" s="2">
        <f t="shared" si="1"/>
        <v>-110</v>
      </c>
      <c r="H605" s="2" t="s">
        <v>42</v>
      </c>
      <c r="L605" s="2" t="s">
        <v>11</v>
      </c>
    </row>
    <row r="606" ht="12.75" customHeight="1">
      <c r="A606" s="2">
        <v>2015.0</v>
      </c>
      <c r="B606" s="2">
        <v>4.0</v>
      </c>
      <c r="C606" s="2">
        <v>24.0</v>
      </c>
      <c r="D606" s="2" t="s">
        <v>259</v>
      </c>
      <c r="E606" s="2">
        <v>-660.0</v>
      </c>
      <c r="F606" s="2">
        <v>0.0</v>
      </c>
      <c r="G606" s="2">
        <f t="shared" si="1"/>
        <v>-660</v>
      </c>
      <c r="H606" s="2" t="s">
        <v>47</v>
      </c>
      <c r="L606" s="2" t="s">
        <v>11</v>
      </c>
    </row>
    <row r="607" ht="12.75" customHeight="1">
      <c r="A607" s="2">
        <v>2015.0</v>
      </c>
      <c r="B607" s="2">
        <v>4.0</v>
      </c>
      <c r="C607" s="2">
        <v>23.0</v>
      </c>
      <c r="D607" s="2" t="s">
        <v>336</v>
      </c>
      <c r="E607" s="2">
        <v>-55.0</v>
      </c>
      <c r="F607" s="2">
        <v>0.0</v>
      </c>
      <c r="G607" s="2">
        <f t="shared" si="1"/>
        <v>-55</v>
      </c>
      <c r="H607" s="2" t="s">
        <v>42</v>
      </c>
      <c r="L607" s="2" t="s">
        <v>11</v>
      </c>
    </row>
    <row r="608" ht="12.75" customHeight="1">
      <c r="A608" s="2">
        <v>2015.0</v>
      </c>
      <c r="B608" s="2">
        <v>4.0</v>
      </c>
      <c r="C608" s="2">
        <v>23.0</v>
      </c>
      <c r="D608" s="2" t="s">
        <v>39</v>
      </c>
      <c r="E608" s="2">
        <v>27501.0</v>
      </c>
      <c r="F608" s="2">
        <v>0.0</v>
      </c>
      <c r="G608" s="2">
        <f t="shared" si="1"/>
        <v>27501</v>
      </c>
      <c r="H608" s="2" t="s">
        <v>40</v>
      </c>
      <c r="L608" s="2" t="s">
        <v>11</v>
      </c>
    </row>
    <row r="609" ht="12.75" customHeight="1">
      <c r="A609" s="2">
        <v>2015.0</v>
      </c>
      <c r="B609" s="2">
        <v>4.0</v>
      </c>
      <c r="C609" s="2">
        <v>22.0</v>
      </c>
      <c r="D609" s="2" t="s">
        <v>279</v>
      </c>
      <c r="E609" s="2">
        <v>-70.0</v>
      </c>
      <c r="F609" s="2">
        <v>0.0</v>
      </c>
      <c r="G609" s="2">
        <f t="shared" si="1"/>
        <v>-70</v>
      </c>
      <c r="H609" s="2" t="s">
        <v>47</v>
      </c>
      <c r="L609" s="2" t="s">
        <v>11</v>
      </c>
    </row>
    <row r="610" ht="12.75" customHeight="1">
      <c r="A610" s="2">
        <v>2015.0</v>
      </c>
      <c r="B610" s="2">
        <v>4.0</v>
      </c>
      <c r="C610" s="2">
        <v>21.0</v>
      </c>
      <c r="D610" s="2" t="s">
        <v>279</v>
      </c>
      <c r="E610" s="2">
        <v>-70.0</v>
      </c>
      <c r="F610" s="2">
        <v>0.0</v>
      </c>
      <c r="G610" s="2">
        <f t="shared" si="1"/>
        <v>-70</v>
      </c>
      <c r="H610" s="2" t="s">
        <v>47</v>
      </c>
      <c r="L610" s="2" t="s">
        <v>11</v>
      </c>
    </row>
    <row r="611" ht="12.75" customHeight="1">
      <c r="A611" s="2">
        <v>2015.0</v>
      </c>
      <c r="B611" s="2">
        <v>4.0</v>
      </c>
      <c r="C611" s="2">
        <v>21.0</v>
      </c>
      <c r="D611" s="2" t="s">
        <v>70</v>
      </c>
      <c r="E611" s="2">
        <v>100.0</v>
      </c>
      <c r="F611" s="2">
        <v>0.0</v>
      </c>
      <c r="G611" s="2">
        <f t="shared" si="1"/>
        <v>100</v>
      </c>
      <c r="H611" s="2" t="s">
        <v>38</v>
      </c>
      <c r="L611" s="2" t="s">
        <v>11</v>
      </c>
    </row>
    <row r="612" ht="12.75" customHeight="1">
      <c r="A612" s="2">
        <v>2015.0</v>
      </c>
      <c r="B612" s="2">
        <v>4.0</v>
      </c>
      <c r="C612" s="2">
        <v>21.0</v>
      </c>
      <c r="D612" s="2" t="s">
        <v>337</v>
      </c>
      <c r="E612" s="2">
        <v>-200.0</v>
      </c>
      <c r="F612" s="2">
        <v>0.0</v>
      </c>
      <c r="G612" s="2">
        <f t="shared" si="1"/>
        <v>-200</v>
      </c>
      <c r="H612" s="2" t="s">
        <v>38</v>
      </c>
      <c r="L612" s="2" t="s">
        <v>11</v>
      </c>
    </row>
    <row r="613" ht="12.75" customHeight="1">
      <c r="A613" s="2">
        <v>2015.0</v>
      </c>
      <c r="B613" s="2">
        <v>4.0</v>
      </c>
      <c r="C613" s="2">
        <v>19.0</v>
      </c>
      <c r="D613" s="2" t="s">
        <v>338</v>
      </c>
      <c r="E613" s="2">
        <v>-65.0</v>
      </c>
      <c r="F613" s="2">
        <v>0.0</v>
      </c>
      <c r="G613" s="2">
        <f t="shared" si="1"/>
        <v>-65</v>
      </c>
      <c r="H613" s="2" t="s">
        <v>42</v>
      </c>
      <c r="L613" s="2" t="s">
        <v>11</v>
      </c>
    </row>
    <row r="614" ht="12.75" customHeight="1">
      <c r="A614" s="2">
        <v>2015.0</v>
      </c>
      <c r="B614" s="2">
        <v>4.0</v>
      </c>
      <c r="C614" s="2">
        <v>19.0</v>
      </c>
      <c r="D614" s="2" t="s">
        <v>339</v>
      </c>
      <c r="E614" s="2">
        <v>-384.0</v>
      </c>
      <c r="F614" s="2">
        <v>0.0</v>
      </c>
      <c r="G614" s="2">
        <f t="shared" si="1"/>
        <v>-384</v>
      </c>
      <c r="H614" s="2" t="s">
        <v>47</v>
      </c>
      <c r="L614" s="2" t="s">
        <v>11</v>
      </c>
    </row>
    <row r="615" ht="12.75" customHeight="1">
      <c r="A615" s="2">
        <v>2015.0</v>
      </c>
      <c r="B615" s="2">
        <v>4.0</v>
      </c>
      <c r="C615" s="2">
        <v>19.0</v>
      </c>
      <c r="D615" s="2" t="s">
        <v>340</v>
      </c>
      <c r="E615" s="2">
        <v>-252.0</v>
      </c>
      <c r="F615" s="2">
        <v>0.0</v>
      </c>
      <c r="G615" s="2">
        <f t="shared" si="1"/>
        <v>-252</v>
      </c>
      <c r="H615" s="2" t="s">
        <v>47</v>
      </c>
      <c r="I615" s="2" t="s">
        <v>341</v>
      </c>
      <c r="L615" s="2" t="s">
        <v>11</v>
      </c>
    </row>
    <row r="616" ht="12.75" customHeight="1">
      <c r="A616" s="2">
        <v>2015.0</v>
      </c>
      <c r="B616" s="2">
        <v>4.0</v>
      </c>
      <c r="C616" s="2">
        <v>18.0</v>
      </c>
      <c r="D616" s="2" t="s">
        <v>292</v>
      </c>
      <c r="E616" s="2">
        <v>-256.0</v>
      </c>
      <c r="F616" s="2">
        <v>0.0</v>
      </c>
      <c r="G616" s="2">
        <f t="shared" si="1"/>
        <v>-256</v>
      </c>
      <c r="H616" s="2" t="s">
        <v>52</v>
      </c>
      <c r="I616" s="2" t="s">
        <v>342</v>
      </c>
      <c r="L616" s="2" t="s">
        <v>11</v>
      </c>
    </row>
    <row r="617" ht="12.75" customHeight="1">
      <c r="A617" s="2">
        <v>2015.0</v>
      </c>
      <c r="B617" s="2">
        <v>4.0</v>
      </c>
      <c r="C617" s="2">
        <v>18.0</v>
      </c>
      <c r="D617" s="2" t="s">
        <v>292</v>
      </c>
      <c r="E617" s="2">
        <v>-136.0</v>
      </c>
      <c r="F617" s="2">
        <v>0.0</v>
      </c>
      <c r="G617" s="2">
        <f t="shared" si="1"/>
        <v>-136</v>
      </c>
      <c r="H617" s="2" t="s">
        <v>52</v>
      </c>
      <c r="L617" s="2" t="s">
        <v>11</v>
      </c>
    </row>
    <row r="618" ht="12.75" customHeight="1">
      <c r="A618" s="2">
        <v>2015.0</v>
      </c>
      <c r="B618" s="2">
        <v>4.0</v>
      </c>
      <c r="C618" s="2">
        <v>18.0</v>
      </c>
      <c r="D618" s="2" t="s">
        <v>343</v>
      </c>
      <c r="E618" s="2">
        <v>-396.0</v>
      </c>
      <c r="F618" s="2">
        <v>0.0</v>
      </c>
      <c r="G618" s="2">
        <f t="shared" si="1"/>
        <v>-396</v>
      </c>
      <c r="H618" s="2" t="s">
        <v>52</v>
      </c>
      <c r="L618" s="2" t="s">
        <v>11</v>
      </c>
    </row>
    <row r="619" ht="12.75" customHeight="1">
      <c r="A619" s="2">
        <v>2015.0</v>
      </c>
      <c r="B619" s="2">
        <v>4.0</v>
      </c>
      <c r="C619" s="2">
        <v>18.0</v>
      </c>
      <c r="D619" s="2" t="s">
        <v>344</v>
      </c>
      <c r="E619" s="2">
        <v>-700.0</v>
      </c>
      <c r="F619" s="2">
        <v>0.0</v>
      </c>
      <c r="G619" s="2">
        <f t="shared" si="1"/>
        <v>-700</v>
      </c>
      <c r="H619" s="2" t="s">
        <v>52</v>
      </c>
      <c r="I619" s="2" t="s">
        <v>345</v>
      </c>
      <c r="L619" s="2" t="s">
        <v>11</v>
      </c>
    </row>
    <row r="620" ht="12.75" customHeight="1">
      <c r="A620" s="2">
        <v>2015.0</v>
      </c>
      <c r="B620" s="2">
        <v>4.0</v>
      </c>
      <c r="C620" s="2">
        <v>17.0</v>
      </c>
      <c r="D620" s="2" t="s">
        <v>346</v>
      </c>
      <c r="E620" s="2">
        <v>-280.0</v>
      </c>
      <c r="F620" s="2">
        <v>0.0</v>
      </c>
      <c r="G620" s="2">
        <f t="shared" si="1"/>
        <v>-280</v>
      </c>
      <c r="H620" s="2" t="s">
        <v>52</v>
      </c>
      <c r="L620" s="2" t="s">
        <v>11</v>
      </c>
    </row>
    <row r="621" ht="12.75" customHeight="1">
      <c r="A621" s="2">
        <v>2015.0</v>
      </c>
      <c r="B621" s="2">
        <v>4.0</v>
      </c>
      <c r="C621" s="2">
        <v>17.0</v>
      </c>
      <c r="D621" s="2" t="s">
        <v>292</v>
      </c>
      <c r="E621" s="2">
        <v>-168.0</v>
      </c>
      <c r="F621" s="2">
        <v>0.0</v>
      </c>
      <c r="G621" s="2">
        <f t="shared" si="1"/>
        <v>-168</v>
      </c>
      <c r="H621" s="2" t="s">
        <v>52</v>
      </c>
      <c r="L621" s="2" t="s">
        <v>11</v>
      </c>
    </row>
    <row r="622" ht="12.75" customHeight="1">
      <c r="A622" s="2">
        <v>2015.0</v>
      </c>
      <c r="B622" s="2">
        <v>4.0</v>
      </c>
      <c r="C622" s="2">
        <v>17.0</v>
      </c>
      <c r="D622" s="2" t="s">
        <v>292</v>
      </c>
      <c r="E622" s="2">
        <v>-120.0</v>
      </c>
      <c r="F622" s="2">
        <v>0.0</v>
      </c>
      <c r="G622" s="2">
        <f t="shared" si="1"/>
        <v>-120</v>
      </c>
      <c r="H622" s="2" t="s">
        <v>52</v>
      </c>
      <c r="L622" s="2" t="s">
        <v>11</v>
      </c>
    </row>
    <row r="623" ht="12.75" customHeight="1">
      <c r="A623" s="2">
        <v>2015.0</v>
      </c>
      <c r="B623" s="2">
        <v>4.0</v>
      </c>
      <c r="C623" s="2">
        <v>17.0</v>
      </c>
      <c r="D623" s="2" t="s">
        <v>347</v>
      </c>
      <c r="E623" s="2">
        <v>-94.0</v>
      </c>
      <c r="F623" s="2">
        <v>0.0</v>
      </c>
      <c r="G623" s="2">
        <f t="shared" si="1"/>
        <v>-94</v>
      </c>
      <c r="H623" s="2" t="s">
        <v>52</v>
      </c>
      <c r="L623" s="2" t="s">
        <v>11</v>
      </c>
    </row>
    <row r="624" ht="12.75" customHeight="1">
      <c r="A624" s="2">
        <v>2015.0</v>
      </c>
      <c r="B624" s="2">
        <v>4.0</v>
      </c>
      <c r="C624" s="2">
        <v>17.0</v>
      </c>
      <c r="D624" s="2" t="s">
        <v>347</v>
      </c>
      <c r="E624" s="2">
        <v>-312.0</v>
      </c>
      <c r="F624" s="2">
        <v>0.0</v>
      </c>
      <c r="G624" s="2">
        <f t="shared" si="1"/>
        <v>-312</v>
      </c>
      <c r="H624" s="2" t="s">
        <v>52</v>
      </c>
      <c r="L624" s="2" t="s">
        <v>11</v>
      </c>
    </row>
    <row r="625" ht="12.75" customHeight="1">
      <c r="A625" s="2">
        <v>2015.0</v>
      </c>
      <c r="B625" s="2">
        <v>4.0</v>
      </c>
      <c r="C625" s="2">
        <v>17.0</v>
      </c>
      <c r="D625" s="2" t="s">
        <v>347</v>
      </c>
      <c r="E625" s="2">
        <v>-252.0</v>
      </c>
      <c r="F625" s="2">
        <v>0.0</v>
      </c>
      <c r="G625" s="2">
        <f t="shared" si="1"/>
        <v>-252</v>
      </c>
      <c r="H625" s="2" t="s">
        <v>52</v>
      </c>
      <c r="L625" s="2" t="s">
        <v>11</v>
      </c>
    </row>
    <row r="626" ht="12.75" customHeight="1">
      <c r="A626" s="2">
        <v>2015.0</v>
      </c>
      <c r="B626" s="2">
        <v>4.0</v>
      </c>
      <c r="C626" s="2">
        <v>17.0</v>
      </c>
      <c r="D626" s="2" t="s">
        <v>347</v>
      </c>
      <c r="E626" s="2">
        <v>-239.0</v>
      </c>
      <c r="F626" s="2">
        <v>0.0</v>
      </c>
      <c r="G626" s="2">
        <f t="shared" si="1"/>
        <v>-239</v>
      </c>
      <c r="H626" s="2" t="s">
        <v>52</v>
      </c>
      <c r="L626" s="2" t="s">
        <v>11</v>
      </c>
    </row>
    <row r="627" ht="12.75" customHeight="1">
      <c r="A627" s="2">
        <v>2015.0</v>
      </c>
      <c r="B627" s="2">
        <v>4.0</v>
      </c>
      <c r="C627" s="2">
        <v>17.0</v>
      </c>
      <c r="D627" s="2" t="s">
        <v>347</v>
      </c>
      <c r="E627" s="2">
        <v>-20.0</v>
      </c>
      <c r="F627" s="2">
        <v>0.0</v>
      </c>
      <c r="G627" s="2">
        <f t="shared" si="1"/>
        <v>-20</v>
      </c>
      <c r="H627" s="2" t="s">
        <v>52</v>
      </c>
      <c r="L627" s="2" t="s">
        <v>11</v>
      </c>
    </row>
    <row r="628" ht="12.75" customHeight="1">
      <c r="A628" s="2">
        <v>2015.0</v>
      </c>
      <c r="B628" s="2">
        <v>4.0</v>
      </c>
      <c r="C628" s="2">
        <v>17.0</v>
      </c>
      <c r="D628" s="2" t="s">
        <v>348</v>
      </c>
      <c r="E628" s="2">
        <v>-185.0</v>
      </c>
      <c r="F628" s="2">
        <v>0.0</v>
      </c>
      <c r="G628" s="2">
        <f t="shared" si="1"/>
        <v>-185</v>
      </c>
      <c r="H628" s="2" t="s">
        <v>52</v>
      </c>
      <c r="L628" s="2" t="s">
        <v>11</v>
      </c>
    </row>
    <row r="629" ht="12.75" customHeight="1">
      <c r="A629" s="2">
        <v>2015.0</v>
      </c>
      <c r="B629" s="2">
        <v>4.0</v>
      </c>
      <c r="C629" s="2">
        <v>17.0</v>
      </c>
      <c r="D629" s="2" t="s">
        <v>274</v>
      </c>
      <c r="E629" s="2">
        <v>-830.0</v>
      </c>
      <c r="F629" s="2">
        <v>0.0</v>
      </c>
      <c r="G629" s="2">
        <f t="shared" si="1"/>
        <v>-830</v>
      </c>
      <c r="H629" s="2" t="s">
        <v>38</v>
      </c>
      <c r="L629" s="2" t="s">
        <v>11</v>
      </c>
    </row>
    <row r="630" ht="12.75" customHeight="1">
      <c r="A630" s="2">
        <v>2015.0</v>
      </c>
      <c r="B630" s="2">
        <v>4.0</v>
      </c>
      <c r="C630" s="2">
        <v>17.0</v>
      </c>
      <c r="D630" s="2">
        <v>8164220.0</v>
      </c>
      <c r="E630" s="2">
        <v>300.0</v>
      </c>
      <c r="F630" s="2">
        <v>0.0</v>
      </c>
      <c r="G630" s="2">
        <f t="shared" si="1"/>
        <v>300</v>
      </c>
      <c r="H630" s="2" t="s">
        <v>13</v>
      </c>
      <c r="L630" s="2" t="s">
        <v>11</v>
      </c>
    </row>
    <row r="631" ht="12.75" customHeight="1">
      <c r="A631" s="2">
        <v>2015.0</v>
      </c>
      <c r="B631" s="2">
        <v>4.0</v>
      </c>
      <c r="C631" s="2">
        <v>16.0</v>
      </c>
      <c r="D631" s="2" t="s">
        <v>279</v>
      </c>
      <c r="E631" s="2">
        <v>-65.0</v>
      </c>
      <c r="F631" s="2">
        <v>0.0</v>
      </c>
      <c r="G631" s="2">
        <f t="shared" si="1"/>
        <v>-65</v>
      </c>
      <c r="H631" s="2" t="s">
        <v>47</v>
      </c>
      <c r="L631" s="2" t="s">
        <v>11</v>
      </c>
    </row>
    <row r="632" ht="12.75" customHeight="1">
      <c r="A632" s="2">
        <v>2015.0</v>
      </c>
      <c r="B632" s="2">
        <v>4.0</v>
      </c>
      <c r="C632" s="2">
        <v>16.0</v>
      </c>
      <c r="D632" s="2" t="s">
        <v>349</v>
      </c>
      <c r="E632" s="2">
        <v>-110.0</v>
      </c>
      <c r="F632" s="2">
        <v>0.0</v>
      </c>
      <c r="G632" s="2">
        <f t="shared" si="1"/>
        <v>-110</v>
      </c>
      <c r="H632" s="2" t="s">
        <v>42</v>
      </c>
      <c r="L632" s="2" t="s">
        <v>11</v>
      </c>
    </row>
    <row r="633" ht="12.75" customHeight="1">
      <c r="A633" s="2">
        <v>2015.0</v>
      </c>
      <c r="B633" s="2">
        <v>4.0</v>
      </c>
      <c r="C633" s="2">
        <v>15.0</v>
      </c>
      <c r="D633" s="2" t="s">
        <v>350</v>
      </c>
      <c r="E633" s="2">
        <v>-250.0</v>
      </c>
      <c r="F633" s="2">
        <v>0.0</v>
      </c>
      <c r="G633" s="2">
        <f t="shared" si="1"/>
        <v>-250</v>
      </c>
      <c r="H633" s="2" t="s">
        <v>164</v>
      </c>
      <c r="L633" s="2" t="s">
        <v>11</v>
      </c>
    </row>
    <row r="634" ht="12.75" customHeight="1">
      <c r="A634" s="2">
        <v>2015.0</v>
      </c>
      <c r="B634" s="2">
        <v>4.0</v>
      </c>
      <c r="C634" s="2">
        <v>14.0</v>
      </c>
      <c r="D634" s="2" t="s">
        <v>351</v>
      </c>
      <c r="E634" s="2">
        <v>-70.0</v>
      </c>
      <c r="F634" s="2">
        <v>0.0</v>
      </c>
      <c r="G634" s="2">
        <f t="shared" si="1"/>
        <v>-70</v>
      </c>
      <c r="H634" s="2" t="s">
        <v>38</v>
      </c>
      <c r="L634" s="2" t="s">
        <v>11</v>
      </c>
    </row>
    <row r="635" ht="12.75" customHeight="1">
      <c r="A635" s="2">
        <v>2015.0</v>
      </c>
      <c r="B635" s="2">
        <v>4.0</v>
      </c>
      <c r="C635" s="2">
        <v>13.0</v>
      </c>
      <c r="D635" s="2" t="s">
        <v>77</v>
      </c>
      <c r="E635" s="2">
        <v>89.0</v>
      </c>
      <c r="F635" s="2">
        <v>0.0</v>
      </c>
      <c r="G635" s="2">
        <f t="shared" si="1"/>
        <v>89</v>
      </c>
      <c r="H635" s="2" t="s">
        <v>47</v>
      </c>
      <c r="L635" s="2" t="s">
        <v>11</v>
      </c>
    </row>
    <row r="636" ht="12.75" customHeight="1">
      <c r="A636" s="2">
        <v>2015.0</v>
      </c>
      <c r="B636" s="2">
        <v>4.0</v>
      </c>
      <c r="C636" s="2">
        <v>13.0</v>
      </c>
      <c r="D636" s="2" t="s">
        <v>352</v>
      </c>
      <c r="E636" s="2">
        <v>-85.0</v>
      </c>
      <c r="F636" s="2">
        <v>0.0</v>
      </c>
      <c r="G636" s="2">
        <f t="shared" si="1"/>
        <v>-85</v>
      </c>
      <c r="H636" s="2" t="s">
        <v>38</v>
      </c>
      <c r="L636" s="2" t="s">
        <v>11</v>
      </c>
    </row>
    <row r="637" ht="12.75" customHeight="1">
      <c r="A637" s="2">
        <v>2015.0</v>
      </c>
      <c r="B637" s="2">
        <v>4.0</v>
      </c>
      <c r="C637" s="2">
        <v>12.0</v>
      </c>
      <c r="D637" s="2" t="s">
        <v>353</v>
      </c>
      <c r="E637" s="2">
        <v>-89.0</v>
      </c>
      <c r="F637" s="2">
        <v>0.0</v>
      </c>
      <c r="G637" s="2">
        <f t="shared" si="1"/>
        <v>-89</v>
      </c>
      <c r="H637" s="2" t="s">
        <v>47</v>
      </c>
      <c r="L637" s="2" t="s">
        <v>11</v>
      </c>
    </row>
    <row r="638" ht="12.75" customHeight="1">
      <c r="A638" s="2">
        <v>2015.0</v>
      </c>
      <c r="B638" s="2">
        <v>4.0</v>
      </c>
      <c r="C638" s="2">
        <v>12.0</v>
      </c>
      <c r="D638" s="2" t="s">
        <v>354</v>
      </c>
      <c r="E638" s="2">
        <v>-300.0</v>
      </c>
      <c r="F638" s="2">
        <v>0.0</v>
      </c>
      <c r="G638" s="2">
        <f t="shared" si="1"/>
        <v>-300</v>
      </c>
      <c r="H638" s="2" t="s">
        <v>35</v>
      </c>
      <c r="L638" s="2" t="s">
        <v>11</v>
      </c>
    </row>
    <row r="639" ht="12.75" customHeight="1">
      <c r="A639" s="2">
        <v>2015.0</v>
      </c>
      <c r="B639" s="2">
        <v>4.0</v>
      </c>
      <c r="C639" s="2">
        <v>11.0</v>
      </c>
      <c r="D639" s="2" t="s">
        <v>292</v>
      </c>
      <c r="E639" s="2">
        <v>-88.0</v>
      </c>
      <c r="F639" s="2">
        <v>0.0</v>
      </c>
      <c r="G639" s="2">
        <f t="shared" si="1"/>
        <v>-88</v>
      </c>
      <c r="H639" s="2" t="s">
        <v>52</v>
      </c>
      <c r="L639" s="2" t="s">
        <v>11</v>
      </c>
    </row>
    <row r="640" ht="12.75" customHeight="1">
      <c r="A640" s="2">
        <v>2015.0</v>
      </c>
      <c r="B640" s="2">
        <v>4.0</v>
      </c>
      <c r="C640" s="2">
        <v>11.0</v>
      </c>
      <c r="D640" s="2" t="s">
        <v>292</v>
      </c>
      <c r="E640" s="2">
        <v>-72.0</v>
      </c>
      <c r="F640" s="2">
        <v>0.0</v>
      </c>
      <c r="G640" s="2">
        <f t="shared" si="1"/>
        <v>-72</v>
      </c>
      <c r="H640" s="2" t="s">
        <v>52</v>
      </c>
      <c r="L640" s="2" t="s">
        <v>11</v>
      </c>
    </row>
    <row r="641" ht="12.75" customHeight="1">
      <c r="A641" s="2">
        <v>2015.0</v>
      </c>
      <c r="B641" s="2">
        <v>4.0</v>
      </c>
      <c r="C641" s="2">
        <v>11.0</v>
      </c>
      <c r="D641" s="2" t="s">
        <v>339</v>
      </c>
      <c r="E641" s="2">
        <v>-305.0</v>
      </c>
      <c r="F641" s="2">
        <v>0.0</v>
      </c>
      <c r="G641" s="2">
        <f t="shared" si="1"/>
        <v>-305</v>
      </c>
      <c r="H641" s="2" t="s">
        <v>47</v>
      </c>
      <c r="L641" s="2" t="s">
        <v>11</v>
      </c>
    </row>
    <row r="642" ht="12.75" customHeight="1">
      <c r="A642" s="2">
        <v>2015.0</v>
      </c>
      <c r="B642" s="2">
        <v>4.0</v>
      </c>
      <c r="C642" s="2">
        <v>11.0</v>
      </c>
      <c r="D642" s="2" t="s">
        <v>355</v>
      </c>
      <c r="E642" s="2">
        <v>-363.0</v>
      </c>
      <c r="F642" s="2">
        <v>0.0</v>
      </c>
      <c r="G642" s="2">
        <f t="shared" si="1"/>
        <v>-363</v>
      </c>
      <c r="H642" s="2" t="s">
        <v>35</v>
      </c>
      <c r="L642" s="2" t="s">
        <v>11</v>
      </c>
    </row>
    <row r="643" ht="12.75" customHeight="1">
      <c r="A643" s="2">
        <v>2015.0</v>
      </c>
      <c r="B643" s="2">
        <v>4.0</v>
      </c>
      <c r="C643" s="2">
        <v>11.0</v>
      </c>
      <c r="D643" s="2" t="s">
        <v>356</v>
      </c>
      <c r="E643" s="2">
        <v>-228.75</v>
      </c>
      <c r="F643" s="2">
        <v>0.0</v>
      </c>
      <c r="G643" s="2">
        <f t="shared" si="1"/>
        <v>-228.75</v>
      </c>
      <c r="H643" s="2" t="s">
        <v>52</v>
      </c>
      <c r="I643" s="2" t="s">
        <v>357</v>
      </c>
      <c r="L643" s="2" t="s">
        <v>11</v>
      </c>
    </row>
    <row r="644" ht="12.75" customHeight="1">
      <c r="A644" s="2">
        <v>2015.0</v>
      </c>
      <c r="B644" s="2">
        <v>4.0</v>
      </c>
      <c r="C644" s="2">
        <v>10.0</v>
      </c>
      <c r="D644" s="2" t="s">
        <v>286</v>
      </c>
      <c r="E644" s="2">
        <v>-121.0</v>
      </c>
      <c r="F644" s="2">
        <v>0.0</v>
      </c>
      <c r="G644" s="2">
        <f t="shared" si="1"/>
        <v>-121</v>
      </c>
      <c r="H644" s="2" t="s">
        <v>35</v>
      </c>
      <c r="L644" s="2" t="s">
        <v>11</v>
      </c>
    </row>
    <row r="645" ht="12.75" customHeight="1">
      <c r="A645" s="2">
        <v>2015.0</v>
      </c>
      <c r="B645" s="2">
        <v>4.0</v>
      </c>
      <c r="C645" s="2">
        <v>10.0</v>
      </c>
      <c r="D645" s="2" t="s">
        <v>292</v>
      </c>
      <c r="E645" s="2">
        <v>-368.0</v>
      </c>
      <c r="F645" s="2">
        <v>0.0</v>
      </c>
      <c r="G645" s="2">
        <f t="shared" si="1"/>
        <v>-368</v>
      </c>
      <c r="H645" s="2" t="s">
        <v>35</v>
      </c>
      <c r="L645" s="2" t="s">
        <v>11</v>
      </c>
    </row>
    <row r="646" ht="12.75" customHeight="1">
      <c r="A646" s="2">
        <v>2015.0</v>
      </c>
      <c r="B646" s="2">
        <v>4.0</v>
      </c>
      <c r="C646" s="2">
        <v>10.0</v>
      </c>
      <c r="D646" s="2" t="s">
        <v>292</v>
      </c>
      <c r="E646" s="2">
        <v>-120.0</v>
      </c>
      <c r="F646" s="2">
        <v>0.0</v>
      </c>
      <c r="G646" s="2">
        <f t="shared" si="1"/>
        <v>-120</v>
      </c>
      <c r="H646" s="2" t="s">
        <v>52</v>
      </c>
      <c r="L646" s="2" t="s">
        <v>11</v>
      </c>
    </row>
    <row r="647" ht="12.75" customHeight="1">
      <c r="A647" s="2">
        <v>2015.0</v>
      </c>
      <c r="B647" s="2">
        <v>4.0</v>
      </c>
      <c r="C647" s="2">
        <v>10.0</v>
      </c>
      <c r="D647" s="2" t="s">
        <v>358</v>
      </c>
      <c r="E647" s="2">
        <v>-300.0</v>
      </c>
      <c r="F647" s="2">
        <v>0.0</v>
      </c>
      <c r="G647" s="2">
        <f t="shared" si="1"/>
        <v>-300</v>
      </c>
      <c r="H647" s="2" t="s">
        <v>52</v>
      </c>
      <c r="L647" s="2" t="s">
        <v>11</v>
      </c>
    </row>
    <row r="648" ht="12.75" customHeight="1">
      <c r="A648" s="2">
        <v>2015.0</v>
      </c>
      <c r="B648" s="2">
        <v>4.0</v>
      </c>
      <c r="C648" s="2">
        <v>10.0</v>
      </c>
      <c r="D648" s="2" t="s">
        <v>298</v>
      </c>
      <c r="E648" s="2">
        <v>-63.0</v>
      </c>
      <c r="F648" s="2">
        <v>0.0</v>
      </c>
      <c r="G648" s="2">
        <f t="shared" si="1"/>
        <v>-63</v>
      </c>
      <c r="H648" s="2" t="s">
        <v>47</v>
      </c>
      <c r="I648" s="2" t="s">
        <v>359</v>
      </c>
      <c r="L648" s="2" t="s">
        <v>11</v>
      </c>
    </row>
    <row r="649" ht="12.75" customHeight="1">
      <c r="A649" s="2">
        <v>2015.0</v>
      </c>
      <c r="B649" s="2">
        <v>4.0</v>
      </c>
      <c r="C649" s="2">
        <v>10.0</v>
      </c>
      <c r="D649" s="2" t="s">
        <v>360</v>
      </c>
      <c r="E649" s="2">
        <v>-851.0</v>
      </c>
      <c r="F649" s="2">
        <v>0.0</v>
      </c>
      <c r="G649" s="2">
        <f t="shared" si="1"/>
        <v>-851</v>
      </c>
      <c r="H649" s="2" t="s">
        <v>35</v>
      </c>
      <c r="L649" s="2" t="s">
        <v>11</v>
      </c>
    </row>
    <row r="650" ht="12.75" customHeight="1">
      <c r="A650" s="2">
        <v>2015.0</v>
      </c>
      <c r="B650" s="2">
        <v>4.0</v>
      </c>
      <c r="C650" s="2">
        <v>10.0</v>
      </c>
      <c r="D650" s="2" t="s">
        <v>351</v>
      </c>
      <c r="E650" s="2">
        <v>-70.0</v>
      </c>
      <c r="F650" s="2">
        <v>0.0</v>
      </c>
      <c r="G650" s="2">
        <f t="shared" si="1"/>
        <v>-70</v>
      </c>
      <c r="H650" s="2" t="s">
        <v>38</v>
      </c>
      <c r="L650" s="2" t="s">
        <v>11</v>
      </c>
    </row>
    <row r="651" ht="12.75" customHeight="1">
      <c r="A651" s="2">
        <v>2015.0</v>
      </c>
      <c r="B651" s="2">
        <v>4.0</v>
      </c>
      <c r="C651" s="2">
        <v>9.0</v>
      </c>
      <c r="D651" s="2" t="s">
        <v>361</v>
      </c>
      <c r="E651" s="2">
        <v>-1565.0</v>
      </c>
      <c r="F651" s="2">
        <v>0.0</v>
      </c>
      <c r="G651" s="2">
        <f t="shared" si="1"/>
        <v>-1565</v>
      </c>
      <c r="H651" s="2" t="s">
        <v>50</v>
      </c>
      <c r="L651" s="2" t="s">
        <v>11</v>
      </c>
    </row>
    <row r="652" ht="12.75" customHeight="1">
      <c r="A652" s="2">
        <v>2015.0</v>
      </c>
      <c r="B652" s="2">
        <v>4.0</v>
      </c>
      <c r="C652" s="2">
        <v>9.0</v>
      </c>
      <c r="D652" s="2" t="s">
        <v>279</v>
      </c>
      <c r="E652" s="2">
        <v>-75.0</v>
      </c>
      <c r="F652" s="2">
        <v>0.0</v>
      </c>
      <c r="G652" s="2">
        <f t="shared" si="1"/>
        <v>-75</v>
      </c>
      <c r="H652" s="2" t="s">
        <v>47</v>
      </c>
      <c r="L652" s="2" t="s">
        <v>11</v>
      </c>
    </row>
    <row r="653" ht="12.75" customHeight="1">
      <c r="A653" s="2">
        <v>2015.0</v>
      </c>
      <c r="B653" s="2">
        <v>4.0</v>
      </c>
      <c r="C653" s="2">
        <v>8.0</v>
      </c>
      <c r="D653" s="2" t="s">
        <v>279</v>
      </c>
      <c r="E653" s="2">
        <v>-70.0</v>
      </c>
      <c r="F653" s="2">
        <v>0.0</v>
      </c>
      <c r="G653" s="2">
        <f t="shared" si="1"/>
        <v>-70</v>
      </c>
      <c r="H653" s="2" t="s">
        <v>47</v>
      </c>
      <c r="L653" s="2" t="s">
        <v>11</v>
      </c>
    </row>
    <row r="654" ht="12.75" customHeight="1">
      <c r="A654" s="2">
        <v>2015.0</v>
      </c>
      <c r="B654" s="2">
        <v>4.0</v>
      </c>
      <c r="C654" s="2">
        <v>8.0</v>
      </c>
      <c r="D654" s="2" t="s">
        <v>286</v>
      </c>
      <c r="E654" s="2">
        <v>-247.0</v>
      </c>
      <c r="F654" s="2">
        <v>0.0</v>
      </c>
      <c r="G654" s="2">
        <f t="shared" si="1"/>
        <v>-247</v>
      </c>
      <c r="H654" s="2" t="s">
        <v>164</v>
      </c>
      <c r="L654" s="2" t="s">
        <v>11</v>
      </c>
    </row>
    <row r="655" ht="12.75" customHeight="1">
      <c r="A655" s="2">
        <v>2015.0</v>
      </c>
      <c r="B655" s="2">
        <v>4.0</v>
      </c>
      <c r="C655" s="2">
        <v>8.0</v>
      </c>
      <c r="D655" s="2" t="s">
        <v>362</v>
      </c>
      <c r="E655" s="2">
        <v>-100.0</v>
      </c>
      <c r="F655" s="2">
        <v>0.0</v>
      </c>
      <c r="G655" s="2">
        <f t="shared" si="1"/>
        <v>-100</v>
      </c>
      <c r="H655" s="2" t="s">
        <v>38</v>
      </c>
      <c r="L655" s="2" t="s">
        <v>11</v>
      </c>
    </row>
    <row r="656" ht="12.75" customHeight="1">
      <c r="A656" s="2">
        <v>2015.0</v>
      </c>
      <c r="B656" s="2">
        <v>4.0</v>
      </c>
      <c r="C656" s="2">
        <v>7.0</v>
      </c>
      <c r="D656" s="2" t="s">
        <v>363</v>
      </c>
      <c r="E656" s="2">
        <v>-64.0</v>
      </c>
      <c r="F656" s="2">
        <v>0.0</v>
      </c>
      <c r="G656" s="2">
        <f t="shared" si="1"/>
        <v>-64</v>
      </c>
      <c r="H656" s="2" t="s">
        <v>42</v>
      </c>
      <c r="L656" s="2" t="s">
        <v>11</v>
      </c>
    </row>
    <row r="657" ht="12.75" customHeight="1">
      <c r="A657" s="2">
        <v>2015.0</v>
      </c>
      <c r="B657" s="2">
        <v>4.0</v>
      </c>
      <c r="C657" s="2">
        <v>7.0</v>
      </c>
      <c r="D657" s="2" t="s">
        <v>364</v>
      </c>
      <c r="E657" s="2">
        <v>-70.0</v>
      </c>
      <c r="F657" s="2">
        <v>0.0</v>
      </c>
      <c r="G657" s="2">
        <f t="shared" si="1"/>
        <v>-70</v>
      </c>
      <c r="H657" s="2" t="s">
        <v>47</v>
      </c>
      <c r="L657" s="2" t="s">
        <v>11</v>
      </c>
    </row>
    <row r="658" ht="12.75" customHeight="1">
      <c r="A658" s="2">
        <v>2015.0</v>
      </c>
      <c r="B658" s="2">
        <v>4.0</v>
      </c>
      <c r="C658" s="2">
        <v>6.0</v>
      </c>
      <c r="D658" s="2" t="s">
        <v>365</v>
      </c>
      <c r="E658" s="2">
        <v>-7000.0</v>
      </c>
      <c r="F658" s="2">
        <v>0.0</v>
      </c>
      <c r="G658" s="2">
        <f t="shared" si="1"/>
        <v>-7000</v>
      </c>
      <c r="H658" s="2" t="s">
        <v>35</v>
      </c>
      <c r="L658" s="2" t="s">
        <v>11</v>
      </c>
    </row>
    <row r="659" ht="12.75" customHeight="1">
      <c r="A659" s="2">
        <v>2015.0</v>
      </c>
      <c r="B659" s="2">
        <v>4.0</v>
      </c>
      <c r="C659" s="2">
        <v>6.0</v>
      </c>
      <c r="D659" s="2" t="s">
        <v>77</v>
      </c>
      <c r="E659" s="2">
        <v>100.0</v>
      </c>
      <c r="F659" s="2">
        <v>0.0</v>
      </c>
      <c r="G659" s="2">
        <f t="shared" si="1"/>
        <v>100</v>
      </c>
      <c r="H659" s="2" t="s">
        <v>47</v>
      </c>
      <c r="L659" s="2" t="s">
        <v>11</v>
      </c>
    </row>
    <row r="660" ht="12.75" customHeight="1">
      <c r="A660" s="2">
        <v>2015.0</v>
      </c>
      <c r="B660" s="2">
        <v>4.0</v>
      </c>
      <c r="C660" s="2">
        <v>5.0</v>
      </c>
      <c r="D660" s="2" t="s">
        <v>366</v>
      </c>
      <c r="E660" s="2">
        <v>-25.0</v>
      </c>
      <c r="F660" s="2">
        <v>0.0</v>
      </c>
      <c r="G660" s="2">
        <f t="shared" si="1"/>
        <v>-25</v>
      </c>
      <c r="H660" s="2" t="s">
        <v>47</v>
      </c>
      <c r="L660" s="2" t="s">
        <v>11</v>
      </c>
    </row>
    <row r="661" ht="12.75" customHeight="1">
      <c r="A661" s="2">
        <v>2015.0</v>
      </c>
      <c r="B661" s="2">
        <v>4.0</v>
      </c>
      <c r="C661" s="2">
        <v>5.0</v>
      </c>
      <c r="D661" s="2" t="s">
        <v>367</v>
      </c>
      <c r="E661" s="2">
        <v>-500.0</v>
      </c>
      <c r="F661" s="2">
        <v>0.0</v>
      </c>
      <c r="G661" s="2">
        <f t="shared" si="1"/>
        <v>-500</v>
      </c>
      <c r="H661" s="2" t="s">
        <v>304</v>
      </c>
      <c r="L661" s="2" t="s">
        <v>11</v>
      </c>
    </row>
    <row r="662" ht="12.75" customHeight="1">
      <c r="A662" s="2">
        <v>2015.0</v>
      </c>
      <c r="B662" s="2">
        <v>4.0</v>
      </c>
      <c r="C662" s="2">
        <v>4.0</v>
      </c>
      <c r="D662" s="2" t="s">
        <v>368</v>
      </c>
      <c r="E662" s="2">
        <v>-16.0</v>
      </c>
      <c r="F662" s="2">
        <v>0.0</v>
      </c>
      <c r="G662" s="2">
        <f t="shared" si="1"/>
        <v>-16</v>
      </c>
      <c r="H662" s="2" t="s">
        <v>47</v>
      </c>
      <c r="L662" s="2" t="s">
        <v>11</v>
      </c>
    </row>
    <row r="663" ht="12.75" customHeight="1">
      <c r="A663" s="2">
        <v>2015.0</v>
      </c>
      <c r="B663" s="2">
        <v>4.0</v>
      </c>
      <c r="C663" s="2">
        <v>3.0</v>
      </c>
      <c r="D663" s="2" t="s">
        <v>369</v>
      </c>
      <c r="E663" s="2">
        <v>-36.0</v>
      </c>
      <c r="F663" s="2">
        <v>0.0</v>
      </c>
      <c r="G663" s="2">
        <f t="shared" si="1"/>
        <v>-36</v>
      </c>
      <c r="H663" s="2" t="s">
        <v>47</v>
      </c>
      <c r="L663" s="2" t="s">
        <v>11</v>
      </c>
    </row>
    <row r="664" ht="12.75" customHeight="1">
      <c r="A664" s="2">
        <v>2015.0</v>
      </c>
      <c r="B664" s="2">
        <v>4.0</v>
      </c>
      <c r="C664" s="2">
        <v>3.0</v>
      </c>
      <c r="D664" s="2" t="s">
        <v>370</v>
      </c>
      <c r="E664" s="2">
        <v>-1000.0</v>
      </c>
      <c r="F664" s="2">
        <v>0.0</v>
      </c>
      <c r="G664" s="2">
        <f t="shared" si="1"/>
        <v>-1000</v>
      </c>
      <c r="H664" s="2" t="s">
        <v>35</v>
      </c>
      <c r="L664" s="2" t="s">
        <v>11</v>
      </c>
    </row>
    <row r="665" ht="12.75" customHeight="1">
      <c r="A665" s="2">
        <v>2015.0</v>
      </c>
      <c r="B665" s="2">
        <v>4.0</v>
      </c>
      <c r="C665" s="2">
        <v>2.0</v>
      </c>
      <c r="D665" s="2" t="s">
        <v>279</v>
      </c>
      <c r="E665" s="2">
        <v>-140.0</v>
      </c>
      <c r="F665" s="2">
        <v>0.0</v>
      </c>
      <c r="G665" s="2">
        <f t="shared" si="1"/>
        <v>-140</v>
      </c>
      <c r="H665" s="2" t="s">
        <v>47</v>
      </c>
      <c r="L665" s="2" t="s">
        <v>11</v>
      </c>
    </row>
    <row r="666" ht="12.75" customHeight="1">
      <c r="A666" s="2">
        <v>2015.0</v>
      </c>
      <c r="B666" s="2">
        <v>4.0</v>
      </c>
      <c r="C666" s="2">
        <v>2.0</v>
      </c>
      <c r="D666" s="2" t="s">
        <v>286</v>
      </c>
      <c r="E666" s="2">
        <v>-260.0</v>
      </c>
      <c r="F666" s="2">
        <v>0.0</v>
      </c>
      <c r="G666" s="2">
        <f t="shared" si="1"/>
        <v>-260</v>
      </c>
      <c r="H666" s="2" t="s">
        <v>164</v>
      </c>
      <c r="L666" s="2" t="s">
        <v>11</v>
      </c>
    </row>
    <row r="667" ht="12.75" customHeight="1">
      <c r="A667" s="2">
        <v>2015.0</v>
      </c>
      <c r="B667" s="2">
        <v>4.0</v>
      </c>
      <c r="C667" s="2">
        <v>2.0</v>
      </c>
      <c r="D667" s="2" t="s">
        <v>298</v>
      </c>
      <c r="E667" s="2">
        <v>-55.0</v>
      </c>
      <c r="F667" s="2">
        <v>0.0</v>
      </c>
      <c r="G667" s="2">
        <f t="shared" si="1"/>
        <v>-55</v>
      </c>
      <c r="H667" s="2" t="s">
        <v>47</v>
      </c>
      <c r="L667" s="2" t="s">
        <v>11</v>
      </c>
    </row>
    <row r="668" ht="12.75" customHeight="1">
      <c r="A668" s="2">
        <v>2015.0</v>
      </c>
      <c r="B668" s="2">
        <v>4.0</v>
      </c>
      <c r="C668" s="2">
        <v>2.0</v>
      </c>
      <c r="D668" s="2" t="s">
        <v>371</v>
      </c>
      <c r="E668" s="2">
        <v>-75.0</v>
      </c>
      <c r="F668" s="2">
        <v>0.0</v>
      </c>
      <c r="G668" s="2">
        <f t="shared" si="1"/>
        <v>-75</v>
      </c>
      <c r="H668" s="2" t="s">
        <v>38</v>
      </c>
      <c r="L668" s="2" t="s">
        <v>11</v>
      </c>
    </row>
    <row r="669" ht="12.75" customHeight="1">
      <c r="A669" s="2">
        <v>2015.0</v>
      </c>
      <c r="B669" s="2">
        <v>4.0</v>
      </c>
      <c r="C669" s="2">
        <v>1.0</v>
      </c>
      <c r="D669" s="2" t="s">
        <v>157</v>
      </c>
      <c r="E669" s="2">
        <v>-130.0</v>
      </c>
      <c r="F669" s="2">
        <v>0.0</v>
      </c>
      <c r="G669" s="2">
        <f t="shared" si="1"/>
        <v>-130</v>
      </c>
      <c r="H669" s="2" t="s">
        <v>17</v>
      </c>
      <c r="L669" s="2" t="s">
        <v>11</v>
      </c>
    </row>
    <row r="670" ht="12.75" customHeight="1">
      <c r="A670" s="2">
        <v>2015.0</v>
      </c>
      <c r="B670" s="2">
        <v>4.0</v>
      </c>
      <c r="C670" s="2">
        <v>1.0</v>
      </c>
      <c r="D670" s="2" t="s">
        <v>73</v>
      </c>
      <c r="E670" s="2">
        <v>-9099.0</v>
      </c>
      <c r="F670" s="2">
        <v>0.0</v>
      </c>
      <c r="G670" s="2">
        <f t="shared" si="1"/>
        <v>-9099</v>
      </c>
      <c r="H670" s="2" t="s">
        <v>10</v>
      </c>
      <c r="L670" s="2" t="s">
        <v>11</v>
      </c>
    </row>
    <row r="671" ht="12.75" customHeight="1">
      <c r="A671" s="2">
        <v>2015.0</v>
      </c>
      <c r="B671" s="2">
        <v>4.0</v>
      </c>
      <c r="C671" s="2">
        <v>1.0</v>
      </c>
      <c r="D671" s="2" t="s">
        <v>102</v>
      </c>
      <c r="E671" s="2">
        <v>-256.0</v>
      </c>
      <c r="F671" s="2">
        <v>0.0</v>
      </c>
      <c r="G671" s="2">
        <f t="shared" si="1"/>
        <v>-256</v>
      </c>
      <c r="H671" s="2" t="s">
        <v>103</v>
      </c>
      <c r="L671" s="2" t="s">
        <v>11</v>
      </c>
    </row>
    <row r="672" ht="12.75" customHeight="1">
      <c r="A672" s="2">
        <v>2015.0</v>
      </c>
      <c r="B672" s="2">
        <v>3.0</v>
      </c>
      <c r="C672" s="2">
        <v>31.0</v>
      </c>
      <c r="D672" s="2" t="s">
        <v>94</v>
      </c>
      <c r="E672" s="2">
        <v>481.0</v>
      </c>
      <c r="F672" s="2">
        <v>0.0</v>
      </c>
      <c r="G672" s="2">
        <f t="shared" si="1"/>
        <v>481</v>
      </c>
      <c r="H672" s="2" t="s">
        <v>164</v>
      </c>
      <c r="L672" s="2" t="s">
        <v>11</v>
      </c>
    </row>
    <row r="673" ht="12.75" customHeight="1">
      <c r="A673" s="2">
        <v>2015.0</v>
      </c>
      <c r="B673" s="2">
        <v>3.0</v>
      </c>
      <c r="C673" s="2">
        <v>31.0</v>
      </c>
      <c r="D673" s="2" t="s">
        <v>12</v>
      </c>
      <c r="E673" s="2">
        <v>-5669.5</v>
      </c>
      <c r="F673" s="2">
        <v>0.0</v>
      </c>
      <c r="G673" s="2">
        <f t="shared" si="1"/>
        <v>-5669.5</v>
      </c>
      <c r="H673" s="2" t="s">
        <v>227</v>
      </c>
      <c r="L673" s="2" t="s">
        <v>228</v>
      </c>
    </row>
    <row r="674" ht="12.75" customHeight="1">
      <c r="A674" s="2">
        <v>2015.0</v>
      </c>
      <c r="B674" s="2">
        <v>3.0</v>
      </c>
      <c r="C674" s="2">
        <v>31.0</v>
      </c>
      <c r="D674" s="2" t="s">
        <v>14</v>
      </c>
      <c r="E674" s="2">
        <v>-4007.0</v>
      </c>
      <c r="F674" s="2">
        <v>0.0</v>
      </c>
      <c r="G674" s="2">
        <f t="shared" si="1"/>
        <v>-4007</v>
      </c>
      <c r="H674" s="2" t="s">
        <v>10</v>
      </c>
      <c r="L674" s="2" t="s">
        <v>11</v>
      </c>
    </row>
    <row r="675" ht="12.75" customHeight="1">
      <c r="A675" s="2">
        <v>2015.0</v>
      </c>
      <c r="B675" s="2">
        <v>3.0</v>
      </c>
      <c r="C675" s="2">
        <v>31.0</v>
      </c>
      <c r="D675" s="2" t="s">
        <v>372</v>
      </c>
      <c r="E675" s="2">
        <v>-69.0</v>
      </c>
      <c r="F675" s="2">
        <v>0.0</v>
      </c>
      <c r="G675" s="2">
        <f t="shared" si="1"/>
        <v>-69</v>
      </c>
      <c r="H675" s="2" t="s">
        <v>38</v>
      </c>
      <c r="I675" s="2" t="s">
        <v>373</v>
      </c>
      <c r="L675" s="2" t="s">
        <v>11</v>
      </c>
    </row>
    <row r="676" ht="12.75" customHeight="1">
      <c r="A676" s="2">
        <v>2015.0</v>
      </c>
      <c r="B676" s="2">
        <v>3.0</v>
      </c>
      <c r="C676" s="2">
        <v>30.0</v>
      </c>
      <c r="D676" s="2" t="s">
        <v>25</v>
      </c>
      <c r="E676" s="2">
        <v>-100.0</v>
      </c>
      <c r="F676" s="2">
        <v>0.0</v>
      </c>
      <c r="G676" s="2">
        <f t="shared" si="1"/>
        <v>-100</v>
      </c>
      <c r="H676" s="2" t="s">
        <v>26</v>
      </c>
      <c r="L676" s="2" t="s">
        <v>11</v>
      </c>
    </row>
    <row r="677" ht="12.75" customHeight="1">
      <c r="A677" s="2">
        <v>2015.0</v>
      </c>
      <c r="B677" s="2">
        <v>3.0</v>
      </c>
      <c r="C677" s="2">
        <v>30.0</v>
      </c>
      <c r="D677" s="2" t="s">
        <v>19</v>
      </c>
      <c r="E677" s="2">
        <v>-320.0</v>
      </c>
      <c r="F677" s="2">
        <v>0.0</v>
      </c>
      <c r="G677" s="2">
        <f t="shared" si="1"/>
        <v>-320</v>
      </c>
      <c r="H677" s="2" t="s">
        <v>20</v>
      </c>
      <c r="L677" s="2" t="s">
        <v>11</v>
      </c>
    </row>
    <row r="678" ht="12.75" customHeight="1">
      <c r="A678" s="2">
        <v>2015.0</v>
      </c>
      <c r="B678" s="2">
        <v>3.0</v>
      </c>
      <c r="C678" s="2">
        <v>30.0</v>
      </c>
      <c r="D678" s="2" t="s">
        <v>23</v>
      </c>
      <c r="E678" s="2">
        <v>-303.0</v>
      </c>
      <c r="F678" s="2">
        <v>0.0</v>
      </c>
      <c r="G678" s="2">
        <f t="shared" si="1"/>
        <v>-303</v>
      </c>
      <c r="H678" s="2" t="s">
        <v>24</v>
      </c>
      <c r="L678" s="2" t="s">
        <v>11</v>
      </c>
    </row>
    <row r="679" ht="12.75" customHeight="1">
      <c r="A679" s="2">
        <v>2015.0</v>
      </c>
      <c r="B679" s="2">
        <v>3.0</v>
      </c>
      <c r="C679" s="2">
        <v>30.0</v>
      </c>
      <c r="D679" s="2">
        <v>4.7516877E7</v>
      </c>
      <c r="E679" s="2">
        <v>1000.0</v>
      </c>
      <c r="F679" s="2">
        <v>0.0</v>
      </c>
      <c r="G679" s="2">
        <f t="shared" si="1"/>
        <v>1000</v>
      </c>
      <c r="H679" s="2" t="s">
        <v>18</v>
      </c>
      <c r="L679" s="2" t="s">
        <v>11</v>
      </c>
    </row>
    <row r="680" ht="12.75" customHeight="1">
      <c r="A680" s="2">
        <v>2015.0</v>
      </c>
      <c r="B680" s="2">
        <v>3.0</v>
      </c>
      <c r="C680" s="2">
        <v>28.0</v>
      </c>
      <c r="D680" s="2" t="s">
        <v>374</v>
      </c>
      <c r="E680" s="2">
        <v>-62.0</v>
      </c>
      <c r="F680" s="2">
        <v>0.0</v>
      </c>
      <c r="G680" s="2">
        <f t="shared" si="1"/>
        <v>-62</v>
      </c>
      <c r="H680" s="2" t="s">
        <v>52</v>
      </c>
      <c r="I680" s="2" t="s">
        <v>375</v>
      </c>
      <c r="L680" s="2" t="s">
        <v>11</v>
      </c>
    </row>
    <row r="681" ht="12.75" customHeight="1">
      <c r="A681" s="2">
        <v>2015.0</v>
      </c>
      <c r="B681" s="2">
        <v>3.0</v>
      </c>
      <c r="C681" s="2">
        <v>28.0</v>
      </c>
      <c r="D681" s="2" t="s">
        <v>374</v>
      </c>
      <c r="E681" s="2">
        <v>-60.0</v>
      </c>
      <c r="F681" s="2">
        <v>0.0</v>
      </c>
      <c r="G681" s="2">
        <f t="shared" si="1"/>
        <v>-60</v>
      </c>
      <c r="H681" s="2" t="s">
        <v>52</v>
      </c>
      <c r="I681" s="2" t="s">
        <v>376</v>
      </c>
      <c r="L681" s="2" t="s">
        <v>11</v>
      </c>
    </row>
    <row r="682" ht="12.75" customHeight="1">
      <c r="A682" s="2">
        <v>2015.0</v>
      </c>
      <c r="B682" s="2">
        <v>3.0</v>
      </c>
      <c r="C682" s="2">
        <v>28.0</v>
      </c>
      <c r="D682" s="2" t="s">
        <v>377</v>
      </c>
      <c r="E682" s="2">
        <v>-40.0</v>
      </c>
      <c r="F682" s="2">
        <v>0.0</v>
      </c>
      <c r="G682" s="2">
        <f t="shared" si="1"/>
        <v>-40</v>
      </c>
      <c r="H682" s="2" t="s">
        <v>52</v>
      </c>
      <c r="L682" s="2" t="s">
        <v>11</v>
      </c>
    </row>
    <row r="683" ht="12.75" customHeight="1">
      <c r="A683" s="2">
        <v>2015.0</v>
      </c>
      <c r="B683" s="2">
        <v>3.0</v>
      </c>
      <c r="C683" s="2">
        <v>28.0</v>
      </c>
      <c r="D683" s="2" t="s">
        <v>377</v>
      </c>
      <c r="E683" s="2">
        <v>-110.0</v>
      </c>
      <c r="F683" s="2">
        <v>0.0</v>
      </c>
      <c r="G683" s="2">
        <f t="shared" si="1"/>
        <v>-110</v>
      </c>
      <c r="H683" s="2" t="s">
        <v>52</v>
      </c>
      <c r="L683" s="2" t="s">
        <v>11</v>
      </c>
    </row>
    <row r="684" ht="12.75" customHeight="1">
      <c r="A684" s="2">
        <v>2015.0</v>
      </c>
      <c r="B684" s="2">
        <v>3.0</v>
      </c>
      <c r="C684" s="2">
        <v>28.0</v>
      </c>
      <c r="D684" s="2" t="s">
        <v>378</v>
      </c>
      <c r="E684" s="2">
        <v>-65.0</v>
      </c>
      <c r="F684" s="2">
        <v>0.0</v>
      </c>
      <c r="G684" s="2">
        <f t="shared" si="1"/>
        <v>-65</v>
      </c>
      <c r="H684" s="2" t="s">
        <v>52</v>
      </c>
      <c r="L684" s="2" t="s">
        <v>11</v>
      </c>
    </row>
    <row r="685" ht="12.75" customHeight="1">
      <c r="A685" s="2">
        <v>2015.0</v>
      </c>
      <c r="B685" s="2">
        <v>3.0</v>
      </c>
      <c r="C685" s="2">
        <v>28.0</v>
      </c>
      <c r="D685" s="2" t="s">
        <v>378</v>
      </c>
      <c r="E685" s="2">
        <v>-170.0</v>
      </c>
      <c r="F685" s="2">
        <v>0.0</v>
      </c>
      <c r="G685" s="2">
        <f t="shared" si="1"/>
        <v>-170</v>
      </c>
      <c r="H685" s="2" t="s">
        <v>52</v>
      </c>
      <c r="L685" s="2" t="s">
        <v>11</v>
      </c>
    </row>
    <row r="686" ht="12.75" customHeight="1">
      <c r="A686" s="2">
        <v>2015.0</v>
      </c>
      <c r="B686" s="2">
        <v>3.0</v>
      </c>
      <c r="C686" s="2">
        <v>28.0</v>
      </c>
      <c r="D686" s="2" t="s">
        <v>379</v>
      </c>
      <c r="E686" s="2">
        <v>-75.0</v>
      </c>
      <c r="F686" s="2">
        <v>0.0</v>
      </c>
      <c r="G686" s="2">
        <f t="shared" si="1"/>
        <v>-75</v>
      </c>
      <c r="H686" s="2" t="s">
        <v>47</v>
      </c>
      <c r="I686" s="2" t="s">
        <v>380</v>
      </c>
      <c r="L686" s="2" t="s">
        <v>11</v>
      </c>
    </row>
    <row r="687" ht="12.75" customHeight="1">
      <c r="A687" s="2">
        <v>2015.0</v>
      </c>
      <c r="B687" s="2">
        <v>3.0</v>
      </c>
      <c r="C687" s="2">
        <v>27.0</v>
      </c>
      <c r="D687" s="2" t="s">
        <v>374</v>
      </c>
      <c r="E687" s="2">
        <v>-45.0</v>
      </c>
      <c r="F687" s="2">
        <v>0.0</v>
      </c>
      <c r="G687" s="2">
        <f t="shared" si="1"/>
        <v>-45</v>
      </c>
      <c r="H687" s="2" t="s">
        <v>52</v>
      </c>
      <c r="I687" s="2" t="s">
        <v>381</v>
      </c>
      <c r="L687" s="2" t="s">
        <v>11</v>
      </c>
    </row>
    <row r="688" ht="12.75" customHeight="1">
      <c r="A688" s="2">
        <v>2015.0</v>
      </c>
      <c r="B688" s="2">
        <v>3.0</v>
      </c>
      <c r="C688" s="2">
        <v>27.0</v>
      </c>
      <c r="D688" s="2" t="s">
        <v>382</v>
      </c>
      <c r="E688" s="2">
        <v>-96.0</v>
      </c>
      <c r="F688" s="2">
        <v>0.0</v>
      </c>
      <c r="G688" s="2">
        <f t="shared" si="1"/>
        <v>-96</v>
      </c>
      <c r="H688" s="2" t="s">
        <v>22</v>
      </c>
      <c r="L688" s="2" t="s">
        <v>11</v>
      </c>
    </row>
    <row r="689" ht="12.75" customHeight="1">
      <c r="A689" s="2">
        <v>2015.0</v>
      </c>
      <c r="B689" s="2">
        <v>3.0</v>
      </c>
      <c r="C689" s="2">
        <v>27.0</v>
      </c>
      <c r="D689" s="2" t="s">
        <v>282</v>
      </c>
      <c r="E689" s="2">
        <v>-30.0</v>
      </c>
      <c r="F689" s="2">
        <v>0.0</v>
      </c>
      <c r="G689" s="2">
        <f t="shared" si="1"/>
        <v>-30</v>
      </c>
      <c r="H689" s="2" t="s">
        <v>47</v>
      </c>
      <c r="L689" s="2" t="s">
        <v>11</v>
      </c>
    </row>
    <row r="690" ht="12.75" customHeight="1">
      <c r="A690" s="2">
        <v>2015.0</v>
      </c>
      <c r="B690" s="2">
        <v>3.0</v>
      </c>
      <c r="C690" s="2">
        <v>26.0</v>
      </c>
      <c r="D690" s="2" t="s">
        <v>383</v>
      </c>
      <c r="E690" s="2">
        <v>-80.0</v>
      </c>
      <c r="F690" s="2">
        <v>0.0</v>
      </c>
      <c r="G690" s="2">
        <f t="shared" si="1"/>
        <v>-80</v>
      </c>
      <c r="H690" s="2" t="s">
        <v>47</v>
      </c>
      <c r="L690" s="2" t="s">
        <v>11</v>
      </c>
    </row>
    <row r="691" ht="12.75" customHeight="1">
      <c r="A691" s="2">
        <v>2015.0</v>
      </c>
      <c r="B691" s="2">
        <v>3.0</v>
      </c>
      <c r="C691" s="2">
        <v>26.0</v>
      </c>
      <c r="D691" s="2" t="s">
        <v>29</v>
      </c>
      <c r="E691" s="2">
        <v>-1250.0</v>
      </c>
      <c r="F691" s="2">
        <v>0.0</v>
      </c>
      <c r="G691" s="2">
        <f t="shared" si="1"/>
        <v>-1250</v>
      </c>
      <c r="H691" s="2" t="s">
        <v>18</v>
      </c>
      <c r="L691" s="2" t="s">
        <v>11</v>
      </c>
    </row>
    <row r="692" ht="12.75" customHeight="1">
      <c r="A692" s="2">
        <v>2015.0</v>
      </c>
      <c r="B692" s="2">
        <v>3.0</v>
      </c>
      <c r="C692" s="2">
        <v>25.0</v>
      </c>
      <c r="D692" s="2" t="s">
        <v>27</v>
      </c>
      <c r="E692" s="2">
        <v>-5000.0</v>
      </c>
      <c r="F692" s="2">
        <v>0.0</v>
      </c>
      <c r="G692" s="2">
        <f t="shared" si="1"/>
        <v>-5000</v>
      </c>
      <c r="H692" s="2" t="s">
        <v>227</v>
      </c>
      <c r="L692" s="2" t="s">
        <v>11</v>
      </c>
    </row>
    <row r="693" ht="12.75" customHeight="1">
      <c r="A693" s="2">
        <v>2015.0</v>
      </c>
      <c r="B693" s="2">
        <v>3.0</v>
      </c>
      <c r="C693" s="2">
        <v>25.0</v>
      </c>
      <c r="D693" s="2" t="s">
        <v>27</v>
      </c>
      <c r="E693" s="2">
        <v>5000.0</v>
      </c>
      <c r="F693" s="2">
        <v>0.0</v>
      </c>
      <c r="G693" s="2">
        <f t="shared" si="1"/>
        <v>5000</v>
      </c>
      <c r="H693" s="2" t="s">
        <v>227</v>
      </c>
      <c r="L693" s="2" t="s">
        <v>11</v>
      </c>
    </row>
    <row r="694" ht="12.75" customHeight="1">
      <c r="A694" s="2">
        <v>2015.0</v>
      </c>
      <c r="B694" s="2">
        <v>3.0</v>
      </c>
      <c r="C694" s="2">
        <v>24.0</v>
      </c>
      <c r="D694" s="2" t="s">
        <v>277</v>
      </c>
      <c r="E694" s="2">
        <v>-95.0</v>
      </c>
      <c r="F694" s="2">
        <v>0.0</v>
      </c>
      <c r="G694" s="2">
        <f t="shared" si="1"/>
        <v>-95</v>
      </c>
      <c r="H694" s="2" t="s">
        <v>38</v>
      </c>
      <c r="L694" s="2" t="s">
        <v>11</v>
      </c>
    </row>
    <row r="695" ht="12.75" customHeight="1">
      <c r="A695" s="2">
        <v>2015.0</v>
      </c>
      <c r="B695" s="2">
        <v>3.0</v>
      </c>
      <c r="C695" s="2">
        <v>24.0</v>
      </c>
      <c r="D695" s="2" t="s">
        <v>282</v>
      </c>
      <c r="E695" s="2">
        <v>-69.0</v>
      </c>
      <c r="F695" s="2">
        <v>0.0</v>
      </c>
      <c r="G695" s="2">
        <f t="shared" si="1"/>
        <v>-69</v>
      </c>
      <c r="H695" s="2" t="s">
        <v>42</v>
      </c>
      <c r="L695" s="2" t="s">
        <v>11</v>
      </c>
    </row>
    <row r="696" ht="12.75" customHeight="1">
      <c r="A696" s="2">
        <v>2015.0</v>
      </c>
      <c r="B696" s="2">
        <v>3.0</v>
      </c>
      <c r="C696" s="2">
        <v>24.0</v>
      </c>
      <c r="D696" s="2" t="s">
        <v>39</v>
      </c>
      <c r="E696" s="2">
        <v>28441.0</v>
      </c>
      <c r="F696" s="2">
        <v>0.0</v>
      </c>
      <c r="G696" s="2">
        <f t="shared" si="1"/>
        <v>28441</v>
      </c>
      <c r="H696" s="2" t="s">
        <v>40</v>
      </c>
      <c r="L696" s="2" t="s">
        <v>11</v>
      </c>
    </row>
    <row r="697" ht="12.75" customHeight="1">
      <c r="A697" s="2">
        <v>2015.0</v>
      </c>
      <c r="B697" s="2">
        <v>3.0</v>
      </c>
      <c r="C697" s="2">
        <v>23.0</v>
      </c>
      <c r="D697" s="2" t="s">
        <v>352</v>
      </c>
      <c r="E697" s="2">
        <v>-85.0</v>
      </c>
      <c r="F697" s="2">
        <v>0.0</v>
      </c>
      <c r="G697" s="2">
        <f t="shared" si="1"/>
        <v>-85</v>
      </c>
      <c r="H697" s="2" t="s">
        <v>38</v>
      </c>
      <c r="L697" s="2" t="s">
        <v>11</v>
      </c>
    </row>
    <row r="698" ht="12.75" customHeight="1">
      <c r="A698" s="2">
        <v>2015.0</v>
      </c>
      <c r="B698" s="2">
        <v>3.0</v>
      </c>
      <c r="C698" s="2">
        <v>22.0</v>
      </c>
      <c r="D698" s="2" t="s">
        <v>384</v>
      </c>
      <c r="E698" s="2">
        <v>-600.0</v>
      </c>
      <c r="F698" s="2">
        <v>0.0</v>
      </c>
      <c r="G698" s="2">
        <f t="shared" si="1"/>
        <v>-600</v>
      </c>
      <c r="H698" s="2" t="s">
        <v>52</v>
      </c>
      <c r="I698" s="2" t="s">
        <v>385</v>
      </c>
      <c r="L698" s="2" t="s">
        <v>11</v>
      </c>
    </row>
    <row r="699" ht="12.75" customHeight="1">
      <c r="A699" s="2">
        <v>2015.0</v>
      </c>
      <c r="B699" s="2">
        <v>3.0</v>
      </c>
      <c r="C699" s="2">
        <v>21.0</v>
      </c>
      <c r="D699" s="2" t="s">
        <v>323</v>
      </c>
      <c r="E699" s="2">
        <v>-32.0</v>
      </c>
      <c r="F699" s="2">
        <v>0.0</v>
      </c>
      <c r="G699" s="2">
        <f t="shared" si="1"/>
        <v>-32</v>
      </c>
      <c r="H699" s="2" t="s">
        <v>47</v>
      </c>
      <c r="L699" s="2" t="s">
        <v>11</v>
      </c>
    </row>
    <row r="700" ht="12.75" customHeight="1">
      <c r="A700" s="2">
        <v>2015.0</v>
      </c>
      <c r="B700" s="2">
        <v>3.0</v>
      </c>
      <c r="C700" s="2">
        <v>21.0</v>
      </c>
      <c r="D700" s="2" t="s">
        <v>332</v>
      </c>
      <c r="E700" s="2">
        <v>-47.7</v>
      </c>
      <c r="F700" s="2">
        <v>0.0</v>
      </c>
      <c r="G700" s="2">
        <f t="shared" si="1"/>
        <v>-47.7</v>
      </c>
      <c r="H700" s="2" t="s">
        <v>47</v>
      </c>
      <c r="L700" s="2" t="s">
        <v>11</v>
      </c>
    </row>
    <row r="701" ht="12.75" customHeight="1">
      <c r="A701" s="2">
        <v>2015.0</v>
      </c>
      <c r="B701" s="2">
        <v>3.0</v>
      </c>
      <c r="C701" s="2">
        <v>21.0</v>
      </c>
      <c r="D701" s="2" t="s">
        <v>386</v>
      </c>
      <c r="E701" s="2">
        <v>-85.0</v>
      </c>
      <c r="F701" s="2">
        <v>0.0</v>
      </c>
      <c r="G701" s="2">
        <f t="shared" si="1"/>
        <v>-85</v>
      </c>
      <c r="H701" s="2" t="s">
        <v>47</v>
      </c>
      <c r="L701" s="2" t="s">
        <v>11</v>
      </c>
    </row>
    <row r="702" ht="12.75" customHeight="1">
      <c r="A702" s="2">
        <v>2015.0</v>
      </c>
      <c r="B702" s="2">
        <v>3.0</v>
      </c>
      <c r="C702" s="2">
        <v>21.0</v>
      </c>
      <c r="D702" s="2" t="s">
        <v>386</v>
      </c>
      <c r="E702" s="2">
        <v>-153.0</v>
      </c>
      <c r="F702" s="2">
        <v>0.0</v>
      </c>
      <c r="G702" s="2">
        <f t="shared" si="1"/>
        <v>-153</v>
      </c>
      <c r="H702" s="2" t="s">
        <v>47</v>
      </c>
      <c r="L702" s="2" t="s">
        <v>11</v>
      </c>
    </row>
    <row r="703" ht="12.75" customHeight="1">
      <c r="A703" s="2">
        <v>2015.0</v>
      </c>
      <c r="B703" s="2">
        <v>3.0</v>
      </c>
      <c r="C703" s="2">
        <v>20.0</v>
      </c>
      <c r="D703" s="2" t="s">
        <v>330</v>
      </c>
      <c r="E703" s="2">
        <v>-111.1</v>
      </c>
      <c r="F703" s="2">
        <v>0.0</v>
      </c>
      <c r="G703" s="2">
        <f t="shared" si="1"/>
        <v>-111.1</v>
      </c>
      <c r="H703" s="2" t="s">
        <v>35</v>
      </c>
      <c r="I703" s="2" t="s">
        <v>387</v>
      </c>
      <c r="L703" s="2" t="s">
        <v>11</v>
      </c>
    </row>
    <row r="704" ht="12.75" customHeight="1">
      <c r="A704" s="2">
        <v>2015.0</v>
      </c>
      <c r="B704" s="2">
        <v>3.0</v>
      </c>
      <c r="C704" s="2">
        <v>20.0</v>
      </c>
      <c r="D704" s="2" t="s">
        <v>338</v>
      </c>
      <c r="E704" s="2">
        <v>-76.5</v>
      </c>
      <c r="F704" s="2">
        <v>0.0</v>
      </c>
      <c r="G704" s="2">
        <f t="shared" si="1"/>
        <v>-76.5</v>
      </c>
      <c r="H704" s="2" t="s">
        <v>47</v>
      </c>
      <c r="I704" s="2" t="s">
        <v>388</v>
      </c>
      <c r="L704" s="2" t="s">
        <v>11</v>
      </c>
    </row>
    <row r="705" ht="12.75" customHeight="1">
      <c r="A705" s="2">
        <v>2015.0</v>
      </c>
      <c r="B705" s="2">
        <v>3.0</v>
      </c>
      <c r="C705" s="2">
        <v>19.0</v>
      </c>
      <c r="D705" s="2" t="s">
        <v>352</v>
      </c>
      <c r="E705" s="2">
        <v>-85.0</v>
      </c>
      <c r="F705" s="2">
        <v>0.0</v>
      </c>
      <c r="G705" s="2">
        <f t="shared" si="1"/>
        <v>-85</v>
      </c>
      <c r="H705" s="2" t="s">
        <v>38</v>
      </c>
      <c r="L705" s="2" t="s">
        <v>11</v>
      </c>
    </row>
    <row r="706" ht="12.75" customHeight="1">
      <c r="A706" s="2">
        <v>2015.0</v>
      </c>
      <c r="B706" s="2">
        <v>3.0</v>
      </c>
      <c r="C706" s="2">
        <v>18.0</v>
      </c>
      <c r="D706" s="2" t="s">
        <v>279</v>
      </c>
      <c r="E706" s="2">
        <v>-65.0</v>
      </c>
      <c r="F706" s="2">
        <v>0.0</v>
      </c>
      <c r="G706" s="2">
        <f t="shared" si="1"/>
        <v>-65</v>
      </c>
      <c r="H706" s="2" t="s">
        <v>47</v>
      </c>
      <c r="L706" s="2" t="s">
        <v>11</v>
      </c>
    </row>
    <row r="707" ht="12.75" customHeight="1">
      <c r="A707" s="2">
        <v>2015.0</v>
      </c>
      <c r="B707" s="2">
        <v>3.0</v>
      </c>
      <c r="C707" s="2">
        <v>16.0</v>
      </c>
      <c r="D707" s="2" t="s">
        <v>286</v>
      </c>
      <c r="E707" s="2">
        <v>-246.0</v>
      </c>
      <c r="F707" s="2">
        <v>0.0</v>
      </c>
      <c r="G707" s="2">
        <f t="shared" si="1"/>
        <v>-246</v>
      </c>
      <c r="H707" s="2" t="s">
        <v>164</v>
      </c>
      <c r="L707" s="2" t="s">
        <v>11</v>
      </c>
    </row>
    <row r="708" ht="12.75" customHeight="1">
      <c r="A708" s="2">
        <v>2015.0</v>
      </c>
      <c r="B708" s="2">
        <v>3.0</v>
      </c>
      <c r="C708" s="2">
        <v>16.0</v>
      </c>
      <c r="D708" s="2" t="s">
        <v>280</v>
      </c>
      <c r="E708" s="2">
        <v>-80.0</v>
      </c>
      <c r="F708" s="2">
        <v>0.0</v>
      </c>
      <c r="G708" s="2">
        <f t="shared" si="1"/>
        <v>-80</v>
      </c>
      <c r="H708" s="2" t="s">
        <v>38</v>
      </c>
      <c r="L708" s="2" t="s">
        <v>11</v>
      </c>
    </row>
    <row r="709" ht="12.75" customHeight="1">
      <c r="A709" s="2">
        <v>2015.0</v>
      </c>
      <c r="B709" s="2">
        <v>3.0</v>
      </c>
      <c r="C709" s="2">
        <v>16.0</v>
      </c>
      <c r="D709" s="2" t="s">
        <v>349</v>
      </c>
      <c r="E709" s="2">
        <v>-88.0</v>
      </c>
      <c r="F709" s="2">
        <v>0.0</v>
      </c>
      <c r="G709" s="2">
        <f t="shared" si="1"/>
        <v>-88</v>
      </c>
      <c r="H709" s="2" t="s">
        <v>47</v>
      </c>
      <c r="L709" s="2" t="s">
        <v>11</v>
      </c>
    </row>
    <row r="710" ht="12.75" customHeight="1">
      <c r="A710" s="2">
        <v>2015.0</v>
      </c>
      <c r="B710" s="2">
        <v>3.0</v>
      </c>
      <c r="C710" s="2">
        <v>14.0</v>
      </c>
      <c r="D710" s="2" t="s">
        <v>389</v>
      </c>
      <c r="E710" s="2">
        <v>-55.0</v>
      </c>
      <c r="F710" s="2">
        <v>0.0</v>
      </c>
      <c r="G710" s="2">
        <f t="shared" si="1"/>
        <v>-55</v>
      </c>
      <c r="H710" s="2" t="s">
        <v>47</v>
      </c>
      <c r="L710" s="2" t="s">
        <v>11</v>
      </c>
    </row>
    <row r="711" ht="12.75" customHeight="1">
      <c r="A711" s="2">
        <v>2015.0</v>
      </c>
      <c r="B711" s="2">
        <v>3.0</v>
      </c>
      <c r="C711" s="2">
        <v>14.0</v>
      </c>
      <c r="D711" s="2" t="s">
        <v>390</v>
      </c>
      <c r="E711" s="2">
        <v>-295.0</v>
      </c>
      <c r="F711" s="2">
        <v>0.0</v>
      </c>
      <c r="G711" s="2">
        <f t="shared" si="1"/>
        <v>-295</v>
      </c>
      <c r="H711" s="2" t="s">
        <v>47</v>
      </c>
      <c r="I711" s="2" t="s">
        <v>391</v>
      </c>
      <c r="J711" s="2" t="s">
        <v>392</v>
      </c>
      <c r="L711" s="2" t="s">
        <v>11</v>
      </c>
    </row>
    <row r="712" ht="12.75" customHeight="1">
      <c r="A712" s="2">
        <v>2015.0</v>
      </c>
      <c r="B712" s="2">
        <v>3.0</v>
      </c>
      <c r="C712" s="2">
        <v>14.0</v>
      </c>
      <c r="D712" s="2" t="s">
        <v>393</v>
      </c>
      <c r="E712" s="2">
        <v>-248.41</v>
      </c>
      <c r="F712" s="2">
        <v>0.0</v>
      </c>
      <c r="G712" s="2">
        <f t="shared" si="1"/>
        <v>-248.41</v>
      </c>
      <c r="H712" s="2" t="s">
        <v>47</v>
      </c>
      <c r="I712" s="2" t="s">
        <v>394</v>
      </c>
      <c r="J712" s="2" t="s">
        <v>392</v>
      </c>
      <c r="L712" s="2" t="s">
        <v>11</v>
      </c>
    </row>
    <row r="713" ht="12.75" customHeight="1">
      <c r="A713" s="2">
        <v>2015.0</v>
      </c>
      <c r="B713" s="2">
        <v>3.0</v>
      </c>
      <c r="C713" s="2">
        <v>13.0</v>
      </c>
      <c r="D713" s="2" t="s">
        <v>259</v>
      </c>
      <c r="E713" s="2">
        <v>-1303.0</v>
      </c>
      <c r="F713" s="2">
        <v>0.0</v>
      </c>
      <c r="G713" s="2">
        <f t="shared" si="1"/>
        <v>-1303</v>
      </c>
      <c r="H713" s="2" t="s">
        <v>47</v>
      </c>
      <c r="L713" s="2" t="s">
        <v>11</v>
      </c>
    </row>
    <row r="714" ht="12.75" customHeight="1">
      <c r="A714" s="2">
        <v>2015.0</v>
      </c>
      <c r="B714" s="2">
        <v>3.0</v>
      </c>
      <c r="C714" s="2">
        <v>12.0</v>
      </c>
      <c r="D714" s="2" t="s">
        <v>279</v>
      </c>
      <c r="E714" s="2">
        <v>-85.0</v>
      </c>
      <c r="F714" s="2">
        <v>0.0</v>
      </c>
      <c r="G714" s="2">
        <f t="shared" si="1"/>
        <v>-85</v>
      </c>
      <c r="H714" s="2" t="s">
        <v>47</v>
      </c>
      <c r="L714" s="2" t="s">
        <v>11</v>
      </c>
    </row>
    <row r="715" ht="12.75" customHeight="1">
      <c r="A715" s="2">
        <v>2015.0</v>
      </c>
      <c r="B715" s="2">
        <v>3.0</v>
      </c>
      <c r="C715" s="2">
        <v>12.0</v>
      </c>
      <c r="D715" s="2" t="s">
        <v>286</v>
      </c>
      <c r="E715" s="2">
        <v>-235.0</v>
      </c>
      <c r="F715" s="2">
        <v>0.0</v>
      </c>
      <c r="G715" s="2">
        <f t="shared" si="1"/>
        <v>-235</v>
      </c>
      <c r="H715" s="2" t="s">
        <v>164</v>
      </c>
      <c r="L715" s="2" t="s">
        <v>11</v>
      </c>
    </row>
    <row r="716" ht="12.75" customHeight="1">
      <c r="A716" s="2">
        <v>2015.0</v>
      </c>
      <c r="B716" s="2">
        <v>3.0</v>
      </c>
      <c r="C716" s="2">
        <v>12.0</v>
      </c>
      <c r="D716" s="2" t="s">
        <v>351</v>
      </c>
      <c r="E716" s="2">
        <v>-70.0</v>
      </c>
      <c r="F716" s="2">
        <v>0.0</v>
      </c>
      <c r="G716" s="2">
        <f t="shared" si="1"/>
        <v>-70</v>
      </c>
      <c r="H716" s="2" t="s">
        <v>38</v>
      </c>
      <c r="L716" s="2" t="s">
        <v>11</v>
      </c>
    </row>
    <row r="717" ht="12.75" customHeight="1">
      <c r="A717" s="2">
        <v>2015.0</v>
      </c>
      <c r="B717" s="2">
        <v>3.0</v>
      </c>
      <c r="C717" s="2">
        <v>11.0</v>
      </c>
      <c r="D717" s="2" t="s">
        <v>94</v>
      </c>
      <c r="E717" s="2">
        <v>634.0</v>
      </c>
      <c r="F717" s="2">
        <v>0.0</v>
      </c>
      <c r="G717" s="2">
        <f t="shared" si="1"/>
        <v>634</v>
      </c>
      <c r="H717" s="2" t="s">
        <v>164</v>
      </c>
      <c r="L717" s="2" t="s">
        <v>11</v>
      </c>
    </row>
    <row r="718" ht="12.75" customHeight="1">
      <c r="A718" s="2">
        <v>2015.0</v>
      </c>
      <c r="B718" s="2">
        <v>3.0</v>
      </c>
      <c r="C718" s="2">
        <v>11.0</v>
      </c>
      <c r="D718" s="2" t="s">
        <v>70</v>
      </c>
      <c r="E718" s="2">
        <v>-39.0</v>
      </c>
      <c r="F718" s="2">
        <v>0.0</v>
      </c>
      <c r="G718" s="2">
        <f t="shared" si="1"/>
        <v>-39</v>
      </c>
      <c r="H718" s="2" t="s">
        <v>47</v>
      </c>
      <c r="I718" s="2" t="s">
        <v>395</v>
      </c>
      <c r="L718" s="2" t="s">
        <v>11</v>
      </c>
    </row>
    <row r="719" ht="12.75" customHeight="1">
      <c r="A719" s="2">
        <v>2015.0</v>
      </c>
      <c r="B719" s="2">
        <v>3.0</v>
      </c>
      <c r="C719" s="2">
        <v>11.0</v>
      </c>
      <c r="D719" s="2" t="s">
        <v>274</v>
      </c>
      <c r="E719" s="2">
        <v>-830.0</v>
      </c>
      <c r="F719" s="2">
        <v>0.0</v>
      </c>
      <c r="G719" s="2">
        <f t="shared" si="1"/>
        <v>-830</v>
      </c>
      <c r="H719" s="2" t="s">
        <v>38</v>
      </c>
      <c r="L719" s="2" t="s">
        <v>11</v>
      </c>
    </row>
    <row r="720" ht="12.75" customHeight="1">
      <c r="A720" s="2">
        <v>2015.0</v>
      </c>
      <c r="B720" s="2">
        <v>3.0</v>
      </c>
      <c r="C720" s="2">
        <v>10.0</v>
      </c>
      <c r="D720" s="2" t="s">
        <v>361</v>
      </c>
      <c r="E720" s="2">
        <v>-580.0</v>
      </c>
      <c r="F720" s="2">
        <v>0.0</v>
      </c>
      <c r="G720" s="2">
        <f t="shared" si="1"/>
        <v>-580</v>
      </c>
      <c r="H720" s="2" t="s">
        <v>50</v>
      </c>
      <c r="L720" s="2" t="s">
        <v>11</v>
      </c>
    </row>
    <row r="721" ht="12.75" customHeight="1">
      <c r="A721" s="2">
        <v>2015.0</v>
      </c>
      <c r="B721" s="2">
        <v>3.0</v>
      </c>
      <c r="C721" s="2">
        <v>10.0</v>
      </c>
      <c r="D721" s="2" t="s">
        <v>279</v>
      </c>
      <c r="E721" s="2">
        <v>-70.0</v>
      </c>
      <c r="F721" s="2">
        <v>0.0</v>
      </c>
      <c r="G721" s="2">
        <f t="shared" si="1"/>
        <v>-70</v>
      </c>
      <c r="H721" s="2" t="s">
        <v>47</v>
      </c>
      <c r="L721" s="2" t="s">
        <v>11</v>
      </c>
    </row>
    <row r="722" ht="12.75" customHeight="1">
      <c r="A722" s="2">
        <v>2015.0</v>
      </c>
      <c r="B722" s="2">
        <v>3.0</v>
      </c>
      <c r="C722" s="2">
        <v>9.0</v>
      </c>
      <c r="D722" s="2" t="s">
        <v>279</v>
      </c>
      <c r="E722" s="2">
        <v>-60.0</v>
      </c>
      <c r="F722" s="2">
        <v>0.0</v>
      </c>
      <c r="G722" s="2">
        <f t="shared" si="1"/>
        <v>-60</v>
      </c>
      <c r="H722" s="2" t="s">
        <v>47</v>
      </c>
      <c r="L722" s="2" t="s">
        <v>11</v>
      </c>
    </row>
    <row r="723" ht="12.75" customHeight="1">
      <c r="A723" s="2">
        <v>2015.0</v>
      </c>
      <c r="B723" s="2">
        <v>3.0</v>
      </c>
      <c r="C723" s="2">
        <v>9.0</v>
      </c>
      <c r="D723" s="2" t="s">
        <v>286</v>
      </c>
      <c r="E723" s="2">
        <v>-237.0</v>
      </c>
      <c r="F723" s="2">
        <v>0.0</v>
      </c>
      <c r="G723" s="2">
        <f t="shared" si="1"/>
        <v>-237</v>
      </c>
      <c r="H723" s="2" t="s">
        <v>164</v>
      </c>
      <c r="L723" s="2" t="s">
        <v>11</v>
      </c>
    </row>
    <row r="724" ht="12.75" customHeight="1">
      <c r="A724" s="2">
        <v>2015.0</v>
      </c>
      <c r="B724" s="2">
        <v>3.0</v>
      </c>
      <c r="C724" s="2">
        <v>9.0</v>
      </c>
      <c r="D724" s="2" t="s">
        <v>396</v>
      </c>
      <c r="E724" s="2">
        <v>-80.0</v>
      </c>
      <c r="F724" s="2">
        <v>0.0</v>
      </c>
      <c r="G724" s="2">
        <f t="shared" si="1"/>
        <v>-80</v>
      </c>
      <c r="H724" s="2" t="s">
        <v>38</v>
      </c>
      <c r="L724" s="2" t="s">
        <v>11</v>
      </c>
    </row>
    <row r="725" ht="12.75" customHeight="1">
      <c r="A725" s="2">
        <v>2015.0</v>
      </c>
      <c r="B725" s="2">
        <v>3.0</v>
      </c>
      <c r="C725" s="2">
        <v>7.0</v>
      </c>
      <c r="D725" s="2" t="s">
        <v>77</v>
      </c>
      <c r="E725" s="2">
        <v>-170.0</v>
      </c>
      <c r="F725" s="2">
        <v>0.0</v>
      </c>
      <c r="G725" s="2">
        <f t="shared" si="1"/>
        <v>-170</v>
      </c>
      <c r="H725" s="2" t="s">
        <v>47</v>
      </c>
      <c r="I725" s="2" t="s">
        <v>397</v>
      </c>
      <c r="J725" s="2" t="s">
        <v>398</v>
      </c>
      <c r="L725" s="2" t="s">
        <v>11</v>
      </c>
    </row>
    <row r="726" ht="12.75" customHeight="1">
      <c r="A726" s="2">
        <v>2015.0</v>
      </c>
      <c r="B726" s="2">
        <v>3.0</v>
      </c>
      <c r="C726" s="2">
        <v>7.0</v>
      </c>
      <c r="D726" s="2" t="s">
        <v>268</v>
      </c>
      <c r="E726" s="2">
        <v>-77.0</v>
      </c>
      <c r="F726" s="2">
        <v>0.0</v>
      </c>
      <c r="G726" s="2">
        <f t="shared" si="1"/>
        <v>-77</v>
      </c>
      <c r="H726" s="2" t="s">
        <v>42</v>
      </c>
      <c r="L726" s="2" t="s">
        <v>11</v>
      </c>
    </row>
    <row r="727" ht="12.75" customHeight="1">
      <c r="A727" s="2">
        <v>2015.0</v>
      </c>
      <c r="B727" s="2">
        <v>3.0</v>
      </c>
      <c r="C727" s="2">
        <v>6.0</v>
      </c>
      <c r="D727" s="2" t="s">
        <v>330</v>
      </c>
      <c r="E727" s="2">
        <v>-122.3</v>
      </c>
      <c r="F727" s="2">
        <v>0.0</v>
      </c>
      <c r="G727" s="2">
        <f t="shared" si="1"/>
        <v>-122.3</v>
      </c>
      <c r="H727" s="2" t="s">
        <v>52</v>
      </c>
      <c r="I727" s="2" t="s">
        <v>399</v>
      </c>
      <c r="L727" s="2" t="s">
        <v>11</v>
      </c>
    </row>
    <row r="728" ht="12.75" customHeight="1">
      <c r="A728" s="2">
        <v>2015.0</v>
      </c>
      <c r="B728" s="2">
        <v>3.0</v>
      </c>
      <c r="C728" s="2">
        <v>6.0</v>
      </c>
      <c r="D728" s="2" t="s">
        <v>400</v>
      </c>
      <c r="E728" s="2">
        <v>-381.6</v>
      </c>
      <c r="F728" s="2">
        <v>0.0</v>
      </c>
      <c r="G728" s="2">
        <f t="shared" si="1"/>
        <v>-381.6</v>
      </c>
      <c r="H728" s="2" t="s">
        <v>47</v>
      </c>
      <c r="L728" s="2" t="s">
        <v>11</v>
      </c>
    </row>
    <row r="729" ht="12.75" customHeight="1">
      <c r="A729" s="2">
        <v>2015.0</v>
      </c>
      <c r="B729" s="2">
        <v>3.0</v>
      </c>
      <c r="C729" s="2">
        <v>6.0</v>
      </c>
      <c r="D729" s="2" t="s">
        <v>102</v>
      </c>
      <c r="E729" s="2">
        <v>-200.0</v>
      </c>
      <c r="F729" s="2">
        <v>0.0</v>
      </c>
      <c r="G729" s="2">
        <f t="shared" si="1"/>
        <v>-200</v>
      </c>
      <c r="H729" s="2" t="s">
        <v>103</v>
      </c>
      <c r="L729" s="2" t="s">
        <v>11</v>
      </c>
    </row>
    <row r="730" ht="12.75" customHeight="1">
      <c r="A730" s="2">
        <v>2015.0</v>
      </c>
      <c r="B730" s="2">
        <v>3.0</v>
      </c>
      <c r="C730" s="2">
        <v>5.0</v>
      </c>
      <c r="D730" s="2" t="s">
        <v>401</v>
      </c>
      <c r="E730" s="2">
        <v>-85.0</v>
      </c>
      <c r="F730" s="2">
        <v>0.0</v>
      </c>
      <c r="G730" s="2">
        <f t="shared" si="1"/>
        <v>-85</v>
      </c>
      <c r="H730" s="2" t="s">
        <v>38</v>
      </c>
      <c r="L730" s="2" t="s">
        <v>11</v>
      </c>
    </row>
    <row r="731" ht="12.75" customHeight="1">
      <c r="A731" s="2">
        <v>2015.0</v>
      </c>
      <c r="B731" s="2">
        <v>3.0</v>
      </c>
      <c r="C731" s="2">
        <v>4.0</v>
      </c>
      <c r="D731" s="2" t="s">
        <v>383</v>
      </c>
      <c r="E731" s="2">
        <v>-160.0</v>
      </c>
      <c r="F731" s="2">
        <v>0.0</v>
      </c>
      <c r="G731" s="2">
        <f t="shared" si="1"/>
        <v>-160</v>
      </c>
      <c r="H731" s="2" t="s">
        <v>47</v>
      </c>
      <c r="L731" s="2" t="s">
        <v>11</v>
      </c>
    </row>
    <row r="732" ht="12.75" customHeight="1">
      <c r="A732" s="2">
        <v>2015.0</v>
      </c>
      <c r="B732" s="2">
        <v>3.0</v>
      </c>
      <c r="C732" s="2">
        <v>2.0</v>
      </c>
      <c r="D732" s="2" t="s">
        <v>25</v>
      </c>
      <c r="E732" s="2">
        <v>-100.0</v>
      </c>
      <c r="F732" s="2">
        <v>0.0</v>
      </c>
      <c r="G732" s="2">
        <f t="shared" si="1"/>
        <v>-100</v>
      </c>
      <c r="H732" s="2" t="s">
        <v>26</v>
      </c>
      <c r="L732" s="2" t="s">
        <v>11</v>
      </c>
    </row>
    <row r="733" ht="12.75" customHeight="1">
      <c r="A733" s="2">
        <v>2015.0</v>
      </c>
      <c r="B733" s="2">
        <v>3.0</v>
      </c>
      <c r="C733" s="2">
        <v>2.0</v>
      </c>
      <c r="D733" s="2" t="s">
        <v>157</v>
      </c>
      <c r="E733" s="2">
        <v>-130.0</v>
      </c>
      <c r="F733" s="2">
        <v>0.0</v>
      </c>
      <c r="G733" s="2">
        <f t="shared" si="1"/>
        <v>-130</v>
      </c>
      <c r="H733" s="2" t="s">
        <v>17</v>
      </c>
      <c r="L733" s="2" t="s">
        <v>11</v>
      </c>
    </row>
    <row r="734" ht="12.75" customHeight="1">
      <c r="A734" s="2">
        <v>2015.0</v>
      </c>
      <c r="B734" s="2">
        <v>3.0</v>
      </c>
      <c r="C734" s="2">
        <v>2.0</v>
      </c>
      <c r="D734" s="2" t="s">
        <v>73</v>
      </c>
      <c r="E734" s="2">
        <v>-8134.0</v>
      </c>
      <c r="F734" s="2">
        <v>0.0</v>
      </c>
      <c r="G734" s="2">
        <f t="shared" si="1"/>
        <v>-8134</v>
      </c>
      <c r="H734" s="2" t="s">
        <v>10</v>
      </c>
      <c r="L734" s="2" t="s">
        <v>11</v>
      </c>
    </row>
    <row r="735" ht="12.75" customHeight="1">
      <c r="A735" s="2">
        <v>2015.0</v>
      </c>
      <c r="B735" s="2">
        <v>3.0</v>
      </c>
      <c r="C735" s="2">
        <v>2.0</v>
      </c>
      <c r="D735" s="2" t="s">
        <v>351</v>
      </c>
      <c r="E735" s="2">
        <v>-70.0</v>
      </c>
      <c r="F735" s="2">
        <v>0.0</v>
      </c>
      <c r="G735" s="2">
        <f t="shared" si="1"/>
        <v>-70</v>
      </c>
      <c r="H735" s="2" t="s">
        <v>38</v>
      </c>
      <c r="L735" s="2" t="s">
        <v>11</v>
      </c>
    </row>
    <row r="736" ht="12.75" customHeight="1">
      <c r="A736" s="2">
        <v>2015.0</v>
      </c>
      <c r="B736" s="2">
        <v>3.0</v>
      </c>
      <c r="C736" s="2">
        <v>1.0</v>
      </c>
      <c r="D736" s="2" t="s">
        <v>259</v>
      </c>
      <c r="E736" s="2">
        <v>-720.0</v>
      </c>
      <c r="F736" s="2">
        <v>0.0</v>
      </c>
      <c r="G736" s="2">
        <f t="shared" si="1"/>
        <v>-720</v>
      </c>
      <c r="H736" s="2" t="s">
        <v>47</v>
      </c>
      <c r="L736" s="2" t="s">
        <v>11</v>
      </c>
    </row>
    <row r="737" ht="12.75" customHeight="1">
      <c r="A737" s="2">
        <v>2015.0</v>
      </c>
      <c r="B737" s="2">
        <v>2.0</v>
      </c>
      <c r="C737" s="2">
        <v>28.0</v>
      </c>
      <c r="D737" s="2" t="s">
        <v>77</v>
      </c>
      <c r="E737" s="2">
        <v>-700.0</v>
      </c>
      <c r="F737" s="2">
        <v>0.0</v>
      </c>
      <c r="G737" s="2">
        <f t="shared" si="1"/>
        <v>-700</v>
      </c>
      <c r="H737" s="2" t="s">
        <v>47</v>
      </c>
      <c r="I737" s="2" t="s">
        <v>402</v>
      </c>
      <c r="L737" s="2" t="s">
        <v>11</v>
      </c>
    </row>
    <row r="738" ht="12.75" customHeight="1">
      <c r="A738" s="2">
        <v>2015.0</v>
      </c>
      <c r="B738" s="2">
        <v>2.0</v>
      </c>
      <c r="C738" s="2">
        <v>28.0</v>
      </c>
      <c r="D738" s="2" t="s">
        <v>403</v>
      </c>
      <c r="E738" s="2">
        <v>-119.0</v>
      </c>
      <c r="F738" s="2">
        <v>0.0</v>
      </c>
      <c r="G738" s="2">
        <f t="shared" si="1"/>
        <v>-119</v>
      </c>
      <c r="H738" s="2" t="s">
        <v>38</v>
      </c>
      <c r="L738" s="2" t="s">
        <v>11</v>
      </c>
    </row>
    <row r="739" ht="12.75" customHeight="1">
      <c r="A739" s="2">
        <v>2015.0</v>
      </c>
      <c r="B739" s="2">
        <v>2.0</v>
      </c>
      <c r="C739" s="2">
        <v>28.0</v>
      </c>
      <c r="D739" s="2">
        <v>4.7516877E7</v>
      </c>
      <c r="E739" s="2">
        <v>1000.0</v>
      </c>
      <c r="F739" s="2">
        <v>0.0</v>
      </c>
      <c r="G739" s="2">
        <f t="shared" si="1"/>
        <v>1000</v>
      </c>
      <c r="H739" s="2" t="s">
        <v>18</v>
      </c>
      <c r="L739" s="2" t="s">
        <v>11</v>
      </c>
    </row>
    <row r="740" ht="12.75" customHeight="1">
      <c r="A740" s="2">
        <v>2015.0</v>
      </c>
      <c r="B740" s="2">
        <v>2.0</v>
      </c>
      <c r="C740" s="2">
        <v>27.0</v>
      </c>
      <c r="D740" s="2" t="s">
        <v>382</v>
      </c>
      <c r="E740" s="2">
        <v>-299.0</v>
      </c>
      <c r="F740" s="2">
        <v>0.0</v>
      </c>
      <c r="G740" s="2">
        <f t="shared" si="1"/>
        <v>-299</v>
      </c>
      <c r="H740" s="2" t="s">
        <v>22</v>
      </c>
      <c r="L740" s="2" t="s">
        <v>11</v>
      </c>
    </row>
    <row r="741" ht="12.75" customHeight="1">
      <c r="A741" s="2">
        <v>2015.0</v>
      </c>
      <c r="B741" s="2">
        <v>2.0</v>
      </c>
      <c r="C741" s="2">
        <v>27.0</v>
      </c>
      <c r="D741" s="2" t="s">
        <v>280</v>
      </c>
      <c r="E741" s="2">
        <v>-80.0</v>
      </c>
      <c r="F741" s="2">
        <v>0.0</v>
      </c>
      <c r="G741" s="2">
        <f t="shared" si="1"/>
        <v>-80</v>
      </c>
      <c r="H741" s="2" t="s">
        <v>38</v>
      </c>
      <c r="L741" s="2" t="s">
        <v>11</v>
      </c>
    </row>
    <row r="742" ht="12.75" customHeight="1">
      <c r="A742" s="2">
        <v>2015.0</v>
      </c>
      <c r="B742" s="2">
        <v>2.0</v>
      </c>
      <c r="C742" s="2">
        <v>27.0</v>
      </c>
      <c r="D742" s="2" t="s">
        <v>12</v>
      </c>
      <c r="E742" s="2">
        <v>-9087.4</v>
      </c>
      <c r="F742" s="2">
        <v>0.0</v>
      </c>
      <c r="G742" s="2">
        <f t="shared" si="1"/>
        <v>-9087.4</v>
      </c>
      <c r="H742" s="2" t="s">
        <v>227</v>
      </c>
      <c r="L742" s="2" t="s">
        <v>228</v>
      </c>
    </row>
    <row r="743" ht="12.75" customHeight="1">
      <c r="A743" s="2">
        <v>2015.0</v>
      </c>
      <c r="B743" s="2">
        <v>2.0</v>
      </c>
      <c r="C743" s="2">
        <v>27.0</v>
      </c>
      <c r="D743" s="2" t="s">
        <v>259</v>
      </c>
      <c r="E743" s="2">
        <v>-135.0</v>
      </c>
      <c r="F743" s="2">
        <v>0.0</v>
      </c>
      <c r="G743" s="2">
        <f t="shared" si="1"/>
        <v>-135</v>
      </c>
      <c r="H743" s="2" t="s">
        <v>47</v>
      </c>
      <c r="L743" s="2" t="s">
        <v>11</v>
      </c>
    </row>
    <row r="744" ht="12.75" customHeight="1">
      <c r="A744" s="2">
        <v>2015.0</v>
      </c>
      <c r="B744" s="2">
        <v>2.0</v>
      </c>
      <c r="C744" s="2">
        <v>27.0</v>
      </c>
      <c r="D744" s="2" t="s">
        <v>14</v>
      </c>
      <c r="E744" s="2">
        <v>-4007.0</v>
      </c>
      <c r="F744" s="2">
        <v>0.0</v>
      </c>
      <c r="G744" s="2">
        <f t="shared" si="1"/>
        <v>-4007</v>
      </c>
      <c r="H744" s="2" t="s">
        <v>10</v>
      </c>
      <c r="L744" s="2" t="s">
        <v>11</v>
      </c>
    </row>
    <row r="745" ht="12.75" customHeight="1">
      <c r="A745" s="2">
        <v>2015.0</v>
      </c>
      <c r="B745" s="2">
        <v>2.0</v>
      </c>
      <c r="C745" s="2">
        <v>27.0</v>
      </c>
      <c r="D745" s="2" t="s">
        <v>75</v>
      </c>
      <c r="E745" s="2">
        <v>-3064.0</v>
      </c>
      <c r="F745" s="2">
        <v>0.0</v>
      </c>
      <c r="G745" s="2">
        <f t="shared" si="1"/>
        <v>-3064</v>
      </c>
      <c r="H745" s="2" t="s">
        <v>76</v>
      </c>
      <c r="L745" s="2" t="s">
        <v>11</v>
      </c>
    </row>
    <row r="746" ht="12.75" customHeight="1">
      <c r="A746" s="2">
        <v>2015.0</v>
      </c>
      <c r="B746" s="2">
        <v>2.0</v>
      </c>
      <c r="C746" s="2">
        <v>26.0</v>
      </c>
      <c r="D746" s="2" t="s">
        <v>19</v>
      </c>
      <c r="E746" s="2">
        <v>-320.0</v>
      </c>
      <c r="F746" s="2">
        <v>0.0</v>
      </c>
      <c r="G746" s="2">
        <f t="shared" si="1"/>
        <v>-320</v>
      </c>
      <c r="H746" s="2" t="s">
        <v>20</v>
      </c>
      <c r="L746" s="2" t="s">
        <v>11</v>
      </c>
    </row>
    <row r="747" ht="12.75" customHeight="1">
      <c r="A747" s="2">
        <v>2015.0</v>
      </c>
      <c r="B747" s="2">
        <v>2.0</v>
      </c>
      <c r="C747" s="2">
        <v>26.0</v>
      </c>
      <c r="D747" s="2" t="s">
        <v>29</v>
      </c>
      <c r="E747" s="2">
        <v>-1250.0</v>
      </c>
      <c r="F747" s="2">
        <v>0.0</v>
      </c>
      <c r="G747" s="2">
        <f t="shared" si="1"/>
        <v>-1250</v>
      </c>
      <c r="H747" s="2" t="s">
        <v>18</v>
      </c>
      <c r="L747" s="2" t="s">
        <v>11</v>
      </c>
    </row>
    <row r="748" ht="12.75" customHeight="1">
      <c r="A748" s="2">
        <v>2015.0</v>
      </c>
      <c r="B748" s="2">
        <v>2.0</v>
      </c>
      <c r="C748" s="2">
        <v>26.0</v>
      </c>
      <c r="D748" s="2" t="s">
        <v>351</v>
      </c>
      <c r="E748" s="2">
        <v>-70.0</v>
      </c>
      <c r="F748" s="2">
        <v>0.0</v>
      </c>
      <c r="G748" s="2">
        <f t="shared" si="1"/>
        <v>-70</v>
      </c>
      <c r="H748" s="2" t="s">
        <v>38</v>
      </c>
      <c r="L748" s="2" t="s">
        <v>11</v>
      </c>
    </row>
    <row r="749" ht="12.75" customHeight="1">
      <c r="A749" s="2">
        <v>2015.0</v>
      </c>
      <c r="B749" s="2">
        <v>2.0</v>
      </c>
      <c r="C749" s="2">
        <v>26.0</v>
      </c>
      <c r="D749" s="2" t="s">
        <v>23</v>
      </c>
      <c r="E749" s="2">
        <v>-303.0</v>
      </c>
      <c r="F749" s="2">
        <v>0.0</v>
      </c>
      <c r="G749" s="2">
        <f t="shared" si="1"/>
        <v>-303</v>
      </c>
      <c r="H749" s="2" t="s">
        <v>24</v>
      </c>
      <c r="L749" s="2" t="s">
        <v>11</v>
      </c>
    </row>
    <row r="750" ht="12.75" customHeight="1">
      <c r="A750" s="2">
        <v>2015.0</v>
      </c>
      <c r="B750" s="2">
        <v>2.0</v>
      </c>
      <c r="C750" s="2">
        <v>25.0</v>
      </c>
      <c r="D750" s="2" t="s">
        <v>404</v>
      </c>
      <c r="E750" s="2">
        <v>-85.0</v>
      </c>
      <c r="F750" s="2">
        <v>0.0</v>
      </c>
      <c r="G750" s="2">
        <f t="shared" si="1"/>
        <v>-85</v>
      </c>
      <c r="H750" s="2" t="s">
        <v>47</v>
      </c>
      <c r="L750" s="2" t="s">
        <v>11</v>
      </c>
    </row>
    <row r="751" ht="12.75" customHeight="1">
      <c r="A751" s="2">
        <v>2015.0</v>
      </c>
      <c r="B751" s="2">
        <v>2.0</v>
      </c>
      <c r="C751" s="2">
        <v>25.0</v>
      </c>
      <c r="D751" s="2" t="s">
        <v>27</v>
      </c>
      <c r="E751" s="2">
        <v>-5000.0</v>
      </c>
      <c r="F751" s="2">
        <v>0.0</v>
      </c>
      <c r="G751" s="2">
        <f t="shared" si="1"/>
        <v>-5000</v>
      </c>
      <c r="H751" s="2" t="s">
        <v>227</v>
      </c>
      <c r="L751" s="2" t="s">
        <v>11</v>
      </c>
    </row>
    <row r="752" ht="12.75" customHeight="1">
      <c r="A752" s="2">
        <v>2015.0</v>
      </c>
      <c r="B752" s="2">
        <v>2.0</v>
      </c>
      <c r="C752" s="2">
        <v>25.0</v>
      </c>
      <c r="D752" s="2" t="s">
        <v>27</v>
      </c>
      <c r="E752" s="2">
        <v>5000.0</v>
      </c>
      <c r="F752" s="2">
        <v>0.0</v>
      </c>
      <c r="G752" s="2">
        <f t="shared" si="1"/>
        <v>5000</v>
      </c>
      <c r="H752" s="2" t="s">
        <v>227</v>
      </c>
      <c r="L752" s="2" t="s">
        <v>11</v>
      </c>
    </row>
    <row r="753" ht="12.75" customHeight="1">
      <c r="A753" s="2">
        <v>2015.0</v>
      </c>
      <c r="B753" s="2">
        <v>2.0</v>
      </c>
      <c r="C753" s="2">
        <v>24.0</v>
      </c>
      <c r="D753" s="2" t="s">
        <v>39</v>
      </c>
      <c r="E753" s="2">
        <v>29213.0</v>
      </c>
      <c r="F753" s="2">
        <v>0.0</v>
      </c>
      <c r="G753" s="2">
        <f t="shared" si="1"/>
        <v>29213</v>
      </c>
      <c r="H753" s="2" t="s">
        <v>40</v>
      </c>
      <c r="L753" s="2" t="s">
        <v>11</v>
      </c>
    </row>
    <row r="754" ht="12.75" customHeight="1">
      <c r="A754" s="2">
        <v>2015.0</v>
      </c>
      <c r="B754" s="2">
        <v>2.0</v>
      </c>
      <c r="C754" s="2">
        <v>24.0</v>
      </c>
      <c r="D754" s="2" t="s">
        <v>405</v>
      </c>
      <c r="E754" s="2">
        <v>-24.0</v>
      </c>
      <c r="F754" s="2">
        <v>0.0</v>
      </c>
      <c r="G754" s="2">
        <f t="shared" si="1"/>
        <v>-24</v>
      </c>
      <c r="H754" s="2" t="s">
        <v>164</v>
      </c>
      <c r="L754" s="2" t="s">
        <v>11</v>
      </c>
    </row>
    <row r="755" ht="12.75" customHeight="1">
      <c r="A755" s="2">
        <v>2015.0</v>
      </c>
      <c r="B755" s="2">
        <v>2.0</v>
      </c>
      <c r="C755" s="2">
        <v>24.0</v>
      </c>
      <c r="D755" s="2" t="s">
        <v>405</v>
      </c>
      <c r="E755" s="2">
        <v>-18.0</v>
      </c>
      <c r="F755" s="2">
        <v>0.0</v>
      </c>
      <c r="G755" s="2">
        <f t="shared" si="1"/>
        <v>-18</v>
      </c>
      <c r="H755" s="2" t="s">
        <v>164</v>
      </c>
      <c r="L755" s="2" t="s">
        <v>11</v>
      </c>
    </row>
    <row r="756" ht="12.75" customHeight="1">
      <c r="A756" s="2">
        <v>2015.0</v>
      </c>
      <c r="B756" s="2">
        <v>2.0</v>
      </c>
      <c r="C756" s="2">
        <v>23.0</v>
      </c>
      <c r="D756" s="2" t="s">
        <v>404</v>
      </c>
      <c r="E756" s="2">
        <v>-60.0</v>
      </c>
      <c r="F756" s="2">
        <v>0.0</v>
      </c>
      <c r="G756" s="2">
        <f t="shared" si="1"/>
        <v>-60</v>
      </c>
      <c r="H756" s="2" t="s">
        <v>47</v>
      </c>
      <c r="L756" s="2" t="s">
        <v>11</v>
      </c>
    </row>
    <row r="757" ht="12.75" customHeight="1">
      <c r="A757" s="2">
        <v>2015.0</v>
      </c>
      <c r="B757" s="2">
        <v>2.0</v>
      </c>
      <c r="C757" s="2">
        <v>23.0</v>
      </c>
      <c r="D757" s="2" t="s">
        <v>289</v>
      </c>
      <c r="E757" s="2">
        <v>-85.0</v>
      </c>
      <c r="F757" s="2">
        <v>0.0</v>
      </c>
      <c r="G757" s="2">
        <f t="shared" si="1"/>
        <v>-85</v>
      </c>
      <c r="H757" s="2" t="s">
        <v>38</v>
      </c>
      <c r="L757" s="2" t="s">
        <v>11</v>
      </c>
    </row>
    <row r="758" ht="12.75" customHeight="1">
      <c r="A758" s="2">
        <v>2015.0</v>
      </c>
      <c r="B758" s="2">
        <v>2.0</v>
      </c>
      <c r="C758" s="2">
        <v>22.0</v>
      </c>
      <c r="D758" s="2" t="s">
        <v>406</v>
      </c>
      <c r="E758" s="2">
        <v>-599.7</v>
      </c>
      <c r="F758" s="2">
        <v>0.0</v>
      </c>
      <c r="G758" s="2">
        <f t="shared" si="1"/>
        <v>-599.7</v>
      </c>
      <c r="H758" s="2" t="s">
        <v>31</v>
      </c>
      <c r="L758" s="2" t="s">
        <v>11</v>
      </c>
    </row>
    <row r="759" ht="12.75" customHeight="1">
      <c r="A759" s="2">
        <v>2015.0</v>
      </c>
      <c r="B759" s="2">
        <v>2.0</v>
      </c>
      <c r="C759" s="2">
        <v>22.0</v>
      </c>
      <c r="D759" s="2" t="s">
        <v>407</v>
      </c>
      <c r="E759" s="2">
        <v>-189.0</v>
      </c>
      <c r="F759" s="2">
        <v>0.0</v>
      </c>
      <c r="G759" s="2">
        <f t="shared" si="1"/>
        <v>-189</v>
      </c>
      <c r="H759" s="2" t="s">
        <v>47</v>
      </c>
      <c r="L759" s="2" t="s">
        <v>11</v>
      </c>
    </row>
    <row r="760" ht="12.75" customHeight="1">
      <c r="A760" s="2">
        <v>2015.0</v>
      </c>
      <c r="B760" s="2">
        <v>2.0</v>
      </c>
      <c r="C760" s="2">
        <v>22.0</v>
      </c>
      <c r="D760" s="2" t="s">
        <v>408</v>
      </c>
      <c r="E760" s="2">
        <v>-136.9</v>
      </c>
      <c r="F760" s="2">
        <v>0.0</v>
      </c>
      <c r="G760" s="2">
        <f t="shared" si="1"/>
        <v>-136.9</v>
      </c>
      <c r="H760" s="2" t="s">
        <v>31</v>
      </c>
      <c r="L760" s="2" t="s">
        <v>11</v>
      </c>
    </row>
    <row r="761" ht="12.75" customHeight="1">
      <c r="A761" s="2">
        <v>2015.0</v>
      </c>
      <c r="B761" s="2">
        <v>2.0</v>
      </c>
      <c r="C761" s="2">
        <v>20.0</v>
      </c>
      <c r="D761" s="2" t="s">
        <v>409</v>
      </c>
      <c r="E761" s="2">
        <v>-100.0</v>
      </c>
      <c r="F761" s="2">
        <v>0.0</v>
      </c>
      <c r="G761" s="2">
        <f t="shared" si="1"/>
        <v>-100</v>
      </c>
      <c r="H761" s="2" t="s">
        <v>31</v>
      </c>
      <c r="L761" s="2" t="s">
        <v>11</v>
      </c>
    </row>
    <row r="762" ht="12.75" customHeight="1">
      <c r="A762" s="2">
        <v>2015.0</v>
      </c>
      <c r="B762" s="2">
        <v>2.0</v>
      </c>
      <c r="C762" s="2">
        <v>19.0</v>
      </c>
      <c r="D762" s="2" t="s">
        <v>410</v>
      </c>
      <c r="E762" s="2">
        <v>-28.0</v>
      </c>
      <c r="F762" s="2">
        <v>0.0</v>
      </c>
      <c r="G762" s="2">
        <f t="shared" si="1"/>
        <v>-28</v>
      </c>
      <c r="H762" s="2" t="s">
        <v>47</v>
      </c>
      <c r="L762" s="2" t="s">
        <v>11</v>
      </c>
    </row>
    <row r="763" ht="12.75" customHeight="1">
      <c r="A763" s="2">
        <v>2015.0</v>
      </c>
      <c r="B763" s="2">
        <v>2.0</v>
      </c>
      <c r="C763" s="2">
        <v>19.0</v>
      </c>
      <c r="D763" s="2" t="s">
        <v>268</v>
      </c>
      <c r="E763" s="2">
        <v>-77.0</v>
      </c>
      <c r="F763" s="2">
        <v>0.0</v>
      </c>
      <c r="G763" s="2">
        <f t="shared" si="1"/>
        <v>-77</v>
      </c>
      <c r="H763" s="2" t="s">
        <v>42</v>
      </c>
      <c r="L763" s="2" t="s">
        <v>11</v>
      </c>
    </row>
    <row r="764" ht="12.75" customHeight="1">
      <c r="A764" s="2">
        <v>2015.0</v>
      </c>
      <c r="B764" s="2">
        <v>2.0</v>
      </c>
      <c r="C764" s="2">
        <v>14.0</v>
      </c>
      <c r="D764" s="2" t="s">
        <v>303</v>
      </c>
      <c r="E764" s="2">
        <v>-229.0</v>
      </c>
      <c r="F764" s="2">
        <v>0.0</v>
      </c>
      <c r="G764" s="2">
        <f t="shared" si="1"/>
        <v>-229</v>
      </c>
      <c r="H764" s="2" t="s">
        <v>72</v>
      </c>
      <c r="L764" s="2" t="s">
        <v>11</v>
      </c>
    </row>
    <row r="765" ht="12.75" customHeight="1">
      <c r="A765" s="2">
        <v>2015.0</v>
      </c>
      <c r="B765" s="2">
        <v>2.0</v>
      </c>
      <c r="C765" s="2">
        <v>14.0</v>
      </c>
      <c r="D765" s="2" t="s">
        <v>411</v>
      </c>
      <c r="E765" s="2">
        <v>-91.0</v>
      </c>
      <c r="F765" s="2">
        <v>0.0</v>
      </c>
      <c r="G765" s="2">
        <f t="shared" si="1"/>
        <v>-91</v>
      </c>
      <c r="H765" s="2" t="s">
        <v>47</v>
      </c>
      <c r="L765" s="2" t="s">
        <v>11</v>
      </c>
    </row>
    <row r="766" ht="12.75" customHeight="1">
      <c r="A766" s="2">
        <v>2015.0</v>
      </c>
      <c r="B766" s="2">
        <v>2.0</v>
      </c>
      <c r="C766" s="2">
        <v>14.0</v>
      </c>
      <c r="D766" s="2" t="s">
        <v>412</v>
      </c>
      <c r="E766" s="2">
        <v>-135.0</v>
      </c>
      <c r="F766" s="2">
        <v>0.0</v>
      </c>
      <c r="G766" s="2">
        <f t="shared" si="1"/>
        <v>-135</v>
      </c>
      <c r="H766" s="2" t="s">
        <v>47</v>
      </c>
      <c r="L766" s="2" t="s">
        <v>11</v>
      </c>
    </row>
    <row r="767" ht="12.75" customHeight="1">
      <c r="A767" s="2">
        <v>2015.0</v>
      </c>
      <c r="B767" s="2">
        <v>2.0</v>
      </c>
      <c r="C767" s="2">
        <v>13.0</v>
      </c>
      <c r="D767" s="2" t="s">
        <v>413</v>
      </c>
      <c r="E767" s="2">
        <v>-1985.0</v>
      </c>
      <c r="F767" s="2">
        <v>0.0</v>
      </c>
      <c r="G767" s="2">
        <f t="shared" si="1"/>
        <v>-1985</v>
      </c>
      <c r="H767" s="2" t="s">
        <v>35</v>
      </c>
      <c r="I767" s="2" t="s">
        <v>414</v>
      </c>
      <c r="L767" s="2" t="s">
        <v>11</v>
      </c>
    </row>
    <row r="768" ht="12.75" customHeight="1">
      <c r="A768" s="2">
        <v>2015.0</v>
      </c>
      <c r="B768" s="2">
        <v>2.0</v>
      </c>
      <c r="C768" s="2">
        <v>12.0</v>
      </c>
      <c r="D768" s="2" t="s">
        <v>303</v>
      </c>
      <c r="E768" s="2">
        <v>-158.0</v>
      </c>
      <c r="F768" s="2">
        <v>0.0</v>
      </c>
      <c r="G768" s="2">
        <f t="shared" si="1"/>
        <v>-158</v>
      </c>
      <c r="H768" s="2" t="s">
        <v>72</v>
      </c>
      <c r="L768" s="2" t="s">
        <v>11</v>
      </c>
    </row>
    <row r="769" ht="12.75" customHeight="1">
      <c r="A769" s="2">
        <v>2015.0</v>
      </c>
      <c r="B769" s="2">
        <v>2.0</v>
      </c>
      <c r="C769" s="2">
        <v>12.0</v>
      </c>
      <c r="D769" s="2" t="s">
        <v>351</v>
      </c>
      <c r="E769" s="2">
        <v>-70.0</v>
      </c>
      <c r="F769" s="2">
        <v>0.0</v>
      </c>
      <c r="G769" s="2">
        <f t="shared" si="1"/>
        <v>-70</v>
      </c>
      <c r="H769" s="2" t="s">
        <v>38</v>
      </c>
      <c r="L769" s="2" t="s">
        <v>11</v>
      </c>
    </row>
    <row r="770" ht="12.75" customHeight="1">
      <c r="A770" s="2">
        <v>2015.0</v>
      </c>
      <c r="B770" s="2">
        <v>2.0</v>
      </c>
      <c r="C770" s="2">
        <v>11.0</v>
      </c>
      <c r="D770" s="2" t="s">
        <v>279</v>
      </c>
      <c r="E770" s="2">
        <v>-60.0</v>
      </c>
      <c r="F770" s="2">
        <v>0.0</v>
      </c>
      <c r="G770" s="2">
        <f t="shared" si="1"/>
        <v>-60</v>
      </c>
      <c r="H770" s="2" t="s">
        <v>47</v>
      </c>
      <c r="L770" s="2" t="s">
        <v>11</v>
      </c>
    </row>
    <row r="771" ht="12.75" customHeight="1">
      <c r="A771" s="2">
        <v>2015.0</v>
      </c>
      <c r="B771" s="2">
        <v>2.0</v>
      </c>
      <c r="C771" s="2">
        <v>11.0</v>
      </c>
      <c r="D771" s="2" t="s">
        <v>303</v>
      </c>
      <c r="E771" s="2">
        <v>-118.0</v>
      </c>
      <c r="F771" s="2">
        <v>0.0</v>
      </c>
      <c r="G771" s="2">
        <f t="shared" si="1"/>
        <v>-118</v>
      </c>
      <c r="H771" s="2" t="s">
        <v>72</v>
      </c>
      <c r="L771" s="2" t="s">
        <v>11</v>
      </c>
    </row>
    <row r="772" ht="12.75" customHeight="1">
      <c r="A772" s="2">
        <v>2015.0</v>
      </c>
      <c r="B772" s="2">
        <v>2.0</v>
      </c>
      <c r="C772" s="2">
        <v>10.0</v>
      </c>
      <c r="D772" s="2" t="s">
        <v>279</v>
      </c>
      <c r="E772" s="2">
        <v>-60.0</v>
      </c>
      <c r="F772" s="2">
        <v>0.0</v>
      </c>
      <c r="G772" s="2">
        <f t="shared" si="1"/>
        <v>-60</v>
      </c>
      <c r="H772" s="2" t="s">
        <v>47</v>
      </c>
      <c r="L772" s="2" t="s">
        <v>11</v>
      </c>
    </row>
    <row r="773" ht="12.75" customHeight="1">
      <c r="A773" s="2">
        <v>2015.0</v>
      </c>
      <c r="B773" s="2">
        <v>2.0</v>
      </c>
      <c r="C773" s="2">
        <v>10.0</v>
      </c>
      <c r="D773" s="2" t="s">
        <v>274</v>
      </c>
      <c r="E773" s="2">
        <v>-830.0</v>
      </c>
      <c r="F773" s="2">
        <v>0.0</v>
      </c>
      <c r="G773" s="2">
        <f t="shared" si="1"/>
        <v>-830</v>
      </c>
      <c r="H773" s="2" t="s">
        <v>38</v>
      </c>
      <c r="L773" s="2" t="s">
        <v>11</v>
      </c>
    </row>
    <row r="774" ht="12.75" customHeight="1">
      <c r="A774" s="2">
        <v>2015.0</v>
      </c>
      <c r="B774" s="2">
        <v>2.0</v>
      </c>
      <c r="C774" s="2">
        <v>9.0</v>
      </c>
      <c r="D774" s="2" t="s">
        <v>415</v>
      </c>
      <c r="E774" s="2">
        <v>-58.0</v>
      </c>
      <c r="F774" s="2">
        <v>0.0</v>
      </c>
      <c r="G774" s="2">
        <f t="shared" si="1"/>
        <v>-58</v>
      </c>
      <c r="H774" s="2" t="s">
        <v>38</v>
      </c>
      <c r="L774" s="2" t="s">
        <v>11</v>
      </c>
    </row>
    <row r="775" ht="12.75" customHeight="1">
      <c r="A775" s="2">
        <v>2015.0</v>
      </c>
      <c r="B775" s="2">
        <v>2.0</v>
      </c>
      <c r="C775" s="2">
        <v>9.0</v>
      </c>
      <c r="D775" s="2" t="s">
        <v>416</v>
      </c>
      <c r="E775" s="2">
        <v>-115.0</v>
      </c>
      <c r="F775" s="2">
        <v>0.0</v>
      </c>
      <c r="G775" s="2">
        <f t="shared" si="1"/>
        <v>-115</v>
      </c>
      <c r="H775" s="2" t="s">
        <v>47</v>
      </c>
      <c r="L775" s="2" t="s">
        <v>11</v>
      </c>
    </row>
    <row r="776" ht="12.75" customHeight="1">
      <c r="A776" s="2">
        <v>2015.0</v>
      </c>
      <c r="B776" s="2">
        <v>2.0</v>
      </c>
      <c r="C776" s="2">
        <v>8.0</v>
      </c>
      <c r="D776" s="2" t="s">
        <v>407</v>
      </c>
      <c r="E776" s="2">
        <v>-195.0</v>
      </c>
      <c r="F776" s="2">
        <v>0.0</v>
      </c>
      <c r="G776" s="2">
        <f t="shared" si="1"/>
        <v>-195</v>
      </c>
      <c r="H776" s="2" t="s">
        <v>52</v>
      </c>
      <c r="L776" s="2" t="s">
        <v>11</v>
      </c>
    </row>
    <row r="777" ht="12.75" customHeight="1">
      <c r="A777" s="2">
        <v>2015.0</v>
      </c>
      <c r="B777" s="2">
        <v>2.0</v>
      </c>
      <c r="C777" s="2">
        <v>8.0</v>
      </c>
      <c r="D777" s="2" t="s">
        <v>407</v>
      </c>
      <c r="E777" s="2">
        <v>-17.0</v>
      </c>
      <c r="F777" s="2">
        <v>0.0</v>
      </c>
      <c r="G777" s="2">
        <f t="shared" si="1"/>
        <v>-17</v>
      </c>
      <c r="H777" s="2" t="s">
        <v>52</v>
      </c>
      <c r="L777" s="2" t="s">
        <v>11</v>
      </c>
    </row>
    <row r="778" ht="12.75" customHeight="1">
      <c r="A778" s="2">
        <v>2015.0</v>
      </c>
      <c r="B778" s="2">
        <v>2.0</v>
      </c>
      <c r="C778" s="2">
        <v>7.0</v>
      </c>
      <c r="D778" s="2" t="s">
        <v>284</v>
      </c>
      <c r="E778" s="2">
        <v>-71.0</v>
      </c>
      <c r="F778" s="2">
        <v>0.0</v>
      </c>
      <c r="G778" s="2">
        <f t="shared" si="1"/>
        <v>-71</v>
      </c>
      <c r="H778" s="2" t="s">
        <v>52</v>
      </c>
      <c r="L778" s="2" t="s">
        <v>11</v>
      </c>
    </row>
    <row r="779" ht="12.75" customHeight="1">
      <c r="A779" s="2">
        <v>2015.0</v>
      </c>
      <c r="B779" s="2">
        <v>2.0</v>
      </c>
      <c r="C779" s="2">
        <v>7.0</v>
      </c>
      <c r="D779" s="2" t="s">
        <v>284</v>
      </c>
      <c r="E779" s="2">
        <v>-110.0</v>
      </c>
      <c r="F779" s="2">
        <v>0.0</v>
      </c>
      <c r="G779" s="2">
        <f t="shared" si="1"/>
        <v>-110</v>
      </c>
      <c r="H779" s="2" t="s">
        <v>52</v>
      </c>
      <c r="L779" s="2" t="s">
        <v>11</v>
      </c>
    </row>
    <row r="780" ht="12.75" customHeight="1">
      <c r="A780" s="2">
        <v>2015.0</v>
      </c>
      <c r="B780" s="2">
        <v>2.0</v>
      </c>
      <c r="C780" s="2">
        <v>7.0</v>
      </c>
      <c r="D780" s="2" t="s">
        <v>417</v>
      </c>
      <c r="E780" s="2">
        <v>-60.0</v>
      </c>
      <c r="F780" s="2">
        <v>0.0</v>
      </c>
      <c r="G780" s="2">
        <f t="shared" si="1"/>
        <v>-60</v>
      </c>
      <c r="H780" s="2" t="s">
        <v>52</v>
      </c>
      <c r="L780" s="2" t="s">
        <v>11</v>
      </c>
    </row>
    <row r="781" ht="12.75" customHeight="1">
      <c r="A781" s="2">
        <v>2015.0</v>
      </c>
      <c r="B781" s="2">
        <v>2.0</v>
      </c>
      <c r="C781" s="2">
        <v>7.0</v>
      </c>
      <c r="D781" s="2" t="s">
        <v>417</v>
      </c>
      <c r="E781" s="2">
        <v>-150.0</v>
      </c>
      <c r="F781" s="2">
        <v>0.0</v>
      </c>
      <c r="G781" s="2">
        <f t="shared" si="1"/>
        <v>-150</v>
      </c>
      <c r="H781" s="2" t="s">
        <v>52</v>
      </c>
      <c r="L781" s="2" t="s">
        <v>11</v>
      </c>
    </row>
    <row r="782" ht="12.75" customHeight="1">
      <c r="A782" s="2">
        <v>2015.0</v>
      </c>
      <c r="B782" s="2">
        <v>2.0</v>
      </c>
      <c r="C782" s="2">
        <v>7.0</v>
      </c>
      <c r="D782" s="2" t="s">
        <v>418</v>
      </c>
      <c r="E782" s="2">
        <v>-740.0</v>
      </c>
      <c r="F782" s="2">
        <v>0.0</v>
      </c>
      <c r="G782" s="2">
        <f t="shared" si="1"/>
        <v>-740</v>
      </c>
      <c r="H782" s="2" t="s">
        <v>52</v>
      </c>
      <c r="L782" s="2" t="s">
        <v>11</v>
      </c>
    </row>
    <row r="783" ht="12.75" customHeight="1">
      <c r="A783" s="2">
        <v>2015.0</v>
      </c>
      <c r="B783" s="2">
        <v>2.0</v>
      </c>
      <c r="C783" s="2">
        <v>7.0</v>
      </c>
      <c r="D783" s="2" t="s">
        <v>419</v>
      </c>
      <c r="E783" s="2">
        <v>-210.0</v>
      </c>
      <c r="F783" s="2">
        <v>0.0</v>
      </c>
      <c r="G783" s="2">
        <f t="shared" si="1"/>
        <v>-210</v>
      </c>
      <c r="H783" s="2" t="s">
        <v>52</v>
      </c>
      <c r="L783" s="2" t="s">
        <v>11</v>
      </c>
    </row>
    <row r="784" ht="12.75" customHeight="1">
      <c r="A784" s="2">
        <v>2015.0</v>
      </c>
      <c r="B784" s="2">
        <v>2.0</v>
      </c>
      <c r="C784" s="2">
        <v>7.0</v>
      </c>
      <c r="D784" s="2" t="s">
        <v>420</v>
      </c>
      <c r="E784" s="2">
        <v>-140.0</v>
      </c>
      <c r="F784" s="2">
        <v>0.0</v>
      </c>
      <c r="G784" s="2">
        <f t="shared" si="1"/>
        <v>-140</v>
      </c>
      <c r="H784" s="2" t="s">
        <v>52</v>
      </c>
      <c r="I784" s="2" t="s">
        <v>421</v>
      </c>
      <c r="L784" s="2" t="s">
        <v>11</v>
      </c>
    </row>
    <row r="785" ht="12.75" customHeight="1">
      <c r="A785" s="2">
        <v>2015.0</v>
      </c>
      <c r="B785" s="2">
        <v>2.0</v>
      </c>
      <c r="C785" s="2">
        <v>7.0</v>
      </c>
      <c r="D785" s="2" t="s">
        <v>422</v>
      </c>
      <c r="E785" s="2">
        <v>-132.0</v>
      </c>
      <c r="F785" s="2">
        <v>0.0</v>
      </c>
      <c r="G785" s="2">
        <f t="shared" si="1"/>
        <v>-132</v>
      </c>
      <c r="H785" s="2" t="s">
        <v>52</v>
      </c>
      <c r="L785" s="2" t="s">
        <v>11</v>
      </c>
    </row>
    <row r="786" ht="12.75" customHeight="1">
      <c r="A786" s="2">
        <v>2015.0</v>
      </c>
      <c r="B786" s="2">
        <v>2.0</v>
      </c>
      <c r="C786" s="2">
        <v>7.0</v>
      </c>
      <c r="D786" s="2" t="s">
        <v>423</v>
      </c>
      <c r="E786" s="2">
        <v>-45.0</v>
      </c>
      <c r="F786" s="2">
        <v>0.0</v>
      </c>
      <c r="G786" s="2">
        <f t="shared" si="1"/>
        <v>-45</v>
      </c>
      <c r="H786" s="2" t="s">
        <v>52</v>
      </c>
      <c r="L786" s="2" t="s">
        <v>11</v>
      </c>
    </row>
    <row r="787" ht="12.75" customHeight="1">
      <c r="A787" s="2">
        <v>2015.0</v>
      </c>
      <c r="B787" s="2">
        <v>2.0</v>
      </c>
      <c r="C787" s="2">
        <v>7.0</v>
      </c>
      <c r="D787" s="2" t="s">
        <v>268</v>
      </c>
      <c r="E787" s="2">
        <v>-55.0</v>
      </c>
      <c r="F787" s="2">
        <v>0.0</v>
      </c>
      <c r="G787" s="2">
        <f t="shared" si="1"/>
        <v>-55</v>
      </c>
      <c r="H787" s="2" t="s">
        <v>42</v>
      </c>
      <c r="L787" s="2" t="s">
        <v>11</v>
      </c>
    </row>
    <row r="788" ht="12.75" customHeight="1">
      <c r="A788" s="2">
        <v>2015.0</v>
      </c>
      <c r="B788" s="2">
        <v>2.0</v>
      </c>
      <c r="C788" s="2">
        <v>6.0</v>
      </c>
      <c r="D788" s="2" t="s">
        <v>279</v>
      </c>
      <c r="E788" s="2">
        <v>-120.0</v>
      </c>
      <c r="F788" s="2">
        <v>0.0</v>
      </c>
      <c r="G788" s="2">
        <f t="shared" si="1"/>
        <v>-120</v>
      </c>
      <c r="H788" s="2" t="s">
        <v>47</v>
      </c>
      <c r="L788" s="2" t="s">
        <v>11</v>
      </c>
    </row>
    <row r="789" ht="12.75" customHeight="1">
      <c r="A789" s="2">
        <v>2015.0</v>
      </c>
      <c r="B789" s="2">
        <v>2.0</v>
      </c>
      <c r="C789" s="2">
        <v>6.0</v>
      </c>
      <c r="D789" s="2" t="s">
        <v>424</v>
      </c>
      <c r="E789" s="2">
        <v>-397.0</v>
      </c>
      <c r="F789" s="2">
        <v>0.0</v>
      </c>
      <c r="G789" s="2">
        <f t="shared" si="1"/>
        <v>-397</v>
      </c>
      <c r="H789" s="2" t="s">
        <v>164</v>
      </c>
      <c r="L789" s="2" t="s">
        <v>11</v>
      </c>
    </row>
    <row r="790" ht="12.75" customHeight="1">
      <c r="A790" s="2">
        <v>2015.0</v>
      </c>
      <c r="B790" s="2">
        <v>2.0</v>
      </c>
      <c r="C790" s="2">
        <v>6.0</v>
      </c>
      <c r="D790" s="2" t="s">
        <v>405</v>
      </c>
      <c r="E790" s="2">
        <v>-46.0</v>
      </c>
      <c r="F790" s="2">
        <v>0.0</v>
      </c>
      <c r="G790" s="2">
        <f t="shared" si="1"/>
        <v>-46</v>
      </c>
      <c r="H790" s="2" t="s">
        <v>164</v>
      </c>
      <c r="L790" s="2" t="s">
        <v>11</v>
      </c>
    </row>
    <row r="791" ht="12.75" customHeight="1">
      <c r="A791" s="2">
        <v>2015.0</v>
      </c>
      <c r="B791" s="2">
        <v>2.0</v>
      </c>
      <c r="C791" s="2">
        <v>5.0</v>
      </c>
      <c r="D791" s="2" t="s">
        <v>425</v>
      </c>
      <c r="E791" s="2">
        <v>-55.0</v>
      </c>
      <c r="F791" s="2">
        <v>0.0</v>
      </c>
      <c r="G791" s="2">
        <f t="shared" si="1"/>
        <v>-55</v>
      </c>
      <c r="H791" s="2" t="s">
        <v>47</v>
      </c>
      <c r="L791" s="2" t="s">
        <v>11</v>
      </c>
    </row>
    <row r="792" ht="12.75" customHeight="1">
      <c r="A792" s="2">
        <v>2015.0</v>
      </c>
      <c r="B792" s="2">
        <v>2.0</v>
      </c>
      <c r="C792" s="2">
        <v>4.0</v>
      </c>
      <c r="D792" s="2" t="s">
        <v>279</v>
      </c>
      <c r="E792" s="2">
        <v>-65.0</v>
      </c>
      <c r="F792" s="2">
        <v>0.0</v>
      </c>
      <c r="G792" s="2">
        <f t="shared" si="1"/>
        <v>-65</v>
      </c>
      <c r="H792" s="2" t="s">
        <v>47</v>
      </c>
      <c r="L792" s="2" t="s">
        <v>11</v>
      </c>
    </row>
    <row r="793" ht="12.75" customHeight="1">
      <c r="A793" s="2">
        <v>2015.0</v>
      </c>
      <c r="B793" s="2">
        <v>2.0</v>
      </c>
      <c r="C793" s="2">
        <v>3.0</v>
      </c>
      <c r="D793" s="2" t="s">
        <v>163</v>
      </c>
      <c r="E793" s="2">
        <v>46.0</v>
      </c>
      <c r="F793" s="2">
        <v>0.0</v>
      </c>
      <c r="G793" s="2">
        <f t="shared" si="1"/>
        <v>46</v>
      </c>
      <c r="H793" s="2" t="s">
        <v>164</v>
      </c>
      <c r="L793" s="2" t="s">
        <v>11</v>
      </c>
    </row>
    <row r="794" ht="12.75" customHeight="1">
      <c r="A794" s="2">
        <v>2015.0</v>
      </c>
      <c r="B794" s="2">
        <v>2.0</v>
      </c>
      <c r="C794" s="2">
        <v>3.0</v>
      </c>
      <c r="D794" s="2" t="s">
        <v>279</v>
      </c>
      <c r="E794" s="2">
        <v>-60.0</v>
      </c>
      <c r="F794" s="2">
        <v>0.0</v>
      </c>
      <c r="G794" s="2">
        <f t="shared" si="1"/>
        <v>-60</v>
      </c>
      <c r="H794" s="2" t="s">
        <v>47</v>
      </c>
      <c r="L794" s="2" t="s">
        <v>11</v>
      </c>
    </row>
    <row r="795" ht="12.75" customHeight="1">
      <c r="A795" s="2">
        <v>2015.0</v>
      </c>
      <c r="B795" s="2">
        <v>2.0</v>
      </c>
      <c r="C795" s="2">
        <v>3.0</v>
      </c>
      <c r="D795" s="2" t="s">
        <v>426</v>
      </c>
      <c r="E795" s="2">
        <v>83.0</v>
      </c>
      <c r="F795" s="2">
        <v>0.0</v>
      </c>
      <c r="G795" s="2">
        <f t="shared" si="1"/>
        <v>83</v>
      </c>
      <c r="H795" s="2" t="s">
        <v>38</v>
      </c>
      <c r="L795" s="2" t="s">
        <v>11</v>
      </c>
    </row>
    <row r="796" ht="12.75" customHeight="1">
      <c r="A796" s="2">
        <v>2015.0</v>
      </c>
      <c r="B796" s="2">
        <v>2.0</v>
      </c>
      <c r="C796" s="2">
        <v>2.0</v>
      </c>
      <c r="D796" s="2" t="s">
        <v>157</v>
      </c>
      <c r="E796" s="2">
        <v>-130.0</v>
      </c>
      <c r="F796" s="2">
        <v>0.0</v>
      </c>
      <c r="G796" s="2">
        <f t="shared" si="1"/>
        <v>-130</v>
      </c>
      <c r="H796" s="2" t="s">
        <v>17</v>
      </c>
      <c r="L796" s="2" t="s">
        <v>11</v>
      </c>
    </row>
    <row r="797" ht="12.75" customHeight="1">
      <c r="A797" s="2">
        <v>2015.0</v>
      </c>
      <c r="B797" s="2">
        <v>2.0</v>
      </c>
      <c r="C797" s="2">
        <v>2.0</v>
      </c>
      <c r="D797" s="2" t="s">
        <v>73</v>
      </c>
      <c r="E797" s="2">
        <v>-8175.0</v>
      </c>
      <c r="F797" s="2">
        <v>0.0</v>
      </c>
      <c r="G797" s="2">
        <f t="shared" si="1"/>
        <v>-8175</v>
      </c>
      <c r="H797" s="2" t="s">
        <v>10</v>
      </c>
      <c r="L797" s="2" t="s">
        <v>11</v>
      </c>
    </row>
    <row r="798" ht="12.75" customHeight="1">
      <c r="A798" s="2">
        <v>2015.0</v>
      </c>
      <c r="B798" s="2">
        <v>2.0</v>
      </c>
      <c r="C798" s="2">
        <v>2.0</v>
      </c>
      <c r="D798" s="2" t="s">
        <v>351</v>
      </c>
      <c r="E798" s="2">
        <v>-70.0</v>
      </c>
      <c r="F798" s="2">
        <v>0.0</v>
      </c>
      <c r="G798" s="2">
        <f t="shared" si="1"/>
        <v>-70</v>
      </c>
      <c r="H798" s="2" t="s">
        <v>38</v>
      </c>
      <c r="L798" s="2" t="s">
        <v>11</v>
      </c>
    </row>
    <row r="799" ht="12.75" customHeight="1">
      <c r="A799" s="2">
        <v>2015.0</v>
      </c>
      <c r="B799" s="2">
        <v>2.0</v>
      </c>
      <c r="C799" s="2">
        <v>1.0</v>
      </c>
      <c r="D799" s="2" t="s">
        <v>386</v>
      </c>
      <c r="E799" s="2">
        <v>-68.0</v>
      </c>
      <c r="F799" s="2">
        <v>0.0</v>
      </c>
      <c r="G799" s="2">
        <f t="shared" si="1"/>
        <v>-68</v>
      </c>
      <c r="H799" s="2" t="s">
        <v>47</v>
      </c>
      <c r="L799" s="2" t="s">
        <v>11</v>
      </c>
    </row>
    <row r="800" ht="12.75" customHeight="1">
      <c r="A800" s="2">
        <v>2015.0</v>
      </c>
      <c r="B800" s="2">
        <v>1.0</v>
      </c>
      <c r="C800" s="2">
        <v>31.0</v>
      </c>
      <c r="D800" s="2" t="s">
        <v>303</v>
      </c>
      <c r="E800" s="2">
        <v>-229.0</v>
      </c>
      <c r="F800" s="2">
        <v>0.0</v>
      </c>
      <c r="G800" s="2">
        <f t="shared" si="1"/>
        <v>-229</v>
      </c>
      <c r="H800" s="2" t="s">
        <v>72</v>
      </c>
      <c r="L800" s="2" t="s">
        <v>11</v>
      </c>
    </row>
    <row r="801" ht="12.75" customHeight="1">
      <c r="A801" s="2">
        <v>2015.0</v>
      </c>
      <c r="B801" s="2">
        <v>1.0</v>
      </c>
      <c r="C801" s="2">
        <v>30.0</v>
      </c>
      <c r="D801" s="2" t="s">
        <v>427</v>
      </c>
      <c r="E801" s="2">
        <v>-469.0</v>
      </c>
      <c r="F801" s="2">
        <v>0.0</v>
      </c>
      <c r="G801" s="2">
        <f t="shared" si="1"/>
        <v>-469</v>
      </c>
      <c r="H801" s="2" t="s">
        <v>428</v>
      </c>
      <c r="L801" s="2" t="s">
        <v>11</v>
      </c>
    </row>
    <row r="802" ht="12.75" customHeight="1">
      <c r="A802" s="2">
        <v>2015.0</v>
      </c>
      <c r="B802" s="2">
        <v>1.0</v>
      </c>
      <c r="C802" s="2">
        <v>30.0</v>
      </c>
      <c r="D802" s="2" t="s">
        <v>12</v>
      </c>
      <c r="E802" s="2">
        <v>-7815.07</v>
      </c>
      <c r="F802" s="2">
        <v>0.0</v>
      </c>
      <c r="G802" s="2">
        <f t="shared" si="1"/>
        <v>-7815.07</v>
      </c>
      <c r="H802" s="2" t="s">
        <v>227</v>
      </c>
      <c r="L802" s="2" t="s">
        <v>228</v>
      </c>
    </row>
    <row r="803" ht="12.75" customHeight="1">
      <c r="A803" s="2">
        <v>2015.0</v>
      </c>
      <c r="B803" s="2">
        <v>1.0</v>
      </c>
      <c r="C803" s="2">
        <v>30.0</v>
      </c>
      <c r="D803" s="2" t="s">
        <v>14</v>
      </c>
      <c r="E803" s="2">
        <v>-4007.0</v>
      </c>
      <c r="F803" s="2">
        <v>0.0</v>
      </c>
      <c r="G803" s="2">
        <f t="shared" si="1"/>
        <v>-4007</v>
      </c>
      <c r="H803" s="2" t="s">
        <v>10</v>
      </c>
      <c r="L803" s="2" t="s">
        <v>11</v>
      </c>
    </row>
    <row r="804" ht="12.75" customHeight="1">
      <c r="A804" s="2">
        <v>2015.0</v>
      </c>
      <c r="B804" s="2">
        <v>1.0</v>
      </c>
      <c r="C804" s="2">
        <v>30.0</v>
      </c>
      <c r="D804" s="2" t="s">
        <v>15</v>
      </c>
      <c r="E804" s="2">
        <v>-207.8</v>
      </c>
      <c r="F804" s="2">
        <v>0.0</v>
      </c>
      <c r="G804" s="2">
        <f t="shared" si="1"/>
        <v>-207.8</v>
      </c>
      <c r="H804" s="2" t="s">
        <v>10</v>
      </c>
      <c r="L804" s="2" t="s">
        <v>11</v>
      </c>
    </row>
    <row r="805" ht="12.75" customHeight="1">
      <c r="A805" s="2">
        <v>2015.0</v>
      </c>
      <c r="B805" s="2">
        <v>1.0</v>
      </c>
      <c r="C805" s="2">
        <v>30.0</v>
      </c>
      <c r="D805" s="2">
        <v>4.7516877E7</v>
      </c>
      <c r="E805" s="2">
        <v>1000.0</v>
      </c>
      <c r="F805" s="2">
        <v>0.0</v>
      </c>
      <c r="G805" s="2">
        <f t="shared" si="1"/>
        <v>1000</v>
      </c>
      <c r="H805" s="2" t="s">
        <v>18</v>
      </c>
      <c r="L805" s="2" t="s">
        <v>11</v>
      </c>
    </row>
    <row r="806" ht="12.75" customHeight="1">
      <c r="A806" s="2">
        <v>2015.0</v>
      </c>
      <c r="B806" s="2">
        <v>1.0</v>
      </c>
      <c r="C806" s="2">
        <v>29.0</v>
      </c>
      <c r="D806" s="2" t="s">
        <v>279</v>
      </c>
      <c r="E806" s="2">
        <v>-65.0</v>
      </c>
      <c r="F806" s="2">
        <v>0.0</v>
      </c>
      <c r="G806" s="2">
        <f t="shared" si="1"/>
        <v>-65</v>
      </c>
      <c r="H806" s="2" t="s">
        <v>47</v>
      </c>
      <c r="L806" s="2" t="s">
        <v>11</v>
      </c>
    </row>
    <row r="807" ht="12.75" customHeight="1">
      <c r="A807" s="2">
        <v>2015.0</v>
      </c>
      <c r="B807" s="2">
        <v>1.0</v>
      </c>
      <c r="C807" s="2">
        <v>29.0</v>
      </c>
      <c r="D807" s="2" t="s">
        <v>19</v>
      </c>
      <c r="E807" s="2">
        <v>-320.0</v>
      </c>
      <c r="F807" s="2">
        <v>0.0</v>
      </c>
      <c r="G807" s="2">
        <f t="shared" si="1"/>
        <v>-320</v>
      </c>
      <c r="H807" s="2" t="s">
        <v>20</v>
      </c>
      <c r="L807" s="2" t="s">
        <v>11</v>
      </c>
    </row>
    <row r="808" ht="12.75" customHeight="1">
      <c r="A808" s="2">
        <v>2015.0</v>
      </c>
      <c r="B808" s="2">
        <v>1.0</v>
      </c>
      <c r="C808" s="2">
        <v>29.0</v>
      </c>
      <c r="D808" s="2" t="s">
        <v>23</v>
      </c>
      <c r="E808" s="2">
        <v>-303.0</v>
      </c>
      <c r="F808" s="2">
        <v>0.0</v>
      </c>
      <c r="G808" s="2">
        <f t="shared" si="1"/>
        <v>-303</v>
      </c>
      <c r="H808" s="2" t="s">
        <v>24</v>
      </c>
      <c r="L808" s="2" t="s">
        <v>11</v>
      </c>
    </row>
    <row r="809" ht="12.75" customHeight="1">
      <c r="A809" s="2">
        <v>2015.0</v>
      </c>
      <c r="B809" s="2">
        <v>1.0</v>
      </c>
      <c r="C809" s="2">
        <v>28.0</v>
      </c>
      <c r="D809" s="2" t="s">
        <v>25</v>
      </c>
      <c r="E809" s="2">
        <v>-100.0</v>
      </c>
      <c r="F809" s="2">
        <v>0.0</v>
      </c>
      <c r="G809" s="2">
        <f t="shared" si="1"/>
        <v>-100</v>
      </c>
      <c r="H809" s="2" t="s">
        <v>26</v>
      </c>
      <c r="L809" s="2" t="s">
        <v>11</v>
      </c>
    </row>
    <row r="810" ht="12.75" customHeight="1">
      <c r="A810" s="2">
        <v>2015.0</v>
      </c>
      <c r="B810" s="2">
        <v>1.0</v>
      </c>
      <c r="C810" s="2">
        <v>28.0</v>
      </c>
      <c r="D810" s="2" t="s">
        <v>279</v>
      </c>
      <c r="E810" s="2">
        <v>-65.0</v>
      </c>
      <c r="F810" s="2">
        <v>0.0</v>
      </c>
      <c r="G810" s="2">
        <f t="shared" si="1"/>
        <v>-65</v>
      </c>
      <c r="H810" s="2" t="s">
        <v>47</v>
      </c>
      <c r="L810" s="2" t="s">
        <v>11</v>
      </c>
    </row>
    <row r="811" ht="12.75" customHeight="1">
      <c r="A811" s="2">
        <v>2015.0</v>
      </c>
      <c r="B811" s="2">
        <v>1.0</v>
      </c>
      <c r="C811" s="2">
        <v>28.0</v>
      </c>
      <c r="D811" s="2" t="s">
        <v>349</v>
      </c>
      <c r="E811" s="2">
        <v>-580.0</v>
      </c>
      <c r="F811" s="2">
        <v>0.0</v>
      </c>
      <c r="G811" s="2">
        <f t="shared" si="1"/>
        <v>-580</v>
      </c>
      <c r="H811" s="2" t="s">
        <v>50</v>
      </c>
      <c r="I811" s="2" t="s">
        <v>429</v>
      </c>
      <c r="L811" s="2" t="s">
        <v>11</v>
      </c>
    </row>
    <row r="812" ht="12.75" customHeight="1">
      <c r="A812" s="2">
        <v>2015.0</v>
      </c>
      <c r="B812" s="2">
        <v>1.0</v>
      </c>
      <c r="C812" s="2">
        <v>28.0</v>
      </c>
      <c r="D812" s="2" t="s">
        <v>430</v>
      </c>
      <c r="E812" s="2">
        <v>-387.0</v>
      </c>
      <c r="F812" s="2">
        <v>0.0</v>
      </c>
      <c r="G812" s="2">
        <f t="shared" si="1"/>
        <v>-387</v>
      </c>
      <c r="H812" s="2" t="s">
        <v>31</v>
      </c>
      <c r="I812" s="2" t="s">
        <v>431</v>
      </c>
      <c r="L812" s="2" t="s">
        <v>11</v>
      </c>
    </row>
    <row r="813" ht="12.75" customHeight="1">
      <c r="A813" s="2">
        <v>2015.0</v>
      </c>
      <c r="B813" s="2">
        <v>1.0</v>
      </c>
      <c r="C813" s="2">
        <v>27.0</v>
      </c>
      <c r="D813" s="2" t="s">
        <v>279</v>
      </c>
      <c r="E813" s="2">
        <v>-65.0</v>
      </c>
      <c r="F813" s="2">
        <v>0.0</v>
      </c>
      <c r="G813" s="2">
        <f t="shared" si="1"/>
        <v>-65</v>
      </c>
      <c r="H813" s="2" t="s">
        <v>47</v>
      </c>
      <c r="L813" s="2" t="s">
        <v>11</v>
      </c>
    </row>
    <row r="814" ht="12.75" customHeight="1">
      <c r="A814" s="2">
        <v>2015.0</v>
      </c>
      <c r="B814" s="2">
        <v>1.0</v>
      </c>
      <c r="C814" s="2">
        <v>27.0</v>
      </c>
      <c r="D814" s="2" t="s">
        <v>382</v>
      </c>
      <c r="E814" s="2">
        <v>-299.0</v>
      </c>
      <c r="F814" s="2">
        <v>0.0</v>
      </c>
      <c r="G814" s="2">
        <f t="shared" si="1"/>
        <v>-299</v>
      </c>
      <c r="H814" s="2" t="s">
        <v>22</v>
      </c>
      <c r="L814" s="2" t="s">
        <v>11</v>
      </c>
    </row>
    <row r="815" ht="12.75" customHeight="1">
      <c r="A815" s="2">
        <v>2015.0</v>
      </c>
      <c r="B815" s="2">
        <v>1.0</v>
      </c>
      <c r="C815" s="2">
        <v>26.0</v>
      </c>
      <c r="D815" s="2" t="s">
        <v>425</v>
      </c>
      <c r="E815" s="2">
        <v>-110.0</v>
      </c>
      <c r="F815" s="2">
        <v>0.0</v>
      </c>
      <c r="G815" s="2">
        <f t="shared" si="1"/>
        <v>-110</v>
      </c>
      <c r="H815" s="2" t="s">
        <v>54</v>
      </c>
      <c r="L815" s="2" t="s">
        <v>11</v>
      </c>
    </row>
    <row r="816" ht="12.75" customHeight="1">
      <c r="A816" s="2">
        <v>2015.0</v>
      </c>
      <c r="B816" s="2">
        <v>1.0</v>
      </c>
      <c r="C816" s="2">
        <v>26.0</v>
      </c>
      <c r="D816" s="2" t="s">
        <v>303</v>
      </c>
      <c r="E816" s="2">
        <v>-187.0</v>
      </c>
      <c r="F816" s="2">
        <v>0.0</v>
      </c>
      <c r="G816" s="2">
        <f t="shared" si="1"/>
        <v>-187</v>
      </c>
      <c r="H816" s="2" t="s">
        <v>72</v>
      </c>
      <c r="L816" s="2" t="s">
        <v>11</v>
      </c>
    </row>
    <row r="817" ht="12.75" customHeight="1">
      <c r="A817" s="2">
        <v>2015.0</v>
      </c>
      <c r="B817" s="2">
        <v>1.0</v>
      </c>
      <c r="C817" s="2">
        <v>26.0</v>
      </c>
      <c r="D817" s="2" t="s">
        <v>280</v>
      </c>
      <c r="E817" s="2">
        <v>-80.0</v>
      </c>
      <c r="F817" s="2">
        <v>0.0</v>
      </c>
      <c r="G817" s="2">
        <f t="shared" si="1"/>
        <v>-80</v>
      </c>
      <c r="H817" s="2" t="s">
        <v>38</v>
      </c>
      <c r="L817" s="2" t="s">
        <v>11</v>
      </c>
    </row>
    <row r="818" ht="12.75" customHeight="1">
      <c r="A818" s="2">
        <v>2015.0</v>
      </c>
      <c r="B818" s="2">
        <v>1.0</v>
      </c>
      <c r="C818" s="2">
        <v>26.0</v>
      </c>
      <c r="D818" s="2" t="s">
        <v>27</v>
      </c>
      <c r="E818" s="2">
        <v>-5000.0</v>
      </c>
      <c r="F818" s="2">
        <v>0.0</v>
      </c>
      <c r="G818" s="2">
        <f t="shared" si="1"/>
        <v>-5000</v>
      </c>
      <c r="H818" s="2" t="s">
        <v>227</v>
      </c>
      <c r="L818" s="2" t="s">
        <v>11</v>
      </c>
    </row>
    <row r="819" ht="12.75" customHeight="1">
      <c r="A819" s="2">
        <v>2015.0</v>
      </c>
      <c r="B819" s="2">
        <v>1.0</v>
      </c>
      <c r="C819" s="2">
        <v>26.0</v>
      </c>
      <c r="D819" s="2" t="s">
        <v>27</v>
      </c>
      <c r="E819" s="2">
        <v>5000.0</v>
      </c>
      <c r="F819" s="2">
        <v>0.0</v>
      </c>
      <c r="G819" s="2">
        <f t="shared" si="1"/>
        <v>5000</v>
      </c>
      <c r="H819" s="2" t="s">
        <v>227</v>
      </c>
      <c r="L819" s="2" t="s">
        <v>11</v>
      </c>
    </row>
    <row r="820" ht="12.75" customHeight="1">
      <c r="A820" s="2">
        <v>2015.0</v>
      </c>
      <c r="B820" s="2">
        <v>1.0</v>
      </c>
      <c r="C820" s="2">
        <v>26.0</v>
      </c>
      <c r="D820" s="2" t="s">
        <v>29</v>
      </c>
      <c r="E820" s="2">
        <v>-1250.0</v>
      </c>
      <c r="F820" s="2">
        <v>0.0</v>
      </c>
      <c r="G820" s="2">
        <f t="shared" si="1"/>
        <v>-1250</v>
      </c>
      <c r="H820" s="2" t="s">
        <v>18</v>
      </c>
      <c r="L820" s="2" t="s">
        <v>11</v>
      </c>
    </row>
    <row r="821" ht="12.75" customHeight="1">
      <c r="A821" s="2">
        <v>2015.0</v>
      </c>
      <c r="B821" s="2">
        <v>1.0</v>
      </c>
      <c r="C821" s="2">
        <v>24.0</v>
      </c>
      <c r="D821" s="2" t="s">
        <v>432</v>
      </c>
      <c r="E821" s="2">
        <v>-100.0</v>
      </c>
      <c r="F821" s="2">
        <v>0.0</v>
      </c>
      <c r="G821" s="2">
        <f t="shared" si="1"/>
        <v>-100</v>
      </c>
      <c r="H821" s="2" t="s">
        <v>428</v>
      </c>
      <c r="L821" s="2" t="s">
        <v>11</v>
      </c>
    </row>
    <row r="822" ht="12.75" customHeight="1">
      <c r="A822" s="2">
        <v>2015.0</v>
      </c>
      <c r="B822" s="2">
        <v>1.0</v>
      </c>
      <c r="C822" s="2">
        <v>22.0</v>
      </c>
      <c r="D822" s="2" t="s">
        <v>39</v>
      </c>
      <c r="E822" s="2">
        <v>28273.0</v>
      </c>
      <c r="F822" s="2">
        <v>0.0</v>
      </c>
      <c r="G822" s="2">
        <f t="shared" si="1"/>
        <v>28273</v>
      </c>
      <c r="H822" s="2" t="s">
        <v>40</v>
      </c>
      <c r="L822" s="2" t="s">
        <v>11</v>
      </c>
    </row>
    <row r="823" ht="12.75" customHeight="1">
      <c r="A823" s="2">
        <v>2015.0</v>
      </c>
      <c r="B823" s="2">
        <v>1.0</v>
      </c>
      <c r="C823" s="2">
        <v>20.0</v>
      </c>
      <c r="D823" s="2" t="s">
        <v>306</v>
      </c>
      <c r="E823" s="2">
        <v>-91.0</v>
      </c>
      <c r="F823" s="2">
        <v>0.0</v>
      </c>
      <c r="G823" s="2">
        <f t="shared" si="1"/>
        <v>-91</v>
      </c>
      <c r="H823" s="2" t="s">
        <v>47</v>
      </c>
      <c r="L823" s="2" t="s">
        <v>11</v>
      </c>
    </row>
    <row r="824" ht="12.75" customHeight="1">
      <c r="A824" s="2">
        <v>2015.0</v>
      </c>
      <c r="B824" s="2">
        <v>1.0</v>
      </c>
      <c r="C824" s="2">
        <v>19.0</v>
      </c>
      <c r="D824" s="2" t="s">
        <v>351</v>
      </c>
      <c r="E824" s="2">
        <v>-70.0</v>
      </c>
      <c r="F824" s="2">
        <v>0.0</v>
      </c>
      <c r="G824" s="2">
        <f t="shared" si="1"/>
        <v>-70</v>
      </c>
      <c r="H824" s="2" t="s">
        <v>38</v>
      </c>
      <c r="L824" s="2" t="s">
        <v>11</v>
      </c>
    </row>
    <row r="825" ht="12.75" customHeight="1">
      <c r="A825" s="2">
        <v>2015.0</v>
      </c>
      <c r="B825" s="2">
        <v>1.0</v>
      </c>
      <c r="C825" s="2">
        <v>18.0</v>
      </c>
      <c r="D825" s="2" t="s">
        <v>433</v>
      </c>
      <c r="E825" s="2">
        <v>-55.0</v>
      </c>
      <c r="F825" s="2">
        <v>0.0</v>
      </c>
      <c r="G825" s="2">
        <f t="shared" si="1"/>
        <v>-55</v>
      </c>
      <c r="H825" s="2" t="s">
        <v>31</v>
      </c>
      <c r="L825" s="2" t="s">
        <v>11</v>
      </c>
    </row>
    <row r="826" ht="12.75" customHeight="1">
      <c r="A826" s="2">
        <v>2015.0</v>
      </c>
      <c r="B826" s="2">
        <v>1.0</v>
      </c>
      <c r="C826" s="2">
        <v>17.0</v>
      </c>
      <c r="D826" s="2" t="s">
        <v>403</v>
      </c>
      <c r="E826" s="2">
        <v>-99.0</v>
      </c>
      <c r="F826" s="2">
        <v>0.0</v>
      </c>
      <c r="G826" s="2">
        <f t="shared" si="1"/>
        <v>-99</v>
      </c>
      <c r="H826" s="2" t="s">
        <v>47</v>
      </c>
      <c r="L826" s="2" t="s">
        <v>11</v>
      </c>
    </row>
    <row r="827" ht="12.75" customHeight="1">
      <c r="A827" s="2">
        <v>2015.0</v>
      </c>
      <c r="B827" s="2">
        <v>1.0</v>
      </c>
      <c r="C827" s="2">
        <v>17.0</v>
      </c>
      <c r="D827" s="2" t="s">
        <v>356</v>
      </c>
      <c r="E827" s="2">
        <v>-189.4</v>
      </c>
      <c r="F827" s="2">
        <v>0.0</v>
      </c>
      <c r="G827" s="2">
        <f t="shared" si="1"/>
        <v>-189.4</v>
      </c>
      <c r="H827" s="2" t="s">
        <v>54</v>
      </c>
      <c r="L827" s="2" t="s">
        <v>11</v>
      </c>
    </row>
    <row r="828" ht="12.75" customHeight="1">
      <c r="A828" s="2">
        <v>2015.0</v>
      </c>
      <c r="B828" s="2">
        <v>1.0</v>
      </c>
      <c r="C828" s="2">
        <v>14.0</v>
      </c>
      <c r="D828" s="2" t="s">
        <v>349</v>
      </c>
      <c r="E828" s="2">
        <v>-104.0</v>
      </c>
      <c r="F828" s="2">
        <v>0.0</v>
      </c>
      <c r="G828" s="2">
        <f t="shared" si="1"/>
        <v>-104</v>
      </c>
      <c r="H828" s="2" t="s">
        <v>42</v>
      </c>
      <c r="L828" s="2" t="s">
        <v>11</v>
      </c>
    </row>
    <row r="829" ht="12.75" customHeight="1">
      <c r="A829" s="2">
        <v>2015.0</v>
      </c>
      <c r="B829" s="2">
        <v>1.0</v>
      </c>
      <c r="C829" s="2">
        <v>14.0</v>
      </c>
      <c r="D829" s="2" t="s">
        <v>372</v>
      </c>
      <c r="E829" s="2">
        <v>-69.0</v>
      </c>
      <c r="F829" s="2">
        <v>0.0</v>
      </c>
      <c r="G829" s="2">
        <f t="shared" si="1"/>
        <v>-69</v>
      </c>
      <c r="H829" s="2" t="s">
        <v>38</v>
      </c>
      <c r="L829" s="2" t="s">
        <v>11</v>
      </c>
    </row>
    <row r="830" ht="12.75" customHeight="1">
      <c r="A830" s="2">
        <v>2015.0</v>
      </c>
      <c r="B830" s="2">
        <v>1.0</v>
      </c>
      <c r="C830" s="2">
        <v>11.0</v>
      </c>
      <c r="D830" s="2" t="s">
        <v>434</v>
      </c>
      <c r="E830" s="2">
        <v>-310.0</v>
      </c>
      <c r="F830" s="2">
        <v>0.0</v>
      </c>
      <c r="G830" s="2">
        <f t="shared" si="1"/>
        <v>-310</v>
      </c>
      <c r="H830" s="2" t="s">
        <v>47</v>
      </c>
      <c r="L830" s="2" t="s">
        <v>11</v>
      </c>
    </row>
    <row r="831" ht="12.75" customHeight="1">
      <c r="A831" s="2">
        <v>2015.0</v>
      </c>
      <c r="B831" s="2">
        <v>1.0</v>
      </c>
      <c r="C831" s="2">
        <v>9.0</v>
      </c>
      <c r="D831" s="2" t="s">
        <v>279</v>
      </c>
      <c r="E831" s="2">
        <v>-65.0</v>
      </c>
      <c r="F831" s="2">
        <v>0.0</v>
      </c>
      <c r="G831" s="2">
        <f t="shared" si="1"/>
        <v>-65</v>
      </c>
      <c r="H831" s="2" t="s">
        <v>47</v>
      </c>
      <c r="L831" s="2" t="s">
        <v>11</v>
      </c>
    </row>
    <row r="832" ht="12.75" customHeight="1">
      <c r="A832" s="2">
        <v>2015.0</v>
      </c>
      <c r="B832" s="2">
        <v>1.0</v>
      </c>
      <c r="C832" s="2">
        <v>7.0</v>
      </c>
      <c r="D832" s="2" t="s">
        <v>102</v>
      </c>
      <c r="E832" s="2">
        <v>-193.0</v>
      </c>
      <c r="F832" s="2">
        <v>0.0</v>
      </c>
      <c r="G832" s="2">
        <f t="shared" si="1"/>
        <v>-193</v>
      </c>
      <c r="H832" s="2" t="s">
        <v>103</v>
      </c>
      <c r="L832" s="2" t="s">
        <v>11</v>
      </c>
    </row>
    <row r="833" ht="12.75" customHeight="1">
      <c r="A833" s="2">
        <v>2015.0</v>
      </c>
      <c r="B833" s="2">
        <v>1.0</v>
      </c>
      <c r="C833" s="2">
        <v>7.0</v>
      </c>
      <c r="D833" s="2" t="s">
        <v>274</v>
      </c>
      <c r="E833" s="2">
        <v>-830.0</v>
      </c>
      <c r="F833" s="2">
        <v>0.0</v>
      </c>
      <c r="G833" s="2">
        <f t="shared" si="1"/>
        <v>-830</v>
      </c>
      <c r="H833" s="2" t="s">
        <v>38</v>
      </c>
      <c r="L833" s="2" t="s">
        <v>11</v>
      </c>
    </row>
    <row r="834" ht="12.75" customHeight="1">
      <c r="A834" s="2">
        <v>2015.0</v>
      </c>
      <c r="B834" s="2">
        <v>1.0</v>
      </c>
      <c r="C834" s="2">
        <v>6.0</v>
      </c>
      <c r="D834" s="2" t="s">
        <v>349</v>
      </c>
      <c r="E834" s="2">
        <v>-47.0</v>
      </c>
      <c r="F834" s="2">
        <v>0.0</v>
      </c>
      <c r="G834" s="2">
        <f t="shared" si="1"/>
        <v>-47</v>
      </c>
      <c r="H834" s="2" t="s">
        <v>42</v>
      </c>
      <c r="L834" s="2" t="s">
        <v>11</v>
      </c>
    </row>
    <row r="835" ht="12.75" customHeight="1">
      <c r="A835" s="2">
        <v>2015.0</v>
      </c>
      <c r="B835" s="2">
        <v>1.0</v>
      </c>
      <c r="C835" s="2">
        <v>6.0</v>
      </c>
      <c r="D835" s="2" t="s">
        <v>424</v>
      </c>
      <c r="E835" s="2">
        <v>-75.0</v>
      </c>
      <c r="F835" s="2">
        <v>0.0</v>
      </c>
      <c r="G835" s="2">
        <f t="shared" si="1"/>
        <v>-75</v>
      </c>
      <c r="H835" s="2" t="s">
        <v>38</v>
      </c>
      <c r="L835" s="2" t="s">
        <v>11</v>
      </c>
    </row>
    <row r="836" ht="12.75" customHeight="1">
      <c r="A836" s="2">
        <v>2015.0</v>
      </c>
      <c r="B836" s="2">
        <v>1.0</v>
      </c>
      <c r="C836" s="2">
        <v>5.0</v>
      </c>
      <c r="D836" s="2" t="s">
        <v>279</v>
      </c>
      <c r="E836" s="2">
        <v>-65.0</v>
      </c>
      <c r="F836" s="2">
        <v>0.0</v>
      </c>
      <c r="G836" s="2">
        <f t="shared" si="1"/>
        <v>-65</v>
      </c>
      <c r="H836" s="2" t="s">
        <v>47</v>
      </c>
      <c r="L836" s="2" t="s">
        <v>11</v>
      </c>
    </row>
    <row r="837" ht="12.75" customHeight="1">
      <c r="A837" s="2">
        <v>2015.0</v>
      </c>
      <c r="B837" s="2">
        <v>1.0</v>
      </c>
      <c r="C837" s="2">
        <v>5.0</v>
      </c>
      <c r="D837" s="2" t="s">
        <v>277</v>
      </c>
      <c r="E837" s="2">
        <v>-95.0</v>
      </c>
      <c r="F837" s="2">
        <v>0.0</v>
      </c>
      <c r="G837" s="2">
        <f t="shared" si="1"/>
        <v>-95</v>
      </c>
      <c r="H837" s="2" t="s">
        <v>38</v>
      </c>
      <c r="L837" s="2" t="s">
        <v>11</v>
      </c>
    </row>
    <row r="838" ht="12.75" customHeight="1">
      <c r="A838" s="2">
        <v>2015.0</v>
      </c>
      <c r="B838" s="2">
        <v>1.0</v>
      </c>
      <c r="C838" s="2">
        <v>5.0</v>
      </c>
      <c r="D838" s="2" t="s">
        <v>349</v>
      </c>
      <c r="E838" s="2">
        <v>-51.0</v>
      </c>
      <c r="F838" s="2">
        <v>0.0</v>
      </c>
      <c r="G838" s="2">
        <f t="shared" si="1"/>
        <v>-51</v>
      </c>
      <c r="H838" s="2" t="s">
        <v>42</v>
      </c>
      <c r="L838" s="2" t="s">
        <v>11</v>
      </c>
    </row>
    <row r="839" ht="12.75" customHeight="1">
      <c r="A839" s="2">
        <v>2015.0</v>
      </c>
      <c r="B839" s="2">
        <v>1.0</v>
      </c>
      <c r="C839" s="2">
        <v>5.0</v>
      </c>
      <c r="D839" s="2" t="s">
        <v>77</v>
      </c>
      <c r="E839" s="2">
        <v>590.0</v>
      </c>
      <c r="F839" s="2">
        <v>0.0</v>
      </c>
      <c r="G839" s="2">
        <f t="shared" si="1"/>
        <v>590</v>
      </c>
      <c r="H839" s="2" t="s">
        <v>47</v>
      </c>
      <c r="I839" s="2" t="s">
        <v>435</v>
      </c>
      <c r="L839" s="2" t="s">
        <v>11</v>
      </c>
    </row>
    <row r="840" ht="12.75" customHeight="1">
      <c r="A840" s="2">
        <v>2015.0</v>
      </c>
      <c r="B840" s="2">
        <v>1.0</v>
      </c>
      <c r="C840" s="2">
        <v>3.0</v>
      </c>
      <c r="D840" s="2" t="s">
        <v>356</v>
      </c>
      <c r="E840" s="2">
        <v>-309.2</v>
      </c>
      <c r="F840" s="2">
        <v>0.0</v>
      </c>
      <c r="G840" s="2">
        <f t="shared" si="1"/>
        <v>-309.2</v>
      </c>
      <c r="H840" s="2" t="s">
        <v>54</v>
      </c>
      <c r="L840" s="2" t="s">
        <v>11</v>
      </c>
    </row>
    <row r="841" ht="12.75" customHeight="1">
      <c r="A841" s="2">
        <v>2015.0</v>
      </c>
      <c r="B841" s="2">
        <v>1.0</v>
      </c>
      <c r="C841" s="2">
        <v>2.0</v>
      </c>
      <c r="D841" s="2" t="s">
        <v>436</v>
      </c>
      <c r="E841" s="2">
        <v>-178.0</v>
      </c>
      <c r="F841" s="2">
        <v>0.0</v>
      </c>
      <c r="G841" s="2">
        <f t="shared" si="1"/>
        <v>-178</v>
      </c>
      <c r="H841" s="2" t="s">
        <v>47</v>
      </c>
      <c r="I841" s="2" t="s">
        <v>437</v>
      </c>
      <c r="L841" s="2" t="s">
        <v>11</v>
      </c>
    </row>
    <row r="842" ht="12.75" customHeight="1">
      <c r="A842" s="2">
        <v>2015.0</v>
      </c>
      <c r="B842" s="2">
        <v>1.0</v>
      </c>
      <c r="C842" s="2">
        <v>2.0</v>
      </c>
      <c r="D842" s="2" t="s">
        <v>259</v>
      </c>
      <c r="E842" s="2">
        <v>-1104.0</v>
      </c>
      <c r="F842" s="2">
        <v>0.0</v>
      </c>
      <c r="G842" s="2">
        <f t="shared" si="1"/>
        <v>-1104</v>
      </c>
      <c r="H842" s="2" t="s">
        <v>47</v>
      </c>
      <c r="L842" s="2" t="s">
        <v>11</v>
      </c>
    </row>
    <row r="843" ht="12.75" customHeight="1">
      <c r="A843" s="2">
        <v>2015.0</v>
      </c>
      <c r="B843" s="2">
        <v>1.0</v>
      </c>
      <c r="C843" s="2">
        <v>2.0</v>
      </c>
      <c r="D843" s="2" t="s">
        <v>157</v>
      </c>
      <c r="E843" s="2">
        <v>-130.0</v>
      </c>
      <c r="F843" s="2">
        <v>0.0</v>
      </c>
      <c r="G843" s="2">
        <f t="shared" si="1"/>
        <v>-130</v>
      </c>
      <c r="H843" s="2" t="s">
        <v>17</v>
      </c>
      <c r="L843" s="2" t="s">
        <v>11</v>
      </c>
    </row>
    <row r="844" ht="12.75" customHeight="1">
      <c r="A844" s="2">
        <v>2015.0</v>
      </c>
      <c r="B844" s="2">
        <v>1.0</v>
      </c>
      <c r="C844" s="2">
        <v>2.0</v>
      </c>
      <c r="D844" s="2" t="s">
        <v>73</v>
      </c>
      <c r="E844" s="2">
        <v>-8186.0</v>
      </c>
      <c r="F844" s="2">
        <v>0.0</v>
      </c>
      <c r="G844" s="2">
        <f t="shared" si="1"/>
        <v>-8186</v>
      </c>
      <c r="H844" s="2" t="s">
        <v>10</v>
      </c>
      <c r="L844" s="2" t="s">
        <v>11</v>
      </c>
    </row>
    <row r="845" ht="12.75" customHeight="1">
      <c r="A845" s="2">
        <v>2015.0</v>
      </c>
      <c r="B845" s="2">
        <v>1.0</v>
      </c>
      <c r="C845" s="2">
        <v>2.0</v>
      </c>
      <c r="D845" s="2" t="s">
        <v>102</v>
      </c>
      <c r="E845" s="2">
        <v>-250.0</v>
      </c>
      <c r="F845" s="2">
        <v>0.0</v>
      </c>
      <c r="G845" s="2">
        <f t="shared" si="1"/>
        <v>-250</v>
      </c>
      <c r="H845" s="2" t="s">
        <v>103</v>
      </c>
      <c r="L845" s="2" t="s">
        <v>11</v>
      </c>
    </row>
    <row r="846" ht="12.75" customHeight="1">
      <c r="A846" s="2">
        <v>2015.0</v>
      </c>
      <c r="B846" s="2">
        <v>1.0</v>
      </c>
      <c r="C846" s="2">
        <v>2.0</v>
      </c>
      <c r="D846" s="2" t="s">
        <v>438</v>
      </c>
      <c r="E846" s="2">
        <v>-306.07</v>
      </c>
      <c r="F846" s="2">
        <v>0.0</v>
      </c>
      <c r="G846" s="2">
        <f t="shared" si="1"/>
        <v>-306.07</v>
      </c>
      <c r="H846" s="2" t="s">
        <v>31</v>
      </c>
      <c r="I846" s="2" t="s">
        <v>439</v>
      </c>
      <c r="L846" s="2" t="s">
        <v>11</v>
      </c>
    </row>
    <row r="847" ht="12.75" customHeight="1">
      <c r="A847" s="2">
        <v>2014.0</v>
      </c>
      <c r="B847" s="2">
        <v>12.0</v>
      </c>
      <c r="C847" s="2">
        <v>31.0</v>
      </c>
      <c r="D847" s="2" t="s">
        <v>440</v>
      </c>
      <c r="E847" s="2">
        <v>39.0</v>
      </c>
      <c r="F847" s="2">
        <v>0.0</v>
      </c>
      <c r="G847" s="2">
        <f t="shared" si="1"/>
        <v>39</v>
      </c>
      <c r="H847" s="2" t="s">
        <v>13</v>
      </c>
      <c r="L847" s="2" t="s">
        <v>11</v>
      </c>
    </row>
    <row r="848" ht="12.75" customHeight="1">
      <c r="A848" s="2">
        <v>2014.0</v>
      </c>
      <c r="B848" s="2">
        <v>12.0</v>
      </c>
      <c r="C848" s="2">
        <v>30.0</v>
      </c>
      <c r="D848" s="2" t="s">
        <v>163</v>
      </c>
      <c r="E848" s="2">
        <v>329.0</v>
      </c>
      <c r="F848" s="2">
        <v>0.0</v>
      </c>
      <c r="G848" s="2">
        <f t="shared" si="1"/>
        <v>329</v>
      </c>
      <c r="H848" s="2" t="s">
        <v>164</v>
      </c>
      <c r="L848" s="2" t="s">
        <v>11</v>
      </c>
    </row>
    <row r="849" ht="12.75" customHeight="1">
      <c r="A849" s="2">
        <v>2014.0</v>
      </c>
      <c r="B849" s="2">
        <v>12.0</v>
      </c>
      <c r="C849" s="2">
        <v>30.0</v>
      </c>
      <c r="D849" s="2" t="s">
        <v>427</v>
      </c>
      <c r="E849" s="2">
        <v>-469.0</v>
      </c>
      <c r="F849" s="2">
        <v>0.0</v>
      </c>
      <c r="G849" s="2">
        <f t="shared" si="1"/>
        <v>-469</v>
      </c>
      <c r="H849" s="2" t="s">
        <v>428</v>
      </c>
      <c r="L849" s="2" t="s">
        <v>11</v>
      </c>
    </row>
    <row r="850" ht="12.75" customHeight="1">
      <c r="A850" s="2">
        <v>2014.0</v>
      </c>
      <c r="B850" s="2">
        <v>12.0</v>
      </c>
      <c r="C850" s="2">
        <v>30.0</v>
      </c>
      <c r="D850" s="2" t="s">
        <v>12</v>
      </c>
      <c r="E850" s="2">
        <v>-8027.9</v>
      </c>
      <c r="F850" s="2">
        <v>0.0</v>
      </c>
      <c r="G850" s="2">
        <f t="shared" si="1"/>
        <v>-8027.9</v>
      </c>
      <c r="H850" s="2" t="s">
        <v>227</v>
      </c>
      <c r="L850" s="2" t="s">
        <v>228</v>
      </c>
    </row>
    <row r="851" ht="12.75" customHeight="1">
      <c r="A851" s="2">
        <v>2014.0</v>
      </c>
      <c r="B851" s="2">
        <v>12.0</v>
      </c>
      <c r="C851" s="2">
        <v>30.0</v>
      </c>
      <c r="D851" s="2" t="s">
        <v>14</v>
      </c>
      <c r="E851" s="2">
        <v>-4007.0</v>
      </c>
      <c r="F851" s="2">
        <v>0.0</v>
      </c>
      <c r="G851" s="2">
        <f t="shared" si="1"/>
        <v>-4007</v>
      </c>
      <c r="H851" s="2" t="s">
        <v>10</v>
      </c>
      <c r="L851" s="2" t="s">
        <v>11</v>
      </c>
    </row>
    <row r="852" ht="12.75" customHeight="1">
      <c r="A852" s="2">
        <v>2014.0</v>
      </c>
      <c r="B852" s="2">
        <v>12.0</v>
      </c>
      <c r="C852" s="2">
        <v>30.0</v>
      </c>
      <c r="D852" s="2" t="s">
        <v>15</v>
      </c>
      <c r="E852" s="2">
        <v>-207.8</v>
      </c>
      <c r="F852" s="2">
        <v>0.0</v>
      </c>
      <c r="G852" s="2">
        <f t="shared" si="1"/>
        <v>-207.8</v>
      </c>
      <c r="H852" s="2" t="s">
        <v>10</v>
      </c>
      <c r="L852" s="2" t="s">
        <v>11</v>
      </c>
    </row>
    <row r="853" ht="12.75" customHeight="1">
      <c r="A853" s="2">
        <v>2014.0</v>
      </c>
      <c r="B853" s="2">
        <v>12.0</v>
      </c>
      <c r="C853" s="2">
        <v>30.0</v>
      </c>
      <c r="D853" s="2">
        <v>4.7516877E7</v>
      </c>
      <c r="E853" s="2">
        <v>1000.0</v>
      </c>
      <c r="F853" s="2">
        <v>0.0</v>
      </c>
      <c r="G853" s="2">
        <f t="shared" si="1"/>
        <v>1000</v>
      </c>
      <c r="H853" s="2" t="s">
        <v>18</v>
      </c>
      <c r="L853" s="2" t="s">
        <v>11</v>
      </c>
    </row>
    <row r="854" ht="12.75" customHeight="1">
      <c r="A854" s="2">
        <v>2014.0</v>
      </c>
      <c r="B854" s="2">
        <v>12.0</v>
      </c>
      <c r="C854" s="2">
        <v>29.0</v>
      </c>
      <c r="D854" s="2" t="s">
        <v>25</v>
      </c>
      <c r="E854" s="2">
        <v>-100.0</v>
      </c>
      <c r="F854" s="2">
        <v>0.0</v>
      </c>
      <c r="G854" s="2">
        <f t="shared" si="1"/>
        <v>-100</v>
      </c>
      <c r="H854" s="2" t="s">
        <v>26</v>
      </c>
      <c r="L854" s="2" t="s">
        <v>11</v>
      </c>
    </row>
    <row r="855" ht="12.75" customHeight="1">
      <c r="A855" s="2">
        <v>2014.0</v>
      </c>
      <c r="B855" s="2">
        <v>12.0</v>
      </c>
      <c r="C855" s="2">
        <v>29.0</v>
      </c>
      <c r="D855" s="2" t="s">
        <v>19</v>
      </c>
      <c r="E855" s="2">
        <v>-320.0</v>
      </c>
      <c r="F855" s="2">
        <v>0.0</v>
      </c>
      <c r="G855" s="2">
        <f t="shared" si="1"/>
        <v>-320</v>
      </c>
      <c r="H855" s="2" t="s">
        <v>20</v>
      </c>
      <c r="L855" s="2" t="s">
        <v>11</v>
      </c>
    </row>
    <row r="856" ht="12.75" customHeight="1">
      <c r="A856" s="2">
        <v>2014.0</v>
      </c>
      <c r="B856" s="2">
        <v>12.0</v>
      </c>
      <c r="C856" s="2">
        <v>29.0</v>
      </c>
      <c r="D856" s="2" t="s">
        <v>441</v>
      </c>
      <c r="E856" s="2">
        <v>-78.0</v>
      </c>
      <c r="F856" s="2">
        <v>0.0</v>
      </c>
      <c r="G856" s="2">
        <f t="shared" si="1"/>
        <v>-78</v>
      </c>
      <c r="H856" s="2" t="s">
        <v>47</v>
      </c>
      <c r="L856" s="2" t="s">
        <v>11</v>
      </c>
    </row>
    <row r="857" ht="12.75" customHeight="1">
      <c r="A857" s="2">
        <v>2014.0</v>
      </c>
      <c r="B857" s="2">
        <v>12.0</v>
      </c>
      <c r="C857" s="2">
        <v>29.0</v>
      </c>
      <c r="D857" s="2" t="s">
        <v>27</v>
      </c>
      <c r="E857" s="2">
        <v>-5000.0</v>
      </c>
      <c r="F857" s="2">
        <v>0.0</v>
      </c>
      <c r="G857" s="2">
        <f t="shared" si="1"/>
        <v>-5000</v>
      </c>
      <c r="H857" s="2" t="s">
        <v>227</v>
      </c>
      <c r="L857" s="2" t="s">
        <v>11</v>
      </c>
    </row>
    <row r="858" ht="12.75" customHeight="1">
      <c r="A858" s="2">
        <v>2014.0</v>
      </c>
      <c r="B858" s="2">
        <v>12.0</v>
      </c>
      <c r="C858" s="2">
        <v>29.0</v>
      </c>
      <c r="D858" s="2" t="s">
        <v>27</v>
      </c>
      <c r="E858" s="2">
        <v>5000.0</v>
      </c>
      <c r="F858" s="2">
        <v>0.0</v>
      </c>
      <c r="G858" s="2">
        <f t="shared" si="1"/>
        <v>5000</v>
      </c>
      <c r="H858" s="2" t="s">
        <v>227</v>
      </c>
      <c r="L858" s="2" t="s">
        <v>11</v>
      </c>
    </row>
    <row r="859" ht="12.75" customHeight="1">
      <c r="A859" s="2">
        <v>2014.0</v>
      </c>
      <c r="B859" s="2">
        <v>12.0</v>
      </c>
      <c r="C859" s="2">
        <v>29.0</v>
      </c>
      <c r="D859" s="2" t="s">
        <v>29</v>
      </c>
      <c r="E859" s="2">
        <v>-1250.0</v>
      </c>
      <c r="F859" s="2">
        <v>0.0</v>
      </c>
      <c r="G859" s="2">
        <f t="shared" si="1"/>
        <v>-1250</v>
      </c>
      <c r="H859" s="2" t="s">
        <v>18</v>
      </c>
      <c r="L859" s="2" t="s">
        <v>11</v>
      </c>
    </row>
    <row r="860" ht="12.75" customHeight="1">
      <c r="A860" s="2">
        <v>2014.0</v>
      </c>
      <c r="B860" s="2">
        <v>12.0</v>
      </c>
      <c r="C860" s="2">
        <v>29.0</v>
      </c>
      <c r="D860" s="2" t="s">
        <v>403</v>
      </c>
      <c r="E860" s="2">
        <v>-120.0</v>
      </c>
      <c r="F860" s="2">
        <v>0.0</v>
      </c>
      <c r="G860" s="2">
        <f t="shared" si="1"/>
        <v>-120</v>
      </c>
      <c r="H860" s="2" t="s">
        <v>47</v>
      </c>
      <c r="L860" s="2" t="s">
        <v>11</v>
      </c>
    </row>
    <row r="861" ht="12.75" customHeight="1">
      <c r="A861" s="2">
        <v>2014.0</v>
      </c>
      <c r="B861" s="2">
        <v>12.0</v>
      </c>
      <c r="C861" s="2">
        <v>29.0</v>
      </c>
      <c r="D861" s="2" t="s">
        <v>23</v>
      </c>
      <c r="E861" s="2">
        <v>-303.0</v>
      </c>
      <c r="F861" s="2">
        <v>0.0</v>
      </c>
      <c r="G861" s="2">
        <f t="shared" si="1"/>
        <v>-303</v>
      </c>
      <c r="H861" s="2" t="s">
        <v>24</v>
      </c>
      <c r="L861" s="2" t="s">
        <v>11</v>
      </c>
    </row>
    <row r="862" ht="12.75" customHeight="1">
      <c r="A862" s="2">
        <v>2014.0</v>
      </c>
      <c r="B862" s="2">
        <v>12.0</v>
      </c>
      <c r="C862" s="2">
        <v>28.0</v>
      </c>
      <c r="D862" s="2" t="s">
        <v>442</v>
      </c>
      <c r="E862" s="2">
        <v>-65.0</v>
      </c>
      <c r="F862" s="2">
        <v>0.0</v>
      </c>
      <c r="G862" s="2">
        <f t="shared" si="1"/>
        <v>-65</v>
      </c>
      <c r="H862" s="2" t="s">
        <v>47</v>
      </c>
      <c r="I862" s="2" t="s">
        <v>443</v>
      </c>
      <c r="L862" s="2" t="s">
        <v>11</v>
      </c>
    </row>
    <row r="863" ht="12.75" customHeight="1">
      <c r="A863" s="2">
        <v>2014.0</v>
      </c>
      <c r="B863" s="2">
        <v>12.0</v>
      </c>
      <c r="C863" s="2">
        <v>28.0</v>
      </c>
      <c r="D863" s="2" t="s">
        <v>442</v>
      </c>
      <c r="E863" s="2">
        <v>-116.0</v>
      </c>
      <c r="F863" s="2">
        <v>0.0</v>
      </c>
      <c r="G863" s="2">
        <f t="shared" si="1"/>
        <v>-116</v>
      </c>
      <c r="H863" s="2" t="s">
        <v>47</v>
      </c>
      <c r="L863" s="2" t="s">
        <v>11</v>
      </c>
    </row>
    <row r="864" ht="12.75" customHeight="1">
      <c r="A864" s="2">
        <v>2014.0</v>
      </c>
      <c r="B864" s="2">
        <v>12.0</v>
      </c>
      <c r="C864" s="2">
        <v>28.0</v>
      </c>
      <c r="D864" s="2" t="s">
        <v>438</v>
      </c>
      <c r="E864" s="2">
        <v>-293.11</v>
      </c>
      <c r="F864" s="2">
        <v>0.0</v>
      </c>
      <c r="G864" s="2">
        <f t="shared" si="1"/>
        <v>-293.11</v>
      </c>
      <c r="H864" s="2" t="s">
        <v>31</v>
      </c>
      <c r="L864" s="2" t="s">
        <v>11</v>
      </c>
    </row>
    <row r="865" ht="12.75" customHeight="1">
      <c r="A865" s="2">
        <v>2014.0</v>
      </c>
      <c r="B865" s="2">
        <v>12.0</v>
      </c>
      <c r="C865" s="2">
        <v>25.0</v>
      </c>
      <c r="D865" s="2" t="s">
        <v>444</v>
      </c>
      <c r="E865" s="2">
        <v>-156.0</v>
      </c>
      <c r="F865" s="2">
        <v>0.0</v>
      </c>
      <c r="G865" s="2">
        <f t="shared" si="1"/>
        <v>-156</v>
      </c>
      <c r="H865" s="2" t="s">
        <v>47</v>
      </c>
      <c r="L865" s="2" t="s">
        <v>11</v>
      </c>
    </row>
    <row r="866" ht="12.75" customHeight="1">
      <c r="A866" s="2">
        <v>2014.0</v>
      </c>
      <c r="B866" s="2">
        <v>12.0</v>
      </c>
      <c r="C866" s="2">
        <v>25.0</v>
      </c>
      <c r="D866" s="2" t="s">
        <v>444</v>
      </c>
      <c r="E866" s="2">
        <v>-111.95</v>
      </c>
      <c r="F866" s="2">
        <v>0.0</v>
      </c>
      <c r="G866" s="2">
        <f t="shared" si="1"/>
        <v>-111.95</v>
      </c>
      <c r="H866" s="2" t="s">
        <v>47</v>
      </c>
      <c r="L866" s="2" t="s">
        <v>11</v>
      </c>
    </row>
    <row r="867" ht="12.75" customHeight="1">
      <c r="A867" s="2">
        <v>2014.0</v>
      </c>
      <c r="B867" s="2">
        <v>12.0</v>
      </c>
      <c r="C867" s="2">
        <v>24.0</v>
      </c>
      <c r="D867" s="2" t="s">
        <v>445</v>
      </c>
      <c r="E867" s="2">
        <v>1000.0</v>
      </c>
      <c r="F867" s="2">
        <v>0.0</v>
      </c>
      <c r="G867" s="2">
        <f t="shared" si="1"/>
        <v>1000</v>
      </c>
      <c r="H867" s="2" t="s">
        <v>13</v>
      </c>
      <c r="L867" s="2" t="s">
        <v>11</v>
      </c>
    </row>
    <row r="868" ht="12.75" customHeight="1">
      <c r="A868" s="2">
        <v>2014.0</v>
      </c>
      <c r="B868" s="2">
        <v>12.0</v>
      </c>
      <c r="C868" s="2">
        <v>23.0</v>
      </c>
      <c r="D868" s="2" t="s">
        <v>382</v>
      </c>
      <c r="E868" s="2">
        <v>-299.0</v>
      </c>
      <c r="F868" s="2">
        <v>0.0</v>
      </c>
      <c r="G868" s="2">
        <f t="shared" si="1"/>
        <v>-299</v>
      </c>
      <c r="H868" s="2" t="s">
        <v>22</v>
      </c>
      <c r="L868" s="2" t="s">
        <v>11</v>
      </c>
    </row>
    <row r="869" ht="12.75" customHeight="1">
      <c r="A869" s="2">
        <v>2014.0</v>
      </c>
      <c r="B869" s="2">
        <v>12.0</v>
      </c>
      <c r="C869" s="2">
        <v>23.0</v>
      </c>
      <c r="D869" s="2" t="s">
        <v>446</v>
      </c>
      <c r="E869" s="2">
        <v>-435.0</v>
      </c>
      <c r="F869" s="2">
        <v>0.0</v>
      </c>
      <c r="G869" s="2">
        <f t="shared" si="1"/>
        <v>-435</v>
      </c>
      <c r="H869" s="2" t="s">
        <v>72</v>
      </c>
      <c r="L869" s="2" t="s">
        <v>11</v>
      </c>
    </row>
    <row r="870" ht="12.75" customHeight="1">
      <c r="A870" s="2">
        <v>2014.0</v>
      </c>
      <c r="B870" s="2">
        <v>12.0</v>
      </c>
      <c r="C870" s="2">
        <v>23.0</v>
      </c>
      <c r="D870" s="2" t="s">
        <v>318</v>
      </c>
      <c r="E870" s="2">
        <v>-380.74</v>
      </c>
      <c r="F870" s="2">
        <v>0.0</v>
      </c>
      <c r="G870" s="2">
        <f t="shared" si="1"/>
        <v>-380.74</v>
      </c>
      <c r="H870" s="2" t="s">
        <v>54</v>
      </c>
      <c r="L870" s="2" t="s">
        <v>11</v>
      </c>
    </row>
    <row r="871" ht="12.75" customHeight="1">
      <c r="A871" s="2">
        <v>2014.0</v>
      </c>
      <c r="B871" s="2">
        <v>12.0</v>
      </c>
      <c r="C871" s="2">
        <v>22.0</v>
      </c>
      <c r="D871" s="2" t="s">
        <v>372</v>
      </c>
      <c r="E871" s="2">
        <v>-69.0</v>
      </c>
      <c r="F871" s="2">
        <v>0.0</v>
      </c>
      <c r="G871" s="2">
        <f t="shared" si="1"/>
        <v>-69</v>
      </c>
      <c r="H871" s="2" t="s">
        <v>38</v>
      </c>
      <c r="L871" s="2" t="s">
        <v>11</v>
      </c>
    </row>
    <row r="872" ht="12.75" customHeight="1">
      <c r="A872" s="2">
        <v>2014.0</v>
      </c>
      <c r="B872" s="2">
        <v>12.0</v>
      </c>
      <c r="C872" s="2">
        <v>22.0</v>
      </c>
      <c r="D872" s="2" t="s">
        <v>447</v>
      </c>
      <c r="E872" s="2">
        <v>-300.0</v>
      </c>
      <c r="F872" s="2">
        <v>0.0</v>
      </c>
      <c r="G872" s="2">
        <f t="shared" si="1"/>
        <v>-300</v>
      </c>
      <c r="H872" s="2" t="s">
        <v>35</v>
      </c>
      <c r="L872" s="2" t="s">
        <v>11</v>
      </c>
    </row>
    <row r="873" ht="12.75" customHeight="1">
      <c r="A873" s="2">
        <v>2014.0</v>
      </c>
      <c r="B873" s="2">
        <v>12.0</v>
      </c>
      <c r="C873" s="2">
        <v>19.0</v>
      </c>
      <c r="D873" s="2" t="s">
        <v>448</v>
      </c>
      <c r="E873" s="2">
        <v>-120.0</v>
      </c>
      <c r="F873" s="2">
        <v>0.0</v>
      </c>
      <c r="G873" s="2">
        <f t="shared" si="1"/>
        <v>-120</v>
      </c>
      <c r="H873" s="2" t="s">
        <v>52</v>
      </c>
      <c r="I873" s="2" t="s">
        <v>449</v>
      </c>
      <c r="L873" s="2" t="s">
        <v>11</v>
      </c>
    </row>
    <row r="874" ht="12.75" customHeight="1">
      <c r="A874" s="2">
        <v>2014.0</v>
      </c>
      <c r="B874" s="2">
        <v>12.0</v>
      </c>
      <c r="C874" s="2">
        <v>19.0</v>
      </c>
      <c r="D874" s="2" t="s">
        <v>450</v>
      </c>
      <c r="E874" s="2">
        <v>-325.0</v>
      </c>
      <c r="F874" s="2">
        <v>0.0</v>
      </c>
      <c r="G874" s="2">
        <f t="shared" si="1"/>
        <v>-325</v>
      </c>
      <c r="H874" s="2" t="s">
        <v>164</v>
      </c>
      <c r="L874" s="2" t="s">
        <v>11</v>
      </c>
    </row>
    <row r="875" ht="12.75" customHeight="1">
      <c r="A875" s="2">
        <v>2014.0</v>
      </c>
      <c r="B875" s="2">
        <v>12.0</v>
      </c>
      <c r="C875" s="2">
        <v>19.0</v>
      </c>
      <c r="D875" s="2" t="s">
        <v>39</v>
      </c>
      <c r="E875" s="2">
        <v>31401.0</v>
      </c>
      <c r="F875" s="2">
        <v>0.0</v>
      </c>
      <c r="G875" s="2">
        <f t="shared" si="1"/>
        <v>31401</v>
      </c>
      <c r="H875" s="2" t="s">
        <v>40</v>
      </c>
      <c r="L875" s="2" t="s">
        <v>11</v>
      </c>
    </row>
    <row r="876" ht="12.75" customHeight="1">
      <c r="A876" s="2">
        <v>2014.0</v>
      </c>
      <c r="B876" s="2">
        <v>12.0</v>
      </c>
      <c r="C876" s="2">
        <v>18.0</v>
      </c>
      <c r="D876" s="2" t="s">
        <v>448</v>
      </c>
      <c r="E876" s="2">
        <v>-148.0</v>
      </c>
      <c r="F876" s="2">
        <v>0.0</v>
      </c>
      <c r="G876" s="2">
        <f t="shared" si="1"/>
        <v>-148</v>
      </c>
      <c r="H876" s="2" t="s">
        <v>52</v>
      </c>
      <c r="L876" s="2" t="s">
        <v>11</v>
      </c>
    </row>
    <row r="877" ht="12.75" customHeight="1">
      <c r="A877" s="2">
        <v>2014.0</v>
      </c>
      <c r="B877" s="2">
        <v>12.0</v>
      </c>
      <c r="C877" s="2">
        <v>18.0</v>
      </c>
      <c r="D877" s="2" t="s">
        <v>450</v>
      </c>
      <c r="E877" s="2">
        <v>-329.0</v>
      </c>
      <c r="F877" s="2">
        <v>0.0</v>
      </c>
      <c r="G877" s="2">
        <f t="shared" si="1"/>
        <v>-329</v>
      </c>
      <c r="H877" s="2" t="s">
        <v>164</v>
      </c>
      <c r="L877" s="2" t="s">
        <v>11</v>
      </c>
    </row>
    <row r="878" ht="12.75" customHeight="1">
      <c r="A878" s="2">
        <v>2014.0</v>
      </c>
      <c r="B878" s="2">
        <v>12.0</v>
      </c>
      <c r="C878" s="2">
        <v>18.0</v>
      </c>
      <c r="D878" s="2" t="s">
        <v>274</v>
      </c>
      <c r="E878" s="2">
        <v>-800.0</v>
      </c>
      <c r="F878" s="2">
        <v>0.0</v>
      </c>
      <c r="G878" s="2">
        <f t="shared" si="1"/>
        <v>-800</v>
      </c>
      <c r="H878" s="2" t="s">
        <v>38</v>
      </c>
      <c r="L878" s="2" t="s">
        <v>11</v>
      </c>
    </row>
    <row r="879" ht="12.75" customHeight="1">
      <c r="A879" s="2">
        <v>2014.0</v>
      </c>
      <c r="B879" s="2">
        <v>12.0</v>
      </c>
      <c r="C879" s="2">
        <v>17.0</v>
      </c>
      <c r="D879" s="2" t="s">
        <v>349</v>
      </c>
      <c r="E879" s="2">
        <v>-52.0</v>
      </c>
      <c r="F879" s="2">
        <v>0.0</v>
      </c>
      <c r="G879" s="2">
        <f t="shared" si="1"/>
        <v>-52</v>
      </c>
      <c r="H879" s="2" t="s">
        <v>42</v>
      </c>
      <c r="L879" s="2" t="s">
        <v>11</v>
      </c>
    </row>
    <row r="880" ht="12.75" customHeight="1">
      <c r="A880" s="2">
        <v>2014.0</v>
      </c>
      <c r="B880" s="2">
        <v>12.0</v>
      </c>
      <c r="C880" s="2">
        <v>15.0</v>
      </c>
      <c r="D880" s="2" t="s">
        <v>282</v>
      </c>
      <c r="E880" s="2">
        <v>-8.0</v>
      </c>
      <c r="F880" s="2">
        <v>0.0</v>
      </c>
      <c r="G880" s="2">
        <f t="shared" si="1"/>
        <v>-8</v>
      </c>
      <c r="H880" s="2" t="s">
        <v>31</v>
      </c>
      <c r="L880" s="2" t="s">
        <v>11</v>
      </c>
    </row>
    <row r="881" ht="12.75" customHeight="1">
      <c r="A881" s="2">
        <v>2014.0</v>
      </c>
      <c r="B881" s="2">
        <v>12.0</v>
      </c>
      <c r="C881" s="2">
        <v>13.0</v>
      </c>
      <c r="D881" s="2" t="s">
        <v>451</v>
      </c>
      <c r="E881" s="2">
        <v>-40.0</v>
      </c>
      <c r="F881" s="2">
        <v>0.0</v>
      </c>
      <c r="G881" s="2">
        <f t="shared" si="1"/>
        <v>-40</v>
      </c>
      <c r="H881" s="2" t="s">
        <v>52</v>
      </c>
      <c r="L881" s="2" t="s">
        <v>11</v>
      </c>
    </row>
    <row r="882" ht="12.75" customHeight="1">
      <c r="A882" s="2">
        <v>2014.0</v>
      </c>
      <c r="B882" s="2">
        <v>12.0</v>
      </c>
      <c r="C882" s="2">
        <v>13.0</v>
      </c>
      <c r="D882" s="2" t="s">
        <v>451</v>
      </c>
      <c r="E882" s="2">
        <v>-205.0</v>
      </c>
      <c r="F882" s="2">
        <v>0.0</v>
      </c>
      <c r="G882" s="2">
        <f t="shared" si="1"/>
        <v>-205</v>
      </c>
      <c r="H882" s="2" t="s">
        <v>52</v>
      </c>
      <c r="L882" s="2" t="s">
        <v>11</v>
      </c>
    </row>
    <row r="883" ht="12.75" customHeight="1">
      <c r="A883" s="2">
        <v>2014.0</v>
      </c>
      <c r="B883" s="2">
        <v>12.0</v>
      </c>
      <c r="C883" s="2">
        <v>13.0</v>
      </c>
      <c r="D883" s="2" t="s">
        <v>451</v>
      </c>
      <c r="E883" s="2">
        <v>-116.0</v>
      </c>
      <c r="F883" s="2">
        <v>0.0</v>
      </c>
      <c r="G883" s="2">
        <f t="shared" si="1"/>
        <v>-116</v>
      </c>
      <c r="H883" s="2" t="s">
        <v>52</v>
      </c>
      <c r="L883" s="2" t="s">
        <v>11</v>
      </c>
    </row>
    <row r="884" ht="12.75" customHeight="1">
      <c r="A884" s="2">
        <v>2014.0</v>
      </c>
      <c r="B884" s="2">
        <v>12.0</v>
      </c>
      <c r="C884" s="2">
        <v>13.0</v>
      </c>
      <c r="D884" s="2" t="s">
        <v>452</v>
      </c>
      <c r="E884" s="2">
        <v>-21.0</v>
      </c>
      <c r="F884" s="2">
        <v>0.0</v>
      </c>
      <c r="G884" s="2">
        <f t="shared" si="1"/>
        <v>-21</v>
      </c>
      <c r="H884" s="2" t="s">
        <v>47</v>
      </c>
      <c r="L884" s="2" t="s">
        <v>11</v>
      </c>
    </row>
    <row r="885" ht="12.75" customHeight="1">
      <c r="A885" s="2">
        <v>2014.0</v>
      </c>
      <c r="B885" s="2">
        <v>12.0</v>
      </c>
      <c r="C885" s="2">
        <v>13.0</v>
      </c>
      <c r="D885" s="2" t="s">
        <v>453</v>
      </c>
      <c r="E885" s="2">
        <v>-52.0</v>
      </c>
      <c r="F885" s="2">
        <v>0.0</v>
      </c>
      <c r="G885" s="2">
        <f t="shared" si="1"/>
        <v>-52</v>
      </c>
      <c r="H885" s="2" t="s">
        <v>42</v>
      </c>
      <c r="L885" s="2" t="s">
        <v>11</v>
      </c>
    </row>
    <row r="886" ht="12.75" customHeight="1">
      <c r="A886" s="2">
        <v>2014.0</v>
      </c>
      <c r="B886" s="2">
        <v>12.0</v>
      </c>
      <c r="C886" s="2">
        <v>13.0</v>
      </c>
      <c r="D886" s="2" t="s">
        <v>453</v>
      </c>
      <c r="E886" s="2">
        <v>-23.0</v>
      </c>
      <c r="F886" s="2">
        <v>0.0</v>
      </c>
      <c r="G886" s="2">
        <f t="shared" si="1"/>
        <v>-23</v>
      </c>
      <c r="H886" s="2" t="s">
        <v>31</v>
      </c>
      <c r="L886" s="2" t="s">
        <v>11</v>
      </c>
    </row>
    <row r="887" ht="12.75" customHeight="1">
      <c r="A887" s="2">
        <v>2014.0</v>
      </c>
      <c r="B887" s="2">
        <v>12.0</v>
      </c>
      <c r="C887" s="2">
        <v>13.0</v>
      </c>
      <c r="D887" s="2" t="s">
        <v>454</v>
      </c>
      <c r="E887" s="2">
        <v>-96.0</v>
      </c>
      <c r="F887" s="2">
        <v>0.0</v>
      </c>
      <c r="G887" s="2">
        <f t="shared" si="1"/>
        <v>-96</v>
      </c>
      <c r="H887" s="2" t="s">
        <v>52</v>
      </c>
      <c r="L887" s="2" t="s">
        <v>11</v>
      </c>
    </row>
    <row r="888" ht="12.75" customHeight="1">
      <c r="A888" s="2">
        <v>2014.0</v>
      </c>
      <c r="B888" s="2">
        <v>12.0</v>
      </c>
      <c r="C888" s="2">
        <v>13.0</v>
      </c>
      <c r="D888" s="2" t="s">
        <v>454</v>
      </c>
      <c r="E888" s="2">
        <v>-20.0</v>
      </c>
      <c r="F888" s="2">
        <v>0.0</v>
      </c>
      <c r="G888" s="2">
        <f t="shared" si="1"/>
        <v>-20</v>
      </c>
      <c r="H888" s="2" t="s">
        <v>52</v>
      </c>
      <c r="L888" s="2" t="s">
        <v>11</v>
      </c>
    </row>
    <row r="889" ht="12.75" customHeight="1">
      <c r="A889" s="2">
        <v>2014.0</v>
      </c>
      <c r="B889" s="2">
        <v>12.0</v>
      </c>
      <c r="C889" s="2">
        <v>13.0</v>
      </c>
      <c r="D889" s="2" t="s">
        <v>454</v>
      </c>
      <c r="E889" s="2">
        <v>-197.0</v>
      </c>
      <c r="F889" s="2">
        <v>0.0</v>
      </c>
      <c r="G889" s="2">
        <f t="shared" si="1"/>
        <v>-197</v>
      </c>
      <c r="H889" s="2" t="s">
        <v>52</v>
      </c>
      <c r="L889" s="2" t="s">
        <v>11</v>
      </c>
    </row>
    <row r="890" ht="12.75" customHeight="1">
      <c r="A890" s="2">
        <v>2014.0</v>
      </c>
      <c r="B890" s="2">
        <v>12.0</v>
      </c>
      <c r="C890" s="2">
        <v>13.0</v>
      </c>
      <c r="D890" s="2" t="s">
        <v>455</v>
      </c>
      <c r="E890" s="2">
        <v>-40.0</v>
      </c>
      <c r="F890" s="2">
        <v>0.0</v>
      </c>
      <c r="G890" s="2">
        <f t="shared" si="1"/>
        <v>-40</v>
      </c>
      <c r="H890" s="2" t="s">
        <v>31</v>
      </c>
      <c r="L890" s="2" t="s">
        <v>11</v>
      </c>
    </row>
    <row r="891" ht="12.75" customHeight="1">
      <c r="A891" s="2">
        <v>2014.0</v>
      </c>
      <c r="B891" s="2">
        <v>12.0</v>
      </c>
      <c r="C891" s="2">
        <v>13.0</v>
      </c>
      <c r="D891" s="2" t="s">
        <v>456</v>
      </c>
      <c r="E891" s="2">
        <v>-60.0</v>
      </c>
      <c r="F891" s="2">
        <v>0.0</v>
      </c>
      <c r="G891" s="2">
        <f t="shared" si="1"/>
        <v>-60</v>
      </c>
      <c r="H891" s="2" t="s">
        <v>52</v>
      </c>
      <c r="L891" s="2" t="s">
        <v>11</v>
      </c>
    </row>
    <row r="892" ht="12.75" customHeight="1">
      <c r="A892" s="2">
        <v>2014.0</v>
      </c>
      <c r="B892" s="2">
        <v>12.0</v>
      </c>
      <c r="C892" s="2">
        <v>13.0</v>
      </c>
      <c r="D892" s="2" t="s">
        <v>456</v>
      </c>
      <c r="E892" s="2">
        <v>-281.0</v>
      </c>
      <c r="F892" s="2">
        <v>0.0</v>
      </c>
      <c r="G892" s="2">
        <f t="shared" si="1"/>
        <v>-281</v>
      </c>
      <c r="H892" s="2" t="s">
        <v>52</v>
      </c>
      <c r="L892" s="2" t="s">
        <v>11</v>
      </c>
    </row>
    <row r="893" ht="12.75" customHeight="1">
      <c r="A893" s="2">
        <v>2014.0</v>
      </c>
      <c r="B893" s="2">
        <v>12.0</v>
      </c>
      <c r="C893" s="2">
        <v>12.0</v>
      </c>
      <c r="D893" s="2" t="s">
        <v>457</v>
      </c>
      <c r="E893" s="2">
        <v>-563.0</v>
      </c>
      <c r="F893" s="2">
        <v>0.0</v>
      </c>
      <c r="G893" s="2">
        <f t="shared" si="1"/>
        <v>-563</v>
      </c>
      <c r="H893" s="2" t="s">
        <v>47</v>
      </c>
      <c r="L893" s="2" t="s">
        <v>11</v>
      </c>
    </row>
    <row r="894" ht="12.75" customHeight="1">
      <c r="A894" s="2">
        <v>2014.0</v>
      </c>
      <c r="B894" s="2">
        <v>12.0</v>
      </c>
      <c r="C894" s="2">
        <v>10.0</v>
      </c>
      <c r="D894" s="2" t="s">
        <v>279</v>
      </c>
      <c r="E894" s="2">
        <v>-65.0</v>
      </c>
      <c r="F894" s="2">
        <v>0.0</v>
      </c>
      <c r="G894" s="2">
        <f t="shared" si="1"/>
        <v>-65</v>
      </c>
      <c r="H894" s="2" t="s">
        <v>47</v>
      </c>
      <c r="L894" s="2" t="s">
        <v>11</v>
      </c>
    </row>
    <row r="895" ht="12.75" customHeight="1">
      <c r="A895" s="2">
        <v>2014.0</v>
      </c>
      <c r="B895" s="2">
        <v>12.0</v>
      </c>
      <c r="C895" s="2">
        <v>10.0</v>
      </c>
      <c r="D895" s="2" t="s">
        <v>277</v>
      </c>
      <c r="E895" s="2">
        <v>-95.0</v>
      </c>
      <c r="F895" s="2">
        <v>0.0</v>
      </c>
      <c r="G895" s="2">
        <f t="shared" si="1"/>
        <v>-95</v>
      </c>
      <c r="H895" s="2" t="s">
        <v>38</v>
      </c>
      <c r="L895" s="2" t="s">
        <v>11</v>
      </c>
    </row>
    <row r="896" ht="12.75" customHeight="1">
      <c r="A896" s="2">
        <v>2014.0</v>
      </c>
      <c r="B896" s="2">
        <v>12.0</v>
      </c>
      <c r="C896" s="2">
        <v>10.0</v>
      </c>
      <c r="D896" s="2" t="s">
        <v>458</v>
      </c>
      <c r="E896" s="2">
        <v>-100.0</v>
      </c>
      <c r="F896" s="2">
        <v>0.0</v>
      </c>
      <c r="G896" s="2">
        <f t="shared" si="1"/>
        <v>-100</v>
      </c>
      <c r="H896" s="2" t="s">
        <v>13</v>
      </c>
      <c r="L896" s="2" t="s">
        <v>11</v>
      </c>
    </row>
    <row r="897" ht="12.75" customHeight="1">
      <c r="A897" s="2">
        <v>2014.0</v>
      </c>
      <c r="B897" s="2">
        <v>12.0</v>
      </c>
      <c r="C897" s="2">
        <v>9.0</v>
      </c>
      <c r="D897" s="2" t="s">
        <v>279</v>
      </c>
      <c r="E897" s="2">
        <v>-65.0</v>
      </c>
      <c r="F897" s="2">
        <v>0.0</v>
      </c>
      <c r="G897" s="2">
        <f t="shared" si="1"/>
        <v>-65</v>
      </c>
      <c r="H897" s="2" t="s">
        <v>47</v>
      </c>
      <c r="L897" s="2" t="s">
        <v>11</v>
      </c>
    </row>
    <row r="898" ht="12.75" customHeight="1">
      <c r="A898" s="2">
        <v>2014.0</v>
      </c>
      <c r="B898" s="2">
        <v>12.0</v>
      </c>
      <c r="C898" s="2">
        <v>8.0</v>
      </c>
      <c r="D898" s="2" t="s">
        <v>279</v>
      </c>
      <c r="E898" s="2">
        <v>-65.0</v>
      </c>
      <c r="F898" s="2">
        <v>0.0</v>
      </c>
      <c r="G898" s="2">
        <f t="shared" si="1"/>
        <v>-65</v>
      </c>
      <c r="H898" s="2" t="s">
        <v>47</v>
      </c>
      <c r="L898" s="2" t="s">
        <v>11</v>
      </c>
    </row>
    <row r="899" ht="12.75" customHeight="1">
      <c r="A899" s="2">
        <v>2014.0</v>
      </c>
      <c r="B899" s="2">
        <v>12.0</v>
      </c>
      <c r="C899" s="2">
        <v>3.0</v>
      </c>
      <c r="D899" s="2" t="s">
        <v>425</v>
      </c>
      <c r="E899" s="2">
        <v>-8.9</v>
      </c>
      <c r="F899" s="2">
        <v>0.0</v>
      </c>
      <c r="G899" s="2">
        <f t="shared" si="1"/>
        <v>-8.9</v>
      </c>
      <c r="H899" s="2" t="s">
        <v>54</v>
      </c>
      <c r="L899" s="2" t="s">
        <v>11</v>
      </c>
    </row>
    <row r="900" ht="12.75" customHeight="1">
      <c r="A900" s="2">
        <v>2014.0</v>
      </c>
      <c r="B900" s="2">
        <v>12.0</v>
      </c>
      <c r="C900" s="2">
        <v>3.0</v>
      </c>
      <c r="D900" s="2" t="s">
        <v>70</v>
      </c>
      <c r="E900" s="2">
        <v>23.0</v>
      </c>
      <c r="F900" s="2">
        <v>0.0</v>
      </c>
      <c r="G900" s="2">
        <f t="shared" si="1"/>
        <v>23</v>
      </c>
      <c r="H900" s="2" t="s">
        <v>54</v>
      </c>
      <c r="L900" s="2" t="s">
        <v>11</v>
      </c>
    </row>
    <row r="901" ht="12.75" customHeight="1">
      <c r="A901" s="2">
        <v>2014.0</v>
      </c>
      <c r="B901" s="2">
        <v>12.0</v>
      </c>
      <c r="C901" s="2">
        <v>2.0</v>
      </c>
      <c r="D901" s="2" t="s">
        <v>427</v>
      </c>
      <c r="E901" s="2">
        <v>-469.0</v>
      </c>
      <c r="F901" s="2">
        <v>0.0</v>
      </c>
      <c r="G901" s="2">
        <f t="shared" si="1"/>
        <v>-469</v>
      </c>
      <c r="H901" s="2" t="s">
        <v>428</v>
      </c>
      <c r="L901" s="2" t="s">
        <v>11</v>
      </c>
    </row>
    <row r="902" ht="12.75" customHeight="1">
      <c r="A902" s="2">
        <v>2014.0</v>
      </c>
      <c r="B902" s="2">
        <v>12.0</v>
      </c>
      <c r="C902" s="2">
        <v>1.0</v>
      </c>
      <c r="D902" s="2" t="s">
        <v>279</v>
      </c>
      <c r="E902" s="2">
        <v>-65.0</v>
      </c>
      <c r="F902" s="2">
        <v>0.0</v>
      </c>
      <c r="G902" s="2">
        <f t="shared" si="1"/>
        <v>-65</v>
      </c>
      <c r="H902" s="2" t="s">
        <v>47</v>
      </c>
      <c r="L902" s="2" t="s">
        <v>11</v>
      </c>
    </row>
    <row r="903" ht="12.75" customHeight="1">
      <c r="A903" s="2">
        <v>2014.0</v>
      </c>
      <c r="B903" s="2">
        <v>12.0</v>
      </c>
      <c r="C903" s="2">
        <v>1.0</v>
      </c>
      <c r="D903" s="2" t="s">
        <v>70</v>
      </c>
      <c r="E903" s="2">
        <v>625.0</v>
      </c>
      <c r="F903" s="2">
        <v>0.0</v>
      </c>
      <c r="G903" s="2">
        <f t="shared" si="1"/>
        <v>625</v>
      </c>
      <c r="H903" s="2" t="s">
        <v>210</v>
      </c>
      <c r="L903" s="2" t="s">
        <v>11</v>
      </c>
    </row>
    <row r="904" ht="12.75" customHeight="1">
      <c r="A904" s="2">
        <v>2014.0</v>
      </c>
      <c r="B904" s="2">
        <v>12.0</v>
      </c>
      <c r="C904" s="2">
        <v>1.0</v>
      </c>
      <c r="D904" s="2" t="s">
        <v>349</v>
      </c>
      <c r="E904" s="2">
        <v>-104.0</v>
      </c>
      <c r="F904" s="2">
        <v>0.0</v>
      </c>
      <c r="G904" s="2">
        <f t="shared" si="1"/>
        <v>-104</v>
      </c>
      <c r="H904" s="2" t="s">
        <v>42</v>
      </c>
      <c r="L904" s="2" t="s">
        <v>11</v>
      </c>
    </row>
    <row r="905" ht="12.75" customHeight="1">
      <c r="A905" s="2">
        <v>2014.0</v>
      </c>
      <c r="B905" s="2">
        <v>12.0</v>
      </c>
      <c r="C905" s="2">
        <v>1.0</v>
      </c>
      <c r="D905" s="2" t="s">
        <v>157</v>
      </c>
      <c r="E905" s="2">
        <v>-130.0</v>
      </c>
      <c r="F905" s="2">
        <v>0.0</v>
      </c>
      <c r="G905" s="2">
        <f t="shared" si="1"/>
        <v>-130</v>
      </c>
      <c r="H905" s="2" t="s">
        <v>17</v>
      </c>
      <c r="L905" s="2" t="s">
        <v>11</v>
      </c>
    </row>
    <row r="906" ht="12.75" customHeight="1">
      <c r="A906" s="2">
        <v>2014.0</v>
      </c>
      <c r="B906" s="2">
        <v>12.0</v>
      </c>
      <c r="C906" s="2">
        <v>1.0</v>
      </c>
      <c r="D906" s="2" t="s">
        <v>73</v>
      </c>
      <c r="E906" s="2">
        <v>-4569.0</v>
      </c>
      <c r="F906" s="2">
        <v>0.0</v>
      </c>
      <c r="G906" s="2">
        <f t="shared" si="1"/>
        <v>-4569</v>
      </c>
      <c r="H906" s="2" t="s">
        <v>10</v>
      </c>
      <c r="L906" s="2" t="s">
        <v>11</v>
      </c>
    </row>
    <row r="907" ht="12.75" customHeight="1">
      <c r="A907" s="2">
        <v>2014.0</v>
      </c>
      <c r="B907" s="2">
        <v>12.0</v>
      </c>
      <c r="C907" s="2">
        <v>1.0</v>
      </c>
      <c r="D907" s="2" t="s">
        <v>73</v>
      </c>
      <c r="E907" s="2">
        <v>-3665.0</v>
      </c>
      <c r="F907" s="2">
        <v>0.0</v>
      </c>
      <c r="G907" s="2">
        <f t="shared" si="1"/>
        <v>-3665</v>
      </c>
      <c r="H907" s="2" t="s">
        <v>10</v>
      </c>
      <c r="L907" s="2" t="s">
        <v>11</v>
      </c>
    </row>
    <row r="908" ht="12.75" customHeight="1">
      <c r="A908" s="2">
        <v>2014.0</v>
      </c>
      <c r="B908" s="2">
        <v>12.0</v>
      </c>
      <c r="C908" s="2">
        <v>1.0</v>
      </c>
      <c r="D908" s="2" t="s">
        <v>459</v>
      </c>
      <c r="E908" s="2">
        <v>700.0</v>
      </c>
      <c r="F908" s="2">
        <v>0.0</v>
      </c>
      <c r="G908" s="2">
        <f t="shared" si="1"/>
        <v>700</v>
      </c>
      <c r="H908" s="2" t="s">
        <v>210</v>
      </c>
      <c r="L908" s="2" t="s">
        <v>11</v>
      </c>
    </row>
    <row r="909" ht="12.75" customHeight="1">
      <c r="A909" s="2">
        <v>2014.0</v>
      </c>
      <c r="B909" s="2">
        <v>11.0</v>
      </c>
      <c r="C909" s="2">
        <v>30.0</v>
      </c>
      <c r="D909" s="2">
        <v>4.7516877E7</v>
      </c>
      <c r="E909" s="2">
        <v>1000.0</v>
      </c>
      <c r="F909" s="2">
        <v>0.0</v>
      </c>
      <c r="G909" s="2">
        <f t="shared" si="1"/>
        <v>1000</v>
      </c>
      <c r="H909" s="2" t="s">
        <v>18</v>
      </c>
      <c r="L909" s="2" t="s">
        <v>11</v>
      </c>
    </row>
    <row r="910" ht="12.75" customHeight="1">
      <c r="A910" s="2">
        <v>2014.0</v>
      </c>
      <c r="B910" s="2">
        <v>11.0</v>
      </c>
      <c r="C910" s="2">
        <v>29.0</v>
      </c>
      <c r="D910" s="2" t="s">
        <v>460</v>
      </c>
      <c r="E910" s="2">
        <v>-2500.0</v>
      </c>
      <c r="F910" s="2">
        <v>0.0</v>
      </c>
      <c r="G910" s="2">
        <f t="shared" si="1"/>
        <v>-2500</v>
      </c>
      <c r="H910" s="2" t="s">
        <v>210</v>
      </c>
      <c r="L910" s="2" t="s">
        <v>11</v>
      </c>
    </row>
    <row r="911" ht="12.75" customHeight="1">
      <c r="A911" s="2">
        <v>2014.0</v>
      </c>
      <c r="B911" s="2">
        <v>11.0</v>
      </c>
      <c r="C911" s="2">
        <v>29.0</v>
      </c>
      <c r="D911" s="2" t="s">
        <v>461</v>
      </c>
      <c r="E911" s="2">
        <v>-90.0</v>
      </c>
      <c r="F911" s="2">
        <v>0.0</v>
      </c>
      <c r="G911" s="2">
        <f t="shared" si="1"/>
        <v>-90</v>
      </c>
      <c r="H911" s="2" t="s">
        <v>47</v>
      </c>
      <c r="L911" s="2" t="s">
        <v>11</v>
      </c>
    </row>
    <row r="912" ht="12.75" customHeight="1">
      <c r="A912" s="2">
        <v>2014.0</v>
      </c>
      <c r="B912" s="2">
        <v>11.0</v>
      </c>
      <c r="C912" s="2">
        <v>29.0</v>
      </c>
      <c r="D912" s="2" t="s">
        <v>461</v>
      </c>
      <c r="E912" s="2">
        <v>-1100.0</v>
      </c>
      <c r="F912" s="2">
        <v>0.0</v>
      </c>
      <c r="G912" s="2">
        <f t="shared" si="1"/>
        <v>-1100</v>
      </c>
      <c r="H912" s="2" t="s">
        <v>47</v>
      </c>
      <c r="L912" s="2" t="s">
        <v>11</v>
      </c>
    </row>
    <row r="913" ht="12.75" customHeight="1">
      <c r="A913" s="2">
        <v>2014.0</v>
      </c>
      <c r="B913" s="2">
        <v>11.0</v>
      </c>
      <c r="C913" s="2">
        <v>29.0</v>
      </c>
      <c r="D913" s="2" t="s">
        <v>462</v>
      </c>
      <c r="E913" s="2">
        <v>-104.0</v>
      </c>
      <c r="F913" s="2">
        <v>0.0</v>
      </c>
      <c r="G913" s="2">
        <f t="shared" si="1"/>
        <v>-104</v>
      </c>
      <c r="H913" s="2" t="s">
        <v>42</v>
      </c>
      <c r="L913" s="2" t="s">
        <v>11</v>
      </c>
    </row>
    <row r="914" ht="12.75" customHeight="1">
      <c r="A914" s="2">
        <v>2014.0</v>
      </c>
      <c r="B914" s="2">
        <v>11.0</v>
      </c>
      <c r="C914" s="2">
        <v>29.0</v>
      </c>
      <c r="D914" s="2" t="s">
        <v>463</v>
      </c>
      <c r="E914" s="2">
        <v>625.0</v>
      </c>
      <c r="F914" s="2">
        <v>0.0</v>
      </c>
      <c r="G914" s="2">
        <f t="shared" si="1"/>
        <v>625</v>
      </c>
      <c r="H914" s="2" t="s">
        <v>210</v>
      </c>
      <c r="L914" s="2" t="s">
        <v>11</v>
      </c>
    </row>
    <row r="915" ht="12.75" customHeight="1">
      <c r="A915" s="2">
        <v>2014.0</v>
      </c>
      <c r="B915" s="2">
        <v>11.0</v>
      </c>
      <c r="C915" s="2">
        <v>28.0</v>
      </c>
      <c r="D915" s="2" t="s">
        <v>25</v>
      </c>
      <c r="E915" s="2">
        <v>-100.0</v>
      </c>
      <c r="F915" s="2">
        <v>0.0</v>
      </c>
      <c r="G915" s="2">
        <f t="shared" si="1"/>
        <v>-100</v>
      </c>
      <c r="H915" s="2" t="s">
        <v>26</v>
      </c>
      <c r="L915" s="2" t="s">
        <v>11</v>
      </c>
    </row>
    <row r="916" ht="12.75" customHeight="1">
      <c r="A916" s="2">
        <v>2014.0</v>
      </c>
      <c r="B916" s="2">
        <v>11.0</v>
      </c>
      <c r="C916" s="2">
        <v>28.0</v>
      </c>
      <c r="D916" s="2" t="s">
        <v>464</v>
      </c>
      <c r="E916" s="2">
        <v>-84.0</v>
      </c>
      <c r="F916" s="2">
        <v>0.0</v>
      </c>
      <c r="G916" s="2">
        <f t="shared" si="1"/>
        <v>-84</v>
      </c>
      <c r="H916" s="2" t="s">
        <v>47</v>
      </c>
      <c r="L916" s="2" t="s">
        <v>11</v>
      </c>
    </row>
    <row r="917" ht="12.75" customHeight="1">
      <c r="A917" s="2">
        <v>2014.0</v>
      </c>
      <c r="B917" s="2">
        <v>11.0</v>
      </c>
      <c r="C917" s="2">
        <v>28.0</v>
      </c>
      <c r="D917" s="2" t="s">
        <v>12</v>
      </c>
      <c r="E917" s="2">
        <v>-11190.49</v>
      </c>
      <c r="F917" s="2">
        <v>0.0</v>
      </c>
      <c r="G917" s="2">
        <f t="shared" si="1"/>
        <v>-11190.49</v>
      </c>
      <c r="H917" s="2" t="s">
        <v>227</v>
      </c>
      <c r="L917" s="2" t="s">
        <v>228</v>
      </c>
    </row>
    <row r="918" ht="12.75" customHeight="1">
      <c r="A918" s="2">
        <v>2014.0</v>
      </c>
      <c r="B918" s="2">
        <v>11.0</v>
      </c>
      <c r="C918" s="2">
        <v>28.0</v>
      </c>
      <c r="D918" s="2" t="s">
        <v>14</v>
      </c>
      <c r="E918" s="2">
        <v>-4007.0</v>
      </c>
      <c r="F918" s="2">
        <v>0.0</v>
      </c>
      <c r="G918" s="2">
        <f t="shared" si="1"/>
        <v>-4007</v>
      </c>
      <c r="H918" s="2" t="s">
        <v>10</v>
      </c>
      <c r="L918" s="2" t="s">
        <v>11</v>
      </c>
    </row>
    <row r="919" ht="12.75" customHeight="1">
      <c r="A919" s="2">
        <v>2014.0</v>
      </c>
      <c r="B919" s="2">
        <v>11.0</v>
      </c>
      <c r="C919" s="2">
        <v>28.0</v>
      </c>
      <c r="D919" s="2" t="s">
        <v>15</v>
      </c>
      <c r="E919" s="2">
        <v>-207.8</v>
      </c>
      <c r="F919" s="2">
        <v>0.0</v>
      </c>
      <c r="G919" s="2">
        <f t="shared" si="1"/>
        <v>-207.8</v>
      </c>
      <c r="H919" s="2" t="s">
        <v>10</v>
      </c>
      <c r="L919" s="2" t="s">
        <v>11</v>
      </c>
    </row>
    <row r="920" ht="12.75" customHeight="1">
      <c r="A920" s="2">
        <v>2014.0</v>
      </c>
      <c r="B920" s="2">
        <v>11.0</v>
      </c>
      <c r="C920" s="2">
        <v>28.0</v>
      </c>
      <c r="D920" s="2" t="s">
        <v>75</v>
      </c>
      <c r="E920" s="2">
        <v>-3032.0</v>
      </c>
      <c r="F920" s="2">
        <v>0.0</v>
      </c>
      <c r="G920" s="2">
        <f t="shared" si="1"/>
        <v>-3032</v>
      </c>
      <c r="H920" s="2" t="s">
        <v>76</v>
      </c>
      <c r="L920" s="2" t="s">
        <v>11</v>
      </c>
    </row>
    <row r="921" ht="12.75" customHeight="1">
      <c r="A921" s="2">
        <v>2014.0</v>
      </c>
      <c r="B921" s="2">
        <v>11.0</v>
      </c>
      <c r="C921" s="2">
        <v>27.0</v>
      </c>
      <c r="D921" s="2" t="s">
        <v>465</v>
      </c>
      <c r="E921" s="2">
        <v>-60.0</v>
      </c>
      <c r="F921" s="2">
        <v>0.0</v>
      </c>
      <c r="G921" s="2">
        <f t="shared" si="1"/>
        <v>-60</v>
      </c>
      <c r="H921" s="2" t="s">
        <v>47</v>
      </c>
      <c r="L921" s="2" t="s">
        <v>11</v>
      </c>
    </row>
    <row r="922" ht="12.75" customHeight="1">
      <c r="A922" s="2">
        <v>2014.0</v>
      </c>
      <c r="B922" s="2">
        <v>11.0</v>
      </c>
      <c r="C922" s="2">
        <v>27.0</v>
      </c>
      <c r="D922" s="2" t="s">
        <v>382</v>
      </c>
      <c r="E922" s="2">
        <v>-299.0</v>
      </c>
      <c r="F922" s="2">
        <v>0.0</v>
      </c>
      <c r="G922" s="2">
        <f t="shared" si="1"/>
        <v>-299</v>
      </c>
      <c r="H922" s="2" t="s">
        <v>22</v>
      </c>
      <c r="L922" s="2" t="s">
        <v>11</v>
      </c>
    </row>
    <row r="923" ht="12.75" customHeight="1">
      <c r="A923" s="2">
        <v>2014.0</v>
      </c>
      <c r="B923" s="2">
        <v>11.0</v>
      </c>
      <c r="C923" s="2">
        <v>27.0</v>
      </c>
      <c r="D923" s="2" t="s">
        <v>19</v>
      </c>
      <c r="E923" s="2">
        <v>-320.0</v>
      </c>
      <c r="F923" s="2">
        <v>0.0</v>
      </c>
      <c r="G923" s="2">
        <f t="shared" si="1"/>
        <v>-320</v>
      </c>
      <c r="H923" s="2" t="s">
        <v>20</v>
      </c>
      <c r="L923" s="2" t="s">
        <v>11</v>
      </c>
    </row>
    <row r="924" ht="12.75" customHeight="1">
      <c r="A924" s="2">
        <v>2014.0</v>
      </c>
      <c r="B924" s="2">
        <v>11.0</v>
      </c>
      <c r="C924" s="2">
        <v>27.0</v>
      </c>
      <c r="D924" s="2" t="s">
        <v>23</v>
      </c>
      <c r="E924" s="2">
        <v>-285.0</v>
      </c>
      <c r="F924" s="2">
        <v>0.0</v>
      </c>
      <c r="G924" s="2">
        <f t="shared" si="1"/>
        <v>-285</v>
      </c>
      <c r="H924" s="2" t="s">
        <v>24</v>
      </c>
      <c r="L924" s="2" t="s">
        <v>11</v>
      </c>
    </row>
    <row r="925" ht="12.75" customHeight="1">
      <c r="A925" s="2">
        <v>2014.0</v>
      </c>
      <c r="B925" s="2">
        <v>11.0</v>
      </c>
      <c r="C925" s="2">
        <v>26.0</v>
      </c>
      <c r="D925" s="2" t="s">
        <v>465</v>
      </c>
      <c r="E925" s="2">
        <v>-60.0</v>
      </c>
      <c r="F925" s="2">
        <v>0.0</v>
      </c>
      <c r="G925" s="2">
        <f t="shared" si="1"/>
        <v>-60</v>
      </c>
      <c r="H925" s="2" t="s">
        <v>47</v>
      </c>
      <c r="L925" s="2" t="s">
        <v>11</v>
      </c>
    </row>
    <row r="926" ht="12.75" customHeight="1">
      <c r="A926" s="2">
        <v>2014.0</v>
      </c>
      <c r="B926" s="2">
        <v>11.0</v>
      </c>
      <c r="C926" s="2">
        <v>26.0</v>
      </c>
      <c r="D926" s="2" t="s">
        <v>466</v>
      </c>
      <c r="E926" s="2">
        <v>-67.0</v>
      </c>
      <c r="F926" s="2">
        <v>0.0</v>
      </c>
      <c r="G926" s="2">
        <f t="shared" si="1"/>
        <v>-67</v>
      </c>
      <c r="H926" s="2" t="s">
        <v>42</v>
      </c>
      <c r="L926" s="2" t="s">
        <v>11</v>
      </c>
    </row>
    <row r="927" ht="12.75" customHeight="1">
      <c r="A927" s="2">
        <v>2014.0</v>
      </c>
      <c r="B927" s="2">
        <v>11.0</v>
      </c>
      <c r="C927" s="2">
        <v>26.0</v>
      </c>
      <c r="D927" s="2" t="s">
        <v>29</v>
      </c>
      <c r="E927" s="2">
        <v>-1250.0</v>
      </c>
      <c r="F927" s="2">
        <v>0.0</v>
      </c>
      <c r="G927" s="2">
        <f t="shared" si="1"/>
        <v>-1250</v>
      </c>
      <c r="H927" s="2" t="s">
        <v>18</v>
      </c>
      <c r="L927" s="2" t="s">
        <v>11</v>
      </c>
    </row>
    <row r="928" ht="12.75" customHeight="1">
      <c r="A928" s="2">
        <v>2014.0</v>
      </c>
      <c r="B928" s="2">
        <v>11.0</v>
      </c>
      <c r="C928" s="2">
        <v>26.0</v>
      </c>
      <c r="D928" s="2" t="s">
        <v>467</v>
      </c>
      <c r="E928" s="2">
        <v>-800.0</v>
      </c>
      <c r="F928" s="2">
        <v>0.0</v>
      </c>
      <c r="G928" s="2">
        <f t="shared" si="1"/>
        <v>-800</v>
      </c>
      <c r="H928" s="2" t="s">
        <v>38</v>
      </c>
      <c r="L928" s="2" t="s">
        <v>11</v>
      </c>
    </row>
    <row r="929" ht="12.75" customHeight="1">
      <c r="A929" s="2">
        <v>2014.0</v>
      </c>
      <c r="B929" s="2">
        <v>11.0</v>
      </c>
      <c r="C929" s="2">
        <v>25.0</v>
      </c>
      <c r="D929" s="2" t="s">
        <v>465</v>
      </c>
      <c r="E929" s="2">
        <v>-60.0</v>
      </c>
      <c r="F929" s="2">
        <v>0.0</v>
      </c>
      <c r="G929" s="2">
        <f t="shared" si="1"/>
        <v>-60</v>
      </c>
      <c r="H929" s="2" t="s">
        <v>47</v>
      </c>
      <c r="L929" s="2" t="s">
        <v>11</v>
      </c>
    </row>
    <row r="930" ht="12.75" customHeight="1">
      <c r="A930" s="2">
        <v>2014.0</v>
      </c>
      <c r="B930" s="2">
        <v>11.0</v>
      </c>
      <c r="C930" s="2">
        <v>25.0</v>
      </c>
      <c r="D930" s="2" t="s">
        <v>27</v>
      </c>
      <c r="E930" s="2">
        <v>-5000.0</v>
      </c>
      <c r="F930" s="2">
        <v>0.0</v>
      </c>
      <c r="G930" s="2">
        <f t="shared" si="1"/>
        <v>-5000</v>
      </c>
      <c r="H930" s="2" t="s">
        <v>227</v>
      </c>
      <c r="L930" s="2" t="s">
        <v>11</v>
      </c>
    </row>
    <row r="931" ht="12.75" customHeight="1">
      <c r="A931" s="2">
        <v>2014.0</v>
      </c>
      <c r="B931" s="2">
        <v>11.0</v>
      </c>
      <c r="C931" s="2">
        <v>25.0</v>
      </c>
      <c r="D931" s="2" t="s">
        <v>27</v>
      </c>
      <c r="E931" s="2">
        <v>5000.0</v>
      </c>
      <c r="F931" s="2">
        <v>0.0</v>
      </c>
      <c r="G931" s="2">
        <f t="shared" si="1"/>
        <v>5000</v>
      </c>
      <c r="H931" s="2" t="s">
        <v>227</v>
      </c>
      <c r="L931" s="2" t="s">
        <v>11</v>
      </c>
    </row>
    <row r="932" ht="12.75" customHeight="1">
      <c r="A932" s="2">
        <v>2014.0</v>
      </c>
      <c r="B932" s="2">
        <v>11.0</v>
      </c>
      <c r="C932" s="2">
        <v>23.0</v>
      </c>
      <c r="D932" s="2" t="s">
        <v>468</v>
      </c>
      <c r="E932" s="2">
        <v>-69.0</v>
      </c>
      <c r="F932" s="2">
        <v>0.0</v>
      </c>
      <c r="G932" s="2">
        <f t="shared" si="1"/>
        <v>-69</v>
      </c>
      <c r="H932" s="2" t="s">
        <v>52</v>
      </c>
      <c r="L932" s="2" t="s">
        <v>11</v>
      </c>
    </row>
    <row r="933" ht="12.75" customHeight="1">
      <c r="A933" s="2">
        <v>2014.0</v>
      </c>
      <c r="B933" s="2">
        <v>11.0</v>
      </c>
      <c r="C933" s="2">
        <v>23.0</v>
      </c>
      <c r="D933" s="2" t="s">
        <v>468</v>
      </c>
      <c r="E933" s="2">
        <v>-58.0</v>
      </c>
      <c r="F933" s="2">
        <v>0.0</v>
      </c>
      <c r="G933" s="2">
        <f t="shared" si="1"/>
        <v>-58</v>
      </c>
      <c r="H933" s="2" t="s">
        <v>52</v>
      </c>
      <c r="L933" s="2" t="s">
        <v>11</v>
      </c>
    </row>
    <row r="934" ht="12.75" customHeight="1">
      <c r="A934" s="2">
        <v>2014.0</v>
      </c>
      <c r="B934" s="2">
        <v>11.0</v>
      </c>
      <c r="C934" s="2">
        <v>23.0</v>
      </c>
      <c r="D934" s="2" t="s">
        <v>468</v>
      </c>
      <c r="E934" s="2">
        <v>-165.0</v>
      </c>
      <c r="F934" s="2">
        <v>0.0</v>
      </c>
      <c r="G934" s="2">
        <f t="shared" si="1"/>
        <v>-165</v>
      </c>
      <c r="H934" s="2" t="s">
        <v>52</v>
      </c>
      <c r="L934" s="2" t="s">
        <v>11</v>
      </c>
    </row>
    <row r="935" ht="12.75" customHeight="1">
      <c r="A935" s="2">
        <v>2014.0</v>
      </c>
      <c r="B935" s="2">
        <v>11.0</v>
      </c>
      <c r="C935" s="2">
        <v>23.0</v>
      </c>
      <c r="D935" s="2" t="s">
        <v>468</v>
      </c>
      <c r="E935" s="2">
        <v>-161.0</v>
      </c>
      <c r="F935" s="2">
        <v>0.0</v>
      </c>
      <c r="G935" s="2">
        <f t="shared" si="1"/>
        <v>-161</v>
      </c>
      <c r="H935" s="2" t="s">
        <v>52</v>
      </c>
      <c r="L935" s="2" t="s">
        <v>11</v>
      </c>
    </row>
    <row r="936" ht="12.75" customHeight="1">
      <c r="A936" s="2">
        <v>2014.0</v>
      </c>
      <c r="B936" s="2">
        <v>11.0</v>
      </c>
      <c r="C936" s="2">
        <v>23.0</v>
      </c>
      <c r="D936" s="2" t="s">
        <v>468</v>
      </c>
      <c r="E936" s="2">
        <v>-120.0</v>
      </c>
      <c r="F936" s="2">
        <v>0.0</v>
      </c>
      <c r="G936" s="2">
        <f t="shared" si="1"/>
        <v>-120</v>
      </c>
      <c r="H936" s="2" t="s">
        <v>52</v>
      </c>
      <c r="L936" s="2" t="s">
        <v>11</v>
      </c>
    </row>
    <row r="937" ht="12.75" customHeight="1">
      <c r="A937" s="2">
        <v>2014.0</v>
      </c>
      <c r="B937" s="2">
        <v>11.0</v>
      </c>
      <c r="C937" s="2">
        <v>23.0</v>
      </c>
      <c r="D937" s="2" t="s">
        <v>469</v>
      </c>
      <c r="E937" s="2">
        <v>-254.0</v>
      </c>
      <c r="F937" s="2">
        <v>0.0</v>
      </c>
      <c r="G937" s="2">
        <f t="shared" si="1"/>
        <v>-254</v>
      </c>
      <c r="H937" s="2" t="s">
        <v>52</v>
      </c>
      <c r="L937" s="2" t="s">
        <v>11</v>
      </c>
    </row>
    <row r="938" ht="12.75" customHeight="1">
      <c r="A938" s="2">
        <v>2014.0</v>
      </c>
      <c r="B938" s="2">
        <v>11.0</v>
      </c>
      <c r="C938" s="2">
        <v>23.0</v>
      </c>
      <c r="D938" s="2" t="s">
        <v>470</v>
      </c>
      <c r="E938" s="2">
        <v>-215.0</v>
      </c>
      <c r="F938" s="2">
        <v>0.0</v>
      </c>
      <c r="G938" s="2">
        <f t="shared" si="1"/>
        <v>-215</v>
      </c>
      <c r="H938" s="2" t="s">
        <v>35</v>
      </c>
      <c r="L938" s="2" t="s">
        <v>11</v>
      </c>
    </row>
    <row r="939" ht="12.75" customHeight="1">
      <c r="A939" s="2">
        <v>2014.0</v>
      </c>
      <c r="B939" s="2">
        <v>11.0</v>
      </c>
      <c r="C939" s="2">
        <v>23.0</v>
      </c>
      <c r="D939" s="2" t="s">
        <v>471</v>
      </c>
      <c r="E939" s="2">
        <v>-134.0</v>
      </c>
      <c r="F939" s="2">
        <v>0.0</v>
      </c>
      <c r="G939" s="2">
        <f t="shared" si="1"/>
        <v>-134</v>
      </c>
      <c r="H939" s="2" t="s">
        <v>35</v>
      </c>
      <c r="L939" s="2" t="s">
        <v>11</v>
      </c>
    </row>
    <row r="940" ht="12.75" customHeight="1">
      <c r="A940" s="2">
        <v>2014.0</v>
      </c>
      <c r="B940" s="2">
        <v>11.0</v>
      </c>
      <c r="C940" s="2">
        <v>23.0</v>
      </c>
      <c r="D940" s="2" t="s">
        <v>472</v>
      </c>
      <c r="E940" s="2">
        <v>-2000.0</v>
      </c>
      <c r="F940" s="2">
        <v>0.0</v>
      </c>
      <c r="G940" s="2">
        <f t="shared" si="1"/>
        <v>-2000</v>
      </c>
      <c r="H940" s="2" t="s">
        <v>35</v>
      </c>
      <c r="L940" s="2" t="s">
        <v>11</v>
      </c>
    </row>
    <row r="941" ht="12.75" customHeight="1">
      <c r="A941" s="2">
        <v>2014.0</v>
      </c>
      <c r="B941" s="2">
        <v>11.0</v>
      </c>
      <c r="C941" s="2">
        <v>23.0</v>
      </c>
      <c r="D941" s="2" t="s">
        <v>473</v>
      </c>
      <c r="E941" s="2">
        <v>-1000.0</v>
      </c>
      <c r="F941" s="2">
        <v>0.0</v>
      </c>
      <c r="G941" s="2">
        <f t="shared" si="1"/>
        <v>-1000</v>
      </c>
      <c r="H941" s="2" t="s">
        <v>35</v>
      </c>
      <c r="L941" s="2" t="s">
        <v>11</v>
      </c>
    </row>
    <row r="942" ht="12.75" customHeight="1">
      <c r="A942" s="2">
        <v>2014.0</v>
      </c>
      <c r="B942" s="2">
        <v>11.0</v>
      </c>
      <c r="C942" s="2">
        <v>22.0</v>
      </c>
      <c r="D942" s="2" t="s">
        <v>474</v>
      </c>
      <c r="E942" s="2">
        <v>-62.0</v>
      </c>
      <c r="F942" s="2">
        <v>0.0</v>
      </c>
      <c r="G942" s="2">
        <f t="shared" si="1"/>
        <v>-62</v>
      </c>
      <c r="H942" s="2" t="s">
        <v>52</v>
      </c>
      <c r="L942" s="2" t="s">
        <v>11</v>
      </c>
    </row>
    <row r="943" ht="12.75" customHeight="1">
      <c r="A943" s="2">
        <v>2014.0</v>
      </c>
      <c r="B943" s="2">
        <v>11.0</v>
      </c>
      <c r="C943" s="2">
        <v>22.0</v>
      </c>
      <c r="D943" s="2" t="s">
        <v>475</v>
      </c>
      <c r="E943" s="2">
        <v>-54.0</v>
      </c>
      <c r="F943" s="2">
        <v>0.0</v>
      </c>
      <c r="G943" s="2">
        <f t="shared" si="1"/>
        <v>-54</v>
      </c>
      <c r="H943" s="2" t="s">
        <v>47</v>
      </c>
      <c r="L943" s="2" t="s">
        <v>11</v>
      </c>
    </row>
    <row r="944" ht="12.75" customHeight="1">
      <c r="A944" s="2">
        <v>2014.0</v>
      </c>
      <c r="B944" s="2">
        <v>11.0</v>
      </c>
      <c r="C944" s="2">
        <v>22.0</v>
      </c>
      <c r="D944" s="2" t="s">
        <v>475</v>
      </c>
      <c r="E944" s="2">
        <v>-107.0</v>
      </c>
      <c r="F944" s="2">
        <v>0.0</v>
      </c>
      <c r="G944" s="2">
        <f t="shared" si="1"/>
        <v>-107</v>
      </c>
      <c r="H944" s="2" t="s">
        <v>52</v>
      </c>
      <c r="L944" s="2" t="s">
        <v>11</v>
      </c>
    </row>
    <row r="945" ht="12.75" customHeight="1">
      <c r="A945" s="2">
        <v>2014.0</v>
      </c>
      <c r="B945" s="2">
        <v>11.0</v>
      </c>
      <c r="C945" s="2">
        <v>22.0</v>
      </c>
      <c r="D945" s="2" t="s">
        <v>476</v>
      </c>
      <c r="E945" s="2">
        <v>-1200.0</v>
      </c>
      <c r="F945" s="2">
        <v>0.0</v>
      </c>
      <c r="G945" s="2">
        <f t="shared" si="1"/>
        <v>-1200</v>
      </c>
      <c r="H945" s="2" t="s">
        <v>52</v>
      </c>
      <c r="L945" s="2" t="s">
        <v>11</v>
      </c>
    </row>
    <row r="946" ht="12.75" customHeight="1">
      <c r="A946" s="2">
        <v>2014.0</v>
      </c>
      <c r="B946" s="2">
        <v>11.0</v>
      </c>
      <c r="C946" s="2">
        <v>22.0</v>
      </c>
      <c r="D946" s="2" t="s">
        <v>477</v>
      </c>
      <c r="E946" s="2">
        <v>-60.0</v>
      </c>
      <c r="F946" s="2">
        <v>0.0</v>
      </c>
      <c r="G946" s="2">
        <f t="shared" si="1"/>
        <v>-60</v>
      </c>
      <c r="H946" s="2" t="s">
        <v>52</v>
      </c>
      <c r="L946" s="2" t="s">
        <v>11</v>
      </c>
    </row>
    <row r="947" ht="12.75" customHeight="1">
      <c r="A947" s="2">
        <v>2014.0</v>
      </c>
      <c r="B947" s="2">
        <v>11.0</v>
      </c>
      <c r="C947" s="2">
        <v>22.0</v>
      </c>
      <c r="D947" s="2" t="s">
        <v>478</v>
      </c>
      <c r="E947" s="2">
        <v>-203.0</v>
      </c>
      <c r="F947" s="2">
        <v>0.0</v>
      </c>
      <c r="G947" s="2">
        <f t="shared" si="1"/>
        <v>-203</v>
      </c>
      <c r="H947" s="2" t="s">
        <v>52</v>
      </c>
      <c r="L947" s="2" t="s">
        <v>11</v>
      </c>
    </row>
    <row r="948" ht="12.75" customHeight="1">
      <c r="A948" s="2">
        <v>2014.0</v>
      </c>
      <c r="B948" s="2">
        <v>11.0</v>
      </c>
      <c r="C948" s="2">
        <v>22.0</v>
      </c>
      <c r="D948" s="2" t="s">
        <v>478</v>
      </c>
      <c r="E948" s="2">
        <v>-180.0</v>
      </c>
      <c r="F948" s="2">
        <v>0.0</v>
      </c>
      <c r="G948" s="2">
        <f t="shared" si="1"/>
        <v>-180</v>
      </c>
      <c r="H948" s="2" t="s">
        <v>52</v>
      </c>
      <c r="L948" s="2" t="s">
        <v>11</v>
      </c>
    </row>
    <row r="949" ht="12.75" customHeight="1">
      <c r="A949" s="2">
        <v>2014.0</v>
      </c>
      <c r="B949" s="2">
        <v>11.0</v>
      </c>
      <c r="C949" s="2">
        <v>22.0</v>
      </c>
      <c r="D949" s="2" t="s">
        <v>479</v>
      </c>
      <c r="E949" s="2">
        <v>-79.0</v>
      </c>
      <c r="F949" s="2">
        <v>0.0</v>
      </c>
      <c r="G949" s="2">
        <f t="shared" si="1"/>
        <v>-79</v>
      </c>
      <c r="H949" s="2" t="s">
        <v>42</v>
      </c>
      <c r="L949" s="2" t="s">
        <v>11</v>
      </c>
    </row>
    <row r="950" ht="12.75" customHeight="1">
      <c r="A950" s="2">
        <v>2014.0</v>
      </c>
      <c r="B950" s="2">
        <v>11.0</v>
      </c>
      <c r="C950" s="2">
        <v>21.0</v>
      </c>
      <c r="D950" s="2" t="s">
        <v>39</v>
      </c>
      <c r="E950" s="2">
        <v>29051.0</v>
      </c>
      <c r="F950" s="2">
        <v>0.0</v>
      </c>
      <c r="G950" s="2">
        <f t="shared" si="1"/>
        <v>29051</v>
      </c>
      <c r="H950" s="2" t="s">
        <v>40</v>
      </c>
      <c r="L950" s="2" t="s">
        <v>11</v>
      </c>
    </row>
    <row r="951" ht="12.75" customHeight="1">
      <c r="A951" s="2">
        <v>2014.0</v>
      </c>
      <c r="B951" s="2">
        <v>11.0</v>
      </c>
      <c r="C951" s="2">
        <v>20.0</v>
      </c>
      <c r="D951" s="2" t="s">
        <v>480</v>
      </c>
      <c r="E951" s="2">
        <v>-80.0</v>
      </c>
      <c r="F951" s="2">
        <v>0.0</v>
      </c>
      <c r="G951" s="2">
        <f t="shared" si="1"/>
        <v>-80</v>
      </c>
      <c r="H951" s="2" t="s">
        <v>38</v>
      </c>
      <c r="L951" s="2" t="s">
        <v>11</v>
      </c>
    </row>
    <row r="952" ht="12.75" customHeight="1">
      <c r="A952" s="2">
        <v>2014.0</v>
      </c>
      <c r="B952" s="2">
        <v>11.0</v>
      </c>
      <c r="C952" s="2">
        <v>19.0</v>
      </c>
      <c r="D952" s="2" t="s">
        <v>481</v>
      </c>
      <c r="E952" s="2">
        <v>-80.0</v>
      </c>
      <c r="F952" s="2">
        <v>0.0</v>
      </c>
      <c r="G952" s="2">
        <f t="shared" si="1"/>
        <v>-80</v>
      </c>
      <c r="H952" s="2" t="s">
        <v>52</v>
      </c>
      <c r="L952" s="2" t="s">
        <v>11</v>
      </c>
    </row>
    <row r="953" ht="12.75" customHeight="1">
      <c r="A953" s="2">
        <v>2014.0</v>
      </c>
      <c r="B953" s="2">
        <v>11.0</v>
      </c>
      <c r="C953" s="2">
        <v>19.0</v>
      </c>
      <c r="D953" s="2" t="s">
        <v>481</v>
      </c>
      <c r="E953" s="2">
        <v>-65.0</v>
      </c>
      <c r="F953" s="2">
        <v>0.0</v>
      </c>
      <c r="G953" s="2">
        <f t="shared" si="1"/>
        <v>-65</v>
      </c>
      <c r="H953" s="2" t="s">
        <v>52</v>
      </c>
      <c r="L953" s="2" t="s">
        <v>11</v>
      </c>
    </row>
    <row r="954" ht="12.75" customHeight="1">
      <c r="A954" s="2">
        <v>2014.0</v>
      </c>
      <c r="B954" s="2">
        <v>11.0</v>
      </c>
      <c r="C954" s="2">
        <v>17.0</v>
      </c>
      <c r="D954" s="2" t="s">
        <v>482</v>
      </c>
      <c r="E954" s="2">
        <v>-75.0</v>
      </c>
      <c r="F954" s="2">
        <v>0.0</v>
      </c>
      <c r="G954" s="2">
        <f t="shared" si="1"/>
        <v>-75</v>
      </c>
      <c r="H954" s="2" t="s">
        <v>38</v>
      </c>
      <c r="L954" s="2" t="s">
        <v>11</v>
      </c>
    </row>
    <row r="955" ht="12.75" customHeight="1">
      <c r="A955" s="2">
        <v>2014.0</v>
      </c>
      <c r="B955" s="2">
        <v>11.0</v>
      </c>
      <c r="C955" s="2">
        <v>16.0</v>
      </c>
      <c r="D955" s="2" t="s">
        <v>483</v>
      </c>
      <c r="E955" s="2">
        <v>-212.0</v>
      </c>
      <c r="F955" s="2">
        <v>0.0</v>
      </c>
      <c r="G955" s="2">
        <f t="shared" si="1"/>
        <v>-212</v>
      </c>
      <c r="H955" s="2" t="s">
        <v>47</v>
      </c>
      <c r="L955" s="2" t="s">
        <v>11</v>
      </c>
    </row>
    <row r="956" ht="12.75" customHeight="1">
      <c r="A956" s="2">
        <v>2014.0</v>
      </c>
      <c r="B956" s="2">
        <v>11.0</v>
      </c>
      <c r="C956" s="2">
        <v>15.0</v>
      </c>
      <c r="D956" s="2" t="s">
        <v>484</v>
      </c>
      <c r="E956" s="2">
        <v>-37.0</v>
      </c>
      <c r="F956" s="2">
        <v>0.0</v>
      </c>
      <c r="G956" s="2">
        <f t="shared" si="1"/>
        <v>-37</v>
      </c>
      <c r="H956" s="2" t="s">
        <v>47</v>
      </c>
      <c r="L956" s="2" t="s">
        <v>11</v>
      </c>
    </row>
    <row r="957" ht="12.75" customHeight="1">
      <c r="A957" s="2">
        <v>2014.0</v>
      </c>
      <c r="B957" s="2">
        <v>11.0</v>
      </c>
      <c r="C957" s="2">
        <v>15.0</v>
      </c>
      <c r="D957" s="2" t="s">
        <v>485</v>
      </c>
      <c r="E957" s="2">
        <v>-143.03</v>
      </c>
      <c r="F957" s="2">
        <v>0.0</v>
      </c>
      <c r="G957" s="2">
        <f t="shared" si="1"/>
        <v>-143.03</v>
      </c>
      <c r="H957" s="2" t="s">
        <v>47</v>
      </c>
      <c r="L957" s="2" t="s">
        <v>11</v>
      </c>
    </row>
    <row r="958" ht="12.75" customHeight="1">
      <c r="A958" s="2">
        <v>2014.0</v>
      </c>
      <c r="B958" s="2">
        <v>11.0</v>
      </c>
      <c r="C958" s="2">
        <v>15.0</v>
      </c>
      <c r="D958" s="2" t="s">
        <v>486</v>
      </c>
      <c r="E958" s="2">
        <v>-56.0</v>
      </c>
      <c r="F958" s="2">
        <v>0.0</v>
      </c>
      <c r="G958" s="2">
        <f t="shared" si="1"/>
        <v>-56</v>
      </c>
      <c r="H958" s="2" t="s">
        <v>42</v>
      </c>
      <c r="L958" s="2" t="s">
        <v>11</v>
      </c>
    </row>
    <row r="959" ht="12.75" customHeight="1">
      <c r="A959" s="2">
        <v>2014.0</v>
      </c>
      <c r="B959" s="2">
        <v>11.0</v>
      </c>
      <c r="C959" s="2">
        <v>15.0</v>
      </c>
      <c r="D959" s="2" t="s">
        <v>487</v>
      </c>
      <c r="E959" s="2">
        <v>-169.9</v>
      </c>
      <c r="F959" s="2">
        <v>0.0</v>
      </c>
      <c r="G959" s="2">
        <f t="shared" si="1"/>
        <v>-169.9</v>
      </c>
      <c r="H959" s="2" t="s">
        <v>31</v>
      </c>
      <c r="L959" s="2" t="s">
        <v>11</v>
      </c>
    </row>
    <row r="960" ht="12.75" customHeight="1">
      <c r="A960" s="2">
        <v>2014.0</v>
      </c>
      <c r="B960" s="2">
        <v>11.0</v>
      </c>
      <c r="C960" s="2">
        <v>14.0</v>
      </c>
      <c r="D960" s="2" t="s">
        <v>488</v>
      </c>
      <c r="E960" s="2">
        <v>-29.3</v>
      </c>
      <c r="F960" s="2">
        <v>0.0</v>
      </c>
      <c r="G960" s="2">
        <f t="shared" si="1"/>
        <v>-29.3</v>
      </c>
      <c r="H960" s="2" t="s">
        <v>52</v>
      </c>
      <c r="L960" s="2" t="s">
        <v>11</v>
      </c>
    </row>
    <row r="961" ht="12.75" customHeight="1">
      <c r="A961" s="2">
        <v>2014.0</v>
      </c>
      <c r="B961" s="2">
        <v>11.0</v>
      </c>
      <c r="C961" s="2">
        <v>14.0</v>
      </c>
      <c r="D961" s="2" t="s">
        <v>489</v>
      </c>
      <c r="E961" s="2">
        <v>-35.75</v>
      </c>
      <c r="F961" s="2">
        <v>0.0</v>
      </c>
      <c r="G961" s="2">
        <f t="shared" si="1"/>
        <v>-35.75</v>
      </c>
      <c r="H961" s="2" t="s">
        <v>54</v>
      </c>
      <c r="L961" s="2" t="s">
        <v>11</v>
      </c>
    </row>
    <row r="962" ht="12.75" customHeight="1">
      <c r="A962" s="2">
        <v>2014.0</v>
      </c>
      <c r="B962" s="2">
        <v>11.0</v>
      </c>
      <c r="C962" s="2">
        <v>14.0</v>
      </c>
      <c r="D962" s="2" t="s">
        <v>489</v>
      </c>
      <c r="E962" s="2">
        <v>-104.0</v>
      </c>
      <c r="F962" s="2">
        <v>0.0</v>
      </c>
      <c r="G962" s="2">
        <f t="shared" si="1"/>
        <v>-104</v>
      </c>
      <c r="H962" s="2" t="s">
        <v>42</v>
      </c>
      <c r="L962" s="2" t="s">
        <v>11</v>
      </c>
    </row>
    <row r="963" ht="12.75" customHeight="1">
      <c r="A963" s="2">
        <v>2014.0</v>
      </c>
      <c r="B963" s="2">
        <v>11.0</v>
      </c>
      <c r="C963" s="2">
        <v>13.0</v>
      </c>
      <c r="D963" s="2" t="s">
        <v>480</v>
      </c>
      <c r="E963" s="2">
        <v>-80.0</v>
      </c>
      <c r="F963" s="2">
        <v>0.0</v>
      </c>
      <c r="G963" s="2">
        <f t="shared" si="1"/>
        <v>-80</v>
      </c>
      <c r="H963" s="2" t="s">
        <v>38</v>
      </c>
      <c r="L963" s="2" t="s">
        <v>11</v>
      </c>
    </row>
    <row r="964" ht="12.75" customHeight="1">
      <c r="A964" s="2">
        <v>2014.0</v>
      </c>
      <c r="B964" s="2">
        <v>11.0</v>
      </c>
      <c r="C964" s="2">
        <v>12.0</v>
      </c>
      <c r="D964" s="2" t="s">
        <v>490</v>
      </c>
      <c r="E964" s="2">
        <v>-95.0</v>
      </c>
      <c r="F964" s="2">
        <v>0.0</v>
      </c>
      <c r="G964" s="2">
        <f t="shared" si="1"/>
        <v>-95</v>
      </c>
      <c r="H964" s="2" t="s">
        <v>47</v>
      </c>
      <c r="L964" s="2" t="s">
        <v>11</v>
      </c>
    </row>
    <row r="965" ht="12.75" customHeight="1">
      <c r="A965" s="2">
        <v>2014.0</v>
      </c>
      <c r="B965" s="2">
        <v>11.0</v>
      </c>
      <c r="C965" s="2">
        <v>11.0</v>
      </c>
      <c r="D965" s="2" t="s">
        <v>465</v>
      </c>
      <c r="E965" s="2">
        <v>-65.0</v>
      </c>
      <c r="F965" s="2">
        <v>0.0</v>
      </c>
      <c r="G965" s="2">
        <f t="shared" si="1"/>
        <v>-65</v>
      </c>
      <c r="H965" s="2" t="s">
        <v>47</v>
      </c>
      <c r="L965" s="2" t="s">
        <v>11</v>
      </c>
    </row>
    <row r="966" ht="12.75" customHeight="1">
      <c r="A966" s="2">
        <v>2014.0</v>
      </c>
      <c r="B966" s="2">
        <v>11.0</v>
      </c>
      <c r="C966" s="2">
        <v>10.0</v>
      </c>
      <c r="D966" s="2" t="s">
        <v>466</v>
      </c>
      <c r="E966" s="2">
        <v>-57.0</v>
      </c>
      <c r="F966" s="2">
        <v>0.0</v>
      </c>
      <c r="G966" s="2">
        <f t="shared" si="1"/>
        <v>-57</v>
      </c>
      <c r="H966" s="2" t="s">
        <v>42</v>
      </c>
      <c r="L966" s="2" t="s">
        <v>11</v>
      </c>
    </row>
    <row r="967" ht="12.75" customHeight="1">
      <c r="A967" s="2">
        <v>2014.0</v>
      </c>
      <c r="B967" s="2">
        <v>11.0</v>
      </c>
      <c r="C967" s="2">
        <v>9.0</v>
      </c>
      <c r="D967" s="2" t="s">
        <v>491</v>
      </c>
      <c r="E967" s="2">
        <v>-75.0</v>
      </c>
      <c r="F967" s="2">
        <v>0.0</v>
      </c>
      <c r="G967" s="2">
        <f t="shared" si="1"/>
        <v>-75</v>
      </c>
      <c r="H967" s="2" t="s">
        <v>52</v>
      </c>
      <c r="L967" s="2" t="s">
        <v>11</v>
      </c>
    </row>
    <row r="968" ht="12.75" customHeight="1">
      <c r="A968" s="2">
        <v>2014.0</v>
      </c>
      <c r="B968" s="2">
        <v>11.0</v>
      </c>
      <c r="C968" s="2">
        <v>9.0</v>
      </c>
      <c r="D968" s="2" t="s">
        <v>268</v>
      </c>
      <c r="E968" s="2">
        <v>-71.0</v>
      </c>
      <c r="F968" s="2">
        <v>0.0</v>
      </c>
      <c r="G968" s="2">
        <f t="shared" si="1"/>
        <v>-71</v>
      </c>
      <c r="H968" s="2" t="s">
        <v>52</v>
      </c>
      <c r="L968" s="2" t="s">
        <v>11</v>
      </c>
    </row>
    <row r="969" ht="12.75" customHeight="1">
      <c r="A969" s="2">
        <v>2014.0</v>
      </c>
      <c r="B969" s="2">
        <v>11.0</v>
      </c>
      <c r="C969" s="2">
        <v>8.0</v>
      </c>
      <c r="D969" s="2" t="s">
        <v>492</v>
      </c>
      <c r="E969" s="2">
        <v>-75.0</v>
      </c>
      <c r="F969" s="2">
        <v>0.0</v>
      </c>
      <c r="G969" s="2">
        <f t="shared" si="1"/>
        <v>-75</v>
      </c>
      <c r="H969" s="2" t="s">
        <v>52</v>
      </c>
      <c r="L969" s="2" t="s">
        <v>11</v>
      </c>
    </row>
    <row r="970" ht="12.75" customHeight="1">
      <c r="A970" s="2">
        <v>2014.0</v>
      </c>
      <c r="B970" s="2">
        <v>11.0</v>
      </c>
      <c r="C970" s="2">
        <v>8.0</v>
      </c>
      <c r="D970" s="2" t="s">
        <v>493</v>
      </c>
      <c r="E970" s="2">
        <v>-85.0</v>
      </c>
      <c r="F970" s="2">
        <v>0.0</v>
      </c>
      <c r="G970" s="2">
        <f t="shared" si="1"/>
        <v>-85</v>
      </c>
      <c r="H970" s="2" t="s">
        <v>47</v>
      </c>
      <c r="L970" s="2" t="s">
        <v>11</v>
      </c>
    </row>
    <row r="971" ht="12.75" customHeight="1">
      <c r="A971" s="2">
        <v>2014.0</v>
      </c>
      <c r="B971" s="2">
        <v>11.0</v>
      </c>
      <c r="C971" s="2">
        <v>7.0</v>
      </c>
      <c r="D971" s="2" t="s">
        <v>465</v>
      </c>
      <c r="E971" s="2">
        <v>-65.0</v>
      </c>
      <c r="F971" s="2">
        <v>0.0</v>
      </c>
      <c r="G971" s="2">
        <f t="shared" si="1"/>
        <v>-65</v>
      </c>
      <c r="H971" s="2" t="s">
        <v>47</v>
      </c>
      <c r="L971" s="2" t="s">
        <v>11</v>
      </c>
    </row>
    <row r="972" ht="12.75" customHeight="1">
      <c r="A972" s="2">
        <v>2014.0</v>
      </c>
      <c r="B972" s="2">
        <v>11.0</v>
      </c>
      <c r="C972" s="2">
        <v>7.0</v>
      </c>
      <c r="D972" s="2" t="s">
        <v>494</v>
      </c>
      <c r="E972" s="2">
        <v>-75.0</v>
      </c>
      <c r="F972" s="2">
        <v>0.0</v>
      </c>
      <c r="G972" s="2">
        <f t="shared" si="1"/>
        <v>-75</v>
      </c>
      <c r="H972" s="2" t="s">
        <v>47</v>
      </c>
      <c r="L972" s="2" t="s">
        <v>11</v>
      </c>
    </row>
    <row r="973" ht="12.75" customHeight="1">
      <c r="A973" s="2">
        <v>2014.0</v>
      </c>
      <c r="B973" s="2">
        <v>11.0</v>
      </c>
      <c r="C973" s="2">
        <v>6.0</v>
      </c>
      <c r="D973" s="2" t="s">
        <v>480</v>
      </c>
      <c r="E973" s="2">
        <v>-80.0</v>
      </c>
      <c r="F973" s="2">
        <v>0.0</v>
      </c>
      <c r="G973" s="2">
        <f t="shared" si="1"/>
        <v>-80</v>
      </c>
      <c r="H973" s="2" t="s">
        <v>38</v>
      </c>
      <c r="L973" s="2" t="s">
        <v>11</v>
      </c>
    </row>
    <row r="974" ht="12.75" customHeight="1">
      <c r="A974" s="2">
        <v>2014.0</v>
      </c>
      <c r="B974" s="2">
        <v>11.0</v>
      </c>
      <c r="C974" s="2">
        <v>5.0</v>
      </c>
      <c r="D974" s="2" t="s">
        <v>102</v>
      </c>
      <c r="E974" s="2">
        <v>-163.0</v>
      </c>
      <c r="F974" s="2">
        <v>0.0</v>
      </c>
      <c r="G974" s="2">
        <f t="shared" si="1"/>
        <v>-163</v>
      </c>
      <c r="H974" s="2" t="s">
        <v>103</v>
      </c>
      <c r="L974" s="2" t="s">
        <v>11</v>
      </c>
    </row>
    <row r="975" ht="12.75" customHeight="1">
      <c r="A975" s="2">
        <v>2014.0</v>
      </c>
      <c r="B975" s="2">
        <v>11.0</v>
      </c>
      <c r="C975" s="2">
        <v>4.0</v>
      </c>
      <c r="D975" s="2" t="s">
        <v>495</v>
      </c>
      <c r="E975" s="2">
        <v>-95.0</v>
      </c>
      <c r="F975" s="2">
        <v>0.0</v>
      </c>
      <c r="G975" s="2">
        <f t="shared" si="1"/>
        <v>-95</v>
      </c>
      <c r="H975" s="2" t="s">
        <v>38</v>
      </c>
      <c r="L975" s="2" t="s">
        <v>11</v>
      </c>
    </row>
    <row r="976" ht="12.75" customHeight="1">
      <c r="A976" s="2">
        <v>2014.0</v>
      </c>
      <c r="B976" s="2">
        <v>11.0</v>
      </c>
      <c r="C976" s="2">
        <v>3.0</v>
      </c>
      <c r="D976" s="2" t="s">
        <v>465</v>
      </c>
      <c r="E976" s="2">
        <v>-65.0</v>
      </c>
      <c r="F976" s="2">
        <v>0.0</v>
      </c>
      <c r="G976" s="2">
        <f t="shared" si="1"/>
        <v>-65</v>
      </c>
      <c r="H976" s="2" t="s">
        <v>47</v>
      </c>
      <c r="L976" s="2" t="s">
        <v>11</v>
      </c>
    </row>
    <row r="977" ht="12.75" customHeight="1">
      <c r="A977" s="2">
        <v>2014.0</v>
      </c>
      <c r="B977" s="2">
        <v>11.0</v>
      </c>
      <c r="C977" s="2">
        <v>3.0</v>
      </c>
      <c r="D977" s="2" t="s">
        <v>157</v>
      </c>
      <c r="E977" s="2">
        <v>-130.0</v>
      </c>
      <c r="F977" s="2">
        <v>0.0</v>
      </c>
      <c r="G977" s="2">
        <f t="shared" si="1"/>
        <v>-130</v>
      </c>
      <c r="H977" s="2" t="s">
        <v>17</v>
      </c>
      <c r="L977" s="2" t="s">
        <v>11</v>
      </c>
    </row>
    <row r="978" ht="12.75" customHeight="1">
      <c r="A978" s="2">
        <v>2014.0</v>
      </c>
      <c r="B978" s="2">
        <v>11.0</v>
      </c>
      <c r="C978" s="2">
        <v>3.0</v>
      </c>
      <c r="D978" s="2" t="s">
        <v>73</v>
      </c>
      <c r="E978" s="2">
        <v>-4670.0</v>
      </c>
      <c r="F978" s="2">
        <v>0.0</v>
      </c>
      <c r="G978" s="2">
        <f t="shared" si="1"/>
        <v>-4670</v>
      </c>
      <c r="H978" s="2" t="s">
        <v>10</v>
      </c>
      <c r="L978" s="2" t="s">
        <v>11</v>
      </c>
    </row>
    <row r="979" ht="12.75" customHeight="1">
      <c r="A979" s="2">
        <v>2014.0</v>
      </c>
      <c r="B979" s="2">
        <v>11.0</v>
      </c>
      <c r="C979" s="2">
        <v>3.0</v>
      </c>
      <c r="D979" s="2" t="s">
        <v>467</v>
      </c>
      <c r="E979" s="2">
        <v>-800.0</v>
      </c>
      <c r="F979" s="2">
        <v>0.0</v>
      </c>
      <c r="G979" s="2">
        <f t="shared" si="1"/>
        <v>-800</v>
      </c>
      <c r="H979" s="2" t="s">
        <v>38</v>
      </c>
      <c r="L979" s="2" t="s">
        <v>11</v>
      </c>
    </row>
    <row r="980" ht="12.75" customHeight="1">
      <c r="A980" s="2">
        <v>2014.0</v>
      </c>
      <c r="B980" s="2">
        <v>11.0</v>
      </c>
      <c r="C980" s="2">
        <v>2.0</v>
      </c>
      <c r="D980" s="2" t="s">
        <v>496</v>
      </c>
      <c r="E980" s="2">
        <v>-130.0</v>
      </c>
      <c r="F980" s="2">
        <v>0.0</v>
      </c>
      <c r="G980" s="2">
        <f t="shared" si="1"/>
        <v>-130</v>
      </c>
      <c r="H980" s="2" t="s">
        <v>47</v>
      </c>
      <c r="L980" s="2" t="s">
        <v>11</v>
      </c>
    </row>
    <row r="981" ht="12.75" customHeight="1">
      <c r="A981" s="2">
        <v>2014.0</v>
      </c>
      <c r="B981" s="2">
        <v>11.0</v>
      </c>
      <c r="C981" s="2">
        <v>1.0</v>
      </c>
      <c r="D981" s="2" t="s">
        <v>497</v>
      </c>
      <c r="E981" s="2">
        <v>-3216.0</v>
      </c>
      <c r="F981" s="2">
        <v>0.0</v>
      </c>
      <c r="G981" s="2">
        <f t="shared" si="1"/>
        <v>-3216</v>
      </c>
      <c r="H981" s="2" t="s">
        <v>35</v>
      </c>
      <c r="L981" s="2" t="s">
        <v>11</v>
      </c>
    </row>
    <row r="982" ht="12.75" customHeight="1">
      <c r="A982" s="2">
        <v>2014.0</v>
      </c>
      <c r="B982" s="2">
        <v>10.0</v>
      </c>
      <c r="C982" s="2">
        <v>31.0</v>
      </c>
      <c r="D982" s="2" t="s">
        <v>427</v>
      </c>
      <c r="E982" s="2">
        <v>-469.0</v>
      </c>
      <c r="F982" s="2">
        <v>0.0</v>
      </c>
      <c r="G982" s="2">
        <f t="shared" si="1"/>
        <v>-469</v>
      </c>
      <c r="H982" s="2" t="s">
        <v>428</v>
      </c>
      <c r="L982" s="2" t="s">
        <v>11</v>
      </c>
    </row>
    <row r="983" ht="12.75" customHeight="1">
      <c r="A983" s="2">
        <v>2014.0</v>
      </c>
      <c r="B983" s="2">
        <v>10.0</v>
      </c>
      <c r="C983" s="2">
        <v>31.0</v>
      </c>
      <c r="D983" s="2" t="s">
        <v>480</v>
      </c>
      <c r="E983" s="2">
        <v>-80.0</v>
      </c>
      <c r="F983" s="2">
        <v>0.0</v>
      </c>
      <c r="G983" s="2">
        <f t="shared" si="1"/>
        <v>-80</v>
      </c>
      <c r="H983" s="2" t="s">
        <v>38</v>
      </c>
      <c r="L983" s="2" t="s">
        <v>11</v>
      </c>
    </row>
    <row r="984" ht="12.75" customHeight="1">
      <c r="A984" s="2">
        <v>2014.0</v>
      </c>
      <c r="B984" s="2">
        <v>10.0</v>
      </c>
      <c r="C984" s="2">
        <v>31.0</v>
      </c>
      <c r="D984" s="2" t="s">
        <v>12</v>
      </c>
      <c r="E984" s="2">
        <v>-10100.87</v>
      </c>
      <c r="F984" s="2">
        <v>0.0</v>
      </c>
      <c r="G984" s="2">
        <f t="shared" si="1"/>
        <v>-10100.87</v>
      </c>
      <c r="H984" s="2" t="s">
        <v>227</v>
      </c>
      <c r="L984" s="2" t="s">
        <v>228</v>
      </c>
    </row>
    <row r="985" ht="12.75" customHeight="1">
      <c r="A985" s="2">
        <v>2014.0</v>
      </c>
      <c r="B985" s="2">
        <v>10.0</v>
      </c>
      <c r="C985" s="2">
        <v>31.0</v>
      </c>
      <c r="D985" s="2" t="s">
        <v>14</v>
      </c>
      <c r="E985" s="2">
        <v>-4007.0</v>
      </c>
      <c r="F985" s="2">
        <v>0.0</v>
      </c>
      <c r="G985" s="2">
        <f t="shared" si="1"/>
        <v>-4007</v>
      </c>
      <c r="H985" s="2" t="s">
        <v>10</v>
      </c>
      <c r="L985" s="2" t="s">
        <v>11</v>
      </c>
    </row>
    <row r="986" ht="12.75" customHeight="1">
      <c r="A986" s="2">
        <v>2014.0</v>
      </c>
      <c r="B986" s="2">
        <v>10.0</v>
      </c>
      <c r="C986" s="2">
        <v>31.0</v>
      </c>
      <c r="D986" s="2" t="s">
        <v>15</v>
      </c>
      <c r="E986" s="2">
        <v>-207.8</v>
      </c>
      <c r="F986" s="2">
        <v>0.0</v>
      </c>
      <c r="G986" s="2">
        <f t="shared" si="1"/>
        <v>-207.8</v>
      </c>
      <c r="H986" s="2" t="s">
        <v>10</v>
      </c>
      <c r="L986" s="2" t="s">
        <v>11</v>
      </c>
    </row>
    <row r="987" ht="12.75" customHeight="1">
      <c r="A987" s="2">
        <v>2014.0</v>
      </c>
      <c r="B987" s="2">
        <v>10.0</v>
      </c>
      <c r="C987" s="2">
        <v>30.0</v>
      </c>
      <c r="D987" s="2" t="s">
        <v>465</v>
      </c>
      <c r="E987" s="2">
        <v>-65.0</v>
      </c>
      <c r="F987" s="2">
        <v>0.0</v>
      </c>
      <c r="G987" s="2">
        <f t="shared" si="1"/>
        <v>-65</v>
      </c>
      <c r="H987" s="2" t="s">
        <v>47</v>
      </c>
      <c r="L987" s="2" t="s">
        <v>11</v>
      </c>
    </row>
    <row r="988" ht="12.75" customHeight="1">
      <c r="A988" s="2">
        <v>2014.0</v>
      </c>
      <c r="B988" s="2">
        <v>10.0</v>
      </c>
      <c r="C988" s="2">
        <v>30.0</v>
      </c>
      <c r="D988" s="2" t="s">
        <v>19</v>
      </c>
      <c r="E988" s="2">
        <v>-320.0</v>
      </c>
      <c r="F988" s="2">
        <v>0.0</v>
      </c>
      <c r="G988" s="2">
        <f t="shared" si="1"/>
        <v>-320</v>
      </c>
      <c r="H988" s="2" t="s">
        <v>20</v>
      </c>
      <c r="L988" s="2" t="s">
        <v>11</v>
      </c>
    </row>
    <row r="989" ht="12.75" customHeight="1">
      <c r="A989" s="2">
        <v>2014.0</v>
      </c>
      <c r="B989" s="2">
        <v>10.0</v>
      </c>
      <c r="C989" s="2">
        <v>30.0</v>
      </c>
      <c r="D989" s="2" t="s">
        <v>466</v>
      </c>
      <c r="E989" s="2">
        <v>-66.0</v>
      </c>
      <c r="F989" s="2">
        <v>0.0</v>
      </c>
      <c r="G989" s="2">
        <f t="shared" si="1"/>
        <v>-66</v>
      </c>
      <c r="H989" s="2" t="s">
        <v>42</v>
      </c>
      <c r="L989" s="2" t="s">
        <v>11</v>
      </c>
    </row>
    <row r="990" ht="12.75" customHeight="1">
      <c r="A990" s="2">
        <v>2014.0</v>
      </c>
      <c r="B990" s="2">
        <v>10.0</v>
      </c>
      <c r="C990" s="2">
        <v>30.0</v>
      </c>
      <c r="D990" s="2" t="s">
        <v>73</v>
      </c>
      <c r="E990" s="2">
        <v>-1279.0</v>
      </c>
      <c r="F990" s="2">
        <v>0.0</v>
      </c>
      <c r="G990" s="2">
        <f t="shared" si="1"/>
        <v>-1279</v>
      </c>
      <c r="H990" s="2" t="s">
        <v>10</v>
      </c>
      <c r="L990" s="2" t="s">
        <v>11</v>
      </c>
    </row>
    <row r="991" ht="12.75" customHeight="1">
      <c r="A991" s="2">
        <v>2014.0</v>
      </c>
      <c r="B991" s="2">
        <v>10.0</v>
      </c>
      <c r="C991" s="2">
        <v>30.0</v>
      </c>
      <c r="D991" s="2" t="s">
        <v>23</v>
      </c>
      <c r="E991" s="2">
        <v>-285.0</v>
      </c>
      <c r="F991" s="2">
        <v>0.0</v>
      </c>
      <c r="G991" s="2">
        <f t="shared" si="1"/>
        <v>-285</v>
      </c>
      <c r="H991" s="2" t="s">
        <v>24</v>
      </c>
      <c r="L991" s="2" t="s">
        <v>11</v>
      </c>
    </row>
    <row r="992" ht="12.75" customHeight="1">
      <c r="A992" s="2">
        <v>2014.0</v>
      </c>
      <c r="B992" s="2">
        <v>10.0</v>
      </c>
      <c r="C992" s="2">
        <v>30.0</v>
      </c>
      <c r="D992" s="2">
        <v>4.7516877E7</v>
      </c>
      <c r="E992" s="2">
        <v>1000.0</v>
      </c>
      <c r="F992" s="2">
        <v>0.0</v>
      </c>
      <c r="G992" s="2">
        <f t="shared" si="1"/>
        <v>1000</v>
      </c>
      <c r="H992" s="2" t="s">
        <v>18</v>
      </c>
      <c r="L992" s="2" t="s">
        <v>11</v>
      </c>
    </row>
    <row r="993" ht="12.75" customHeight="1">
      <c r="A993" s="2">
        <v>2014.0</v>
      </c>
      <c r="B993" s="2">
        <v>10.0</v>
      </c>
      <c r="C993" s="2">
        <v>29.0</v>
      </c>
      <c r="D993" s="2" t="s">
        <v>498</v>
      </c>
      <c r="E993" s="2">
        <v>-136.8</v>
      </c>
      <c r="F993" s="2">
        <v>0.0</v>
      </c>
      <c r="G993" s="2">
        <f t="shared" si="1"/>
        <v>-136.8</v>
      </c>
      <c r="H993" s="2" t="s">
        <v>47</v>
      </c>
      <c r="L993" s="2" t="s">
        <v>11</v>
      </c>
    </row>
    <row r="994" ht="12.75" customHeight="1">
      <c r="A994" s="2">
        <v>2014.0</v>
      </c>
      <c r="B994" s="2">
        <v>10.0</v>
      </c>
      <c r="C994" s="2">
        <v>29.0</v>
      </c>
      <c r="D994" s="2" t="s">
        <v>70</v>
      </c>
      <c r="E994" s="2">
        <v>28.25</v>
      </c>
      <c r="F994" s="2">
        <v>0.0</v>
      </c>
      <c r="G994" s="2">
        <f t="shared" si="1"/>
        <v>28.25</v>
      </c>
      <c r="H994" s="2" t="s">
        <v>47</v>
      </c>
      <c r="L994" s="2" t="s">
        <v>11</v>
      </c>
    </row>
    <row r="995" ht="12.75" customHeight="1">
      <c r="A995" s="2">
        <v>2014.0</v>
      </c>
      <c r="B995" s="2">
        <v>10.0</v>
      </c>
      <c r="C995" s="2">
        <v>28.0</v>
      </c>
      <c r="D995" s="2" t="s">
        <v>499</v>
      </c>
      <c r="E995" s="2">
        <v>-1470.0</v>
      </c>
      <c r="F995" s="2">
        <v>0.0</v>
      </c>
      <c r="G995" s="2">
        <f t="shared" si="1"/>
        <v>-1470</v>
      </c>
      <c r="H995" s="2" t="s">
        <v>50</v>
      </c>
      <c r="L995" s="2" t="s">
        <v>11</v>
      </c>
    </row>
    <row r="996" ht="12.75" customHeight="1">
      <c r="A996" s="2">
        <v>2014.0</v>
      </c>
      <c r="B996" s="2">
        <v>10.0</v>
      </c>
      <c r="C996" s="2">
        <v>28.0</v>
      </c>
      <c r="D996" s="2" t="s">
        <v>163</v>
      </c>
      <c r="E996" s="2">
        <v>24.9</v>
      </c>
      <c r="F996" s="2">
        <v>0.0</v>
      </c>
      <c r="G996" s="2">
        <f t="shared" si="1"/>
        <v>24.9</v>
      </c>
      <c r="H996" s="2" t="s">
        <v>164</v>
      </c>
      <c r="L996" s="2" t="s">
        <v>11</v>
      </c>
    </row>
    <row r="997" ht="12.75" customHeight="1">
      <c r="A997" s="2">
        <v>2014.0</v>
      </c>
      <c r="B997" s="2">
        <v>10.0</v>
      </c>
      <c r="C997" s="2">
        <v>28.0</v>
      </c>
      <c r="D997" s="2" t="s">
        <v>25</v>
      </c>
      <c r="E997" s="2">
        <v>-100.0</v>
      </c>
      <c r="F997" s="2">
        <v>0.0</v>
      </c>
      <c r="G997" s="2">
        <f t="shared" si="1"/>
        <v>-100</v>
      </c>
      <c r="H997" s="2" t="s">
        <v>26</v>
      </c>
      <c r="L997" s="2" t="s">
        <v>11</v>
      </c>
    </row>
    <row r="998" ht="12.75" customHeight="1">
      <c r="A998" s="2">
        <v>2014.0</v>
      </c>
      <c r="B998" s="2">
        <v>10.0</v>
      </c>
      <c r="C998" s="2">
        <v>28.0</v>
      </c>
      <c r="D998" s="2" t="s">
        <v>465</v>
      </c>
      <c r="E998" s="2">
        <v>-65.0</v>
      </c>
      <c r="F998" s="2">
        <v>0.0</v>
      </c>
      <c r="G998" s="2">
        <f t="shared" si="1"/>
        <v>-65</v>
      </c>
      <c r="H998" s="2" t="s">
        <v>47</v>
      </c>
      <c r="L998" s="2" t="s">
        <v>11</v>
      </c>
    </row>
    <row r="999" ht="12.75" customHeight="1">
      <c r="A999" s="2">
        <v>2014.0</v>
      </c>
      <c r="B999" s="2">
        <v>10.0</v>
      </c>
      <c r="C999" s="2">
        <v>27.0</v>
      </c>
      <c r="D999" s="2" t="s">
        <v>382</v>
      </c>
      <c r="E999" s="2">
        <v>-299.0</v>
      </c>
      <c r="F999" s="2">
        <v>0.0</v>
      </c>
      <c r="G999" s="2">
        <f t="shared" si="1"/>
        <v>-299</v>
      </c>
      <c r="H999" s="2" t="s">
        <v>22</v>
      </c>
      <c r="L999" s="2" t="s">
        <v>11</v>
      </c>
    </row>
    <row r="1000" ht="12.75" customHeight="1">
      <c r="A1000" s="2">
        <v>2014.0</v>
      </c>
      <c r="B1000" s="2">
        <v>10.0</v>
      </c>
      <c r="C1000" s="2">
        <v>27.0</v>
      </c>
      <c r="D1000" s="2" t="s">
        <v>27</v>
      </c>
      <c r="E1000" s="2">
        <v>-5000.0</v>
      </c>
      <c r="F1000" s="2">
        <v>0.0</v>
      </c>
      <c r="G1000" s="2">
        <f t="shared" si="1"/>
        <v>-5000</v>
      </c>
      <c r="H1000" s="2" t="s">
        <v>227</v>
      </c>
      <c r="L1000" s="2" t="s">
        <v>11</v>
      </c>
    </row>
    <row r="1001" ht="12.75" customHeight="1">
      <c r="A1001" s="2">
        <v>2014.0</v>
      </c>
      <c r="B1001" s="2">
        <v>10.0</v>
      </c>
      <c r="C1001" s="2">
        <v>27.0</v>
      </c>
      <c r="D1001" s="2" t="s">
        <v>27</v>
      </c>
      <c r="E1001" s="2">
        <v>5000.0</v>
      </c>
      <c r="F1001" s="2">
        <v>0.0</v>
      </c>
      <c r="G1001" s="2">
        <f t="shared" si="1"/>
        <v>5000</v>
      </c>
      <c r="H1001" s="2" t="s">
        <v>227</v>
      </c>
      <c r="L1001" s="2" t="s">
        <v>11</v>
      </c>
    </row>
    <row r="1002" ht="12.75" customHeight="1">
      <c r="A1002" s="2">
        <v>2014.0</v>
      </c>
      <c r="B1002" s="2">
        <v>10.0</v>
      </c>
      <c r="C1002" s="2">
        <v>27.0</v>
      </c>
      <c r="D1002" s="2" t="s">
        <v>29</v>
      </c>
      <c r="E1002" s="2">
        <v>-1250.0</v>
      </c>
      <c r="F1002" s="2">
        <v>0.0</v>
      </c>
      <c r="G1002" s="2">
        <f t="shared" si="1"/>
        <v>-1250</v>
      </c>
      <c r="H1002" s="2" t="s">
        <v>18</v>
      </c>
      <c r="L1002" s="2" t="s">
        <v>11</v>
      </c>
    </row>
    <row r="1003" ht="12.75" customHeight="1">
      <c r="A1003" s="2">
        <v>2014.0</v>
      </c>
      <c r="B1003" s="2">
        <v>10.0</v>
      </c>
      <c r="C1003" s="2">
        <v>25.0</v>
      </c>
      <c r="D1003" s="2" t="s">
        <v>500</v>
      </c>
      <c r="E1003" s="2">
        <v>-294.91</v>
      </c>
      <c r="F1003" s="2">
        <v>0.0</v>
      </c>
      <c r="G1003" s="2">
        <f t="shared" si="1"/>
        <v>-294.91</v>
      </c>
      <c r="H1003" s="2" t="s">
        <v>54</v>
      </c>
      <c r="L1003" s="2" t="s">
        <v>11</v>
      </c>
    </row>
    <row r="1004" ht="12.75" customHeight="1">
      <c r="A1004" s="2">
        <v>2014.0</v>
      </c>
      <c r="B1004" s="2">
        <v>10.0</v>
      </c>
      <c r="C1004" s="2">
        <v>24.0</v>
      </c>
      <c r="D1004" s="2" t="s">
        <v>501</v>
      </c>
      <c r="E1004" s="2">
        <v>-22.9</v>
      </c>
      <c r="F1004" s="2">
        <v>0.0</v>
      </c>
      <c r="G1004" s="2">
        <f t="shared" si="1"/>
        <v>-22.9</v>
      </c>
      <c r="H1004" s="2" t="s">
        <v>35</v>
      </c>
      <c r="L1004" s="2" t="s">
        <v>11</v>
      </c>
    </row>
    <row r="1005" ht="12.75" customHeight="1">
      <c r="A1005" s="2">
        <v>2014.0</v>
      </c>
      <c r="B1005" s="2">
        <v>10.0</v>
      </c>
      <c r="C1005" s="2">
        <v>24.0</v>
      </c>
      <c r="D1005" s="2" t="s">
        <v>502</v>
      </c>
      <c r="E1005" s="2">
        <v>-276.0</v>
      </c>
      <c r="F1005" s="2">
        <v>0.0</v>
      </c>
      <c r="G1005" s="2">
        <f t="shared" si="1"/>
        <v>-276</v>
      </c>
      <c r="H1005" s="2" t="s">
        <v>52</v>
      </c>
      <c r="L1005" s="2" t="s">
        <v>11</v>
      </c>
    </row>
    <row r="1006" ht="12.75" customHeight="1">
      <c r="A1006" s="2">
        <v>2014.0</v>
      </c>
      <c r="B1006" s="2">
        <v>10.0</v>
      </c>
      <c r="C1006" s="2">
        <v>24.0</v>
      </c>
      <c r="D1006" s="2" t="s">
        <v>502</v>
      </c>
      <c r="E1006" s="2">
        <v>-112.0</v>
      </c>
      <c r="F1006" s="2">
        <v>0.0</v>
      </c>
      <c r="G1006" s="2">
        <f t="shared" si="1"/>
        <v>-112</v>
      </c>
      <c r="H1006" s="2" t="s">
        <v>52</v>
      </c>
      <c r="L1006" s="2" t="s">
        <v>11</v>
      </c>
    </row>
    <row r="1007" ht="12.75" customHeight="1">
      <c r="A1007" s="2">
        <v>2014.0</v>
      </c>
      <c r="B1007" s="2">
        <v>10.0</v>
      </c>
      <c r="C1007" s="2">
        <v>24.0</v>
      </c>
      <c r="D1007" s="2" t="s">
        <v>503</v>
      </c>
      <c r="E1007" s="2">
        <v>-103.0</v>
      </c>
      <c r="F1007" s="2">
        <v>0.0</v>
      </c>
      <c r="G1007" s="2">
        <f t="shared" si="1"/>
        <v>-103</v>
      </c>
      <c r="H1007" s="2" t="s">
        <v>42</v>
      </c>
      <c r="L1007" s="2" t="s">
        <v>11</v>
      </c>
    </row>
    <row r="1008" ht="12.75" customHeight="1">
      <c r="A1008" s="2">
        <v>2014.0</v>
      </c>
      <c r="B1008" s="2">
        <v>10.0</v>
      </c>
      <c r="C1008" s="2">
        <v>23.0</v>
      </c>
      <c r="D1008" s="2" t="s">
        <v>465</v>
      </c>
      <c r="E1008" s="2">
        <v>-65.0</v>
      </c>
      <c r="F1008" s="2">
        <v>0.0</v>
      </c>
      <c r="G1008" s="2">
        <f t="shared" si="1"/>
        <v>-65</v>
      </c>
      <c r="H1008" s="2" t="s">
        <v>47</v>
      </c>
      <c r="L1008" s="2" t="s">
        <v>11</v>
      </c>
    </row>
    <row r="1009" ht="12.75" customHeight="1">
      <c r="A1009" s="2">
        <v>2014.0</v>
      </c>
      <c r="B1009" s="2">
        <v>10.0</v>
      </c>
      <c r="C1009" s="2">
        <v>23.0</v>
      </c>
      <c r="D1009" s="2" t="s">
        <v>39</v>
      </c>
      <c r="E1009" s="2">
        <v>30239.0</v>
      </c>
      <c r="F1009" s="2">
        <v>0.0</v>
      </c>
      <c r="G1009" s="2">
        <f t="shared" si="1"/>
        <v>30239</v>
      </c>
      <c r="H1009" s="2" t="s">
        <v>40</v>
      </c>
      <c r="L1009" s="2" t="s">
        <v>11</v>
      </c>
    </row>
    <row r="1010" ht="12.75" customHeight="1">
      <c r="A1010" s="2">
        <v>2014.0</v>
      </c>
      <c r="B1010" s="2">
        <v>10.0</v>
      </c>
      <c r="C1010" s="2">
        <v>22.0</v>
      </c>
      <c r="D1010" s="2" t="s">
        <v>465</v>
      </c>
      <c r="E1010" s="2">
        <v>-65.0</v>
      </c>
      <c r="F1010" s="2">
        <v>0.0</v>
      </c>
      <c r="G1010" s="2">
        <f t="shared" si="1"/>
        <v>-65</v>
      </c>
      <c r="H1010" s="2" t="s">
        <v>47</v>
      </c>
      <c r="L1010" s="2" t="s">
        <v>11</v>
      </c>
    </row>
    <row r="1011" ht="12.75" customHeight="1">
      <c r="A1011" s="2">
        <v>2014.0</v>
      </c>
      <c r="B1011" s="2">
        <v>10.0</v>
      </c>
      <c r="C1011" s="2">
        <v>22.0</v>
      </c>
      <c r="D1011" s="2" t="s">
        <v>45</v>
      </c>
      <c r="E1011" s="2">
        <v>-24.9</v>
      </c>
      <c r="F1011" s="2">
        <v>0.0</v>
      </c>
      <c r="G1011" s="2">
        <f t="shared" si="1"/>
        <v>-24.9</v>
      </c>
      <c r="H1011" s="2" t="s">
        <v>164</v>
      </c>
      <c r="L1011" s="2" t="s">
        <v>11</v>
      </c>
    </row>
    <row r="1012" ht="12.75" customHeight="1">
      <c r="A1012" s="2">
        <v>2014.0</v>
      </c>
      <c r="B1012" s="2">
        <v>10.0</v>
      </c>
      <c r="C1012" s="2">
        <v>21.0</v>
      </c>
      <c r="D1012" s="2" t="s">
        <v>465</v>
      </c>
      <c r="E1012" s="2">
        <v>-65.0</v>
      </c>
      <c r="F1012" s="2">
        <v>0.0</v>
      </c>
      <c r="G1012" s="2">
        <f t="shared" si="1"/>
        <v>-65</v>
      </c>
      <c r="H1012" s="2" t="s">
        <v>47</v>
      </c>
      <c r="L1012" s="2" t="s">
        <v>11</v>
      </c>
    </row>
    <row r="1013" ht="12.75" customHeight="1">
      <c r="A1013" s="2">
        <v>2014.0</v>
      </c>
      <c r="B1013" s="2">
        <v>10.0</v>
      </c>
      <c r="C1013" s="2">
        <v>20.0</v>
      </c>
      <c r="D1013" s="2" t="s">
        <v>465</v>
      </c>
      <c r="E1013" s="2">
        <v>-130.0</v>
      </c>
      <c r="F1013" s="2">
        <v>0.0</v>
      </c>
      <c r="G1013" s="2">
        <f t="shared" si="1"/>
        <v>-130</v>
      </c>
      <c r="H1013" s="2" t="s">
        <v>47</v>
      </c>
      <c r="L1013" s="2" t="s">
        <v>11</v>
      </c>
    </row>
    <row r="1014" ht="12.75" customHeight="1">
      <c r="A1014" s="2">
        <v>2014.0</v>
      </c>
      <c r="B1014" s="2">
        <v>10.0</v>
      </c>
      <c r="C1014" s="2">
        <v>19.0</v>
      </c>
      <c r="D1014" s="2" t="s">
        <v>504</v>
      </c>
      <c r="E1014" s="2">
        <v>-1766.0</v>
      </c>
      <c r="F1014" s="2">
        <v>0.0</v>
      </c>
      <c r="G1014" s="2">
        <f t="shared" si="1"/>
        <v>-1766</v>
      </c>
      <c r="H1014" s="2" t="s">
        <v>47</v>
      </c>
      <c r="L1014" s="2" t="s">
        <v>11</v>
      </c>
    </row>
    <row r="1015" ht="12.75" customHeight="1">
      <c r="A1015" s="2">
        <v>2014.0</v>
      </c>
      <c r="B1015" s="2">
        <v>10.0</v>
      </c>
      <c r="C1015" s="2">
        <v>18.0</v>
      </c>
      <c r="D1015" s="2" t="s">
        <v>505</v>
      </c>
      <c r="E1015" s="2">
        <v>-50.0</v>
      </c>
      <c r="F1015" s="2">
        <v>0.0</v>
      </c>
      <c r="G1015" s="2">
        <f t="shared" si="1"/>
        <v>-50</v>
      </c>
      <c r="H1015" s="2" t="s">
        <v>42</v>
      </c>
      <c r="L1015" s="2" t="s">
        <v>11</v>
      </c>
    </row>
    <row r="1016" ht="12.75" customHeight="1">
      <c r="A1016" s="2">
        <v>2014.0</v>
      </c>
      <c r="B1016" s="2">
        <v>10.0</v>
      </c>
      <c r="C1016" s="2">
        <v>18.0</v>
      </c>
      <c r="D1016" s="2" t="s">
        <v>506</v>
      </c>
      <c r="E1016" s="2">
        <v>-119.0</v>
      </c>
      <c r="F1016" s="2">
        <v>0.0</v>
      </c>
      <c r="G1016" s="2">
        <f t="shared" si="1"/>
        <v>-119</v>
      </c>
      <c r="H1016" s="2" t="s">
        <v>47</v>
      </c>
      <c r="L1016" s="2" t="s">
        <v>11</v>
      </c>
    </row>
    <row r="1017" ht="12.75" customHeight="1">
      <c r="A1017" s="2">
        <v>2014.0</v>
      </c>
      <c r="B1017" s="2">
        <v>10.0</v>
      </c>
      <c r="C1017" s="2">
        <v>17.0</v>
      </c>
      <c r="D1017" s="2" t="s">
        <v>505</v>
      </c>
      <c r="E1017" s="2">
        <v>-153.0</v>
      </c>
      <c r="F1017" s="2">
        <v>0.0</v>
      </c>
      <c r="G1017" s="2">
        <f t="shared" si="1"/>
        <v>-153</v>
      </c>
      <c r="H1017" s="2" t="s">
        <v>47</v>
      </c>
      <c r="L1017" s="2" t="s">
        <v>11</v>
      </c>
    </row>
    <row r="1018" ht="12.75" customHeight="1">
      <c r="A1018" s="2">
        <v>2014.0</v>
      </c>
      <c r="B1018" s="2">
        <v>10.0</v>
      </c>
      <c r="C1018" s="2">
        <v>17.0</v>
      </c>
      <c r="D1018" s="2" t="s">
        <v>490</v>
      </c>
      <c r="E1018" s="2">
        <v>-70.0</v>
      </c>
      <c r="F1018" s="2">
        <v>0.0</v>
      </c>
      <c r="G1018" s="2">
        <f t="shared" si="1"/>
        <v>-70</v>
      </c>
      <c r="H1018" s="2" t="s">
        <v>47</v>
      </c>
      <c r="L1018" s="2" t="s">
        <v>11</v>
      </c>
    </row>
    <row r="1019" ht="12.75" customHeight="1">
      <c r="A1019" s="2">
        <v>2014.0</v>
      </c>
      <c r="B1019" s="2">
        <v>10.0</v>
      </c>
      <c r="C1019" s="2">
        <v>16.0</v>
      </c>
      <c r="D1019" s="2" t="s">
        <v>482</v>
      </c>
      <c r="E1019" s="2">
        <v>-75.0</v>
      </c>
      <c r="F1019" s="2">
        <v>0.0</v>
      </c>
      <c r="G1019" s="2">
        <f t="shared" si="1"/>
        <v>-75</v>
      </c>
      <c r="H1019" s="2" t="s">
        <v>38</v>
      </c>
      <c r="L1019" s="2" t="s">
        <v>11</v>
      </c>
    </row>
    <row r="1020" ht="12.75" customHeight="1">
      <c r="A1020" s="2">
        <v>2014.0</v>
      </c>
      <c r="B1020" s="2">
        <v>10.0</v>
      </c>
      <c r="C1020" s="2">
        <v>14.0</v>
      </c>
      <c r="D1020" s="2" t="s">
        <v>465</v>
      </c>
      <c r="E1020" s="2">
        <v>-65.0</v>
      </c>
      <c r="F1020" s="2">
        <v>0.0</v>
      </c>
      <c r="G1020" s="2">
        <f t="shared" si="1"/>
        <v>-65</v>
      </c>
      <c r="H1020" s="2" t="s">
        <v>47</v>
      </c>
      <c r="L1020" s="2" t="s">
        <v>11</v>
      </c>
    </row>
    <row r="1021" ht="12.75" customHeight="1">
      <c r="A1021" s="2">
        <v>2014.0</v>
      </c>
      <c r="B1021" s="2">
        <v>10.0</v>
      </c>
      <c r="C1021" s="2">
        <v>14.0</v>
      </c>
      <c r="D1021" s="2" t="s">
        <v>466</v>
      </c>
      <c r="E1021" s="2">
        <v>-51.0</v>
      </c>
      <c r="F1021" s="2">
        <v>0.0</v>
      </c>
      <c r="G1021" s="2">
        <f t="shared" si="1"/>
        <v>-51</v>
      </c>
      <c r="H1021" s="2" t="s">
        <v>42</v>
      </c>
      <c r="L1021" s="2" t="s">
        <v>11</v>
      </c>
    </row>
    <row r="1022" ht="12.75" customHeight="1">
      <c r="A1022" s="2">
        <v>2014.0</v>
      </c>
      <c r="B1022" s="2">
        <v>10.0</v>
      </c>
      <c r="C1022" s="2">
        <v>13.0</v>
      </c>
      <c r="D1022" s="2" t="s">
        <v>465</v>
      </c>
      <c r="E1022" s="2">
        <v>-65.0</v>
      </c>
      <c r="F1022" s="2">
        <v>0.0</v>
      </c>
      <c r="G1022" s="2">
        <f t="shared" si="1"/>
        <v>-65</v>
      </c>
      <c r="H1022" s="2" t="s">
        <v>47</v>
      </c>
      <c r="L1022" s="2" t="s">
        <v>11</v>
      </c>
    </row>
    <row r="1023" ht="12.75" customHeight="1">
      <c r="A1023" s="2">
        <v>2014.0</v>
      </c>
      <c r="B1023" s="2">
        <v>10.0</v>
      </c>
      <c r="C1023" s="2">
        <v>13.0</v>
      </c>
      <c r="D1023" s="2" t="s">
        <v>467</v>
      </c>
      <c r="E1023" s="2">
        <v>-800.0</v>
      </c>
      <c r="F1023" s="2">
        <v>0.0</v>
      </c>
      <c r="G1023" s="2">
        <f t="shared" si="1"/>
        <v>-800</v>
      </c>
      <c r="H1023" s="2" t="s">
        <v>38</v>
      </c>
      <c r="L1023" s="2" t="s">
        <v>11</v>
      </c>
    </row>
    <row r="1024" ht="12.75" customHeight="1">
      <c r="A1024" s="2">
        <v>2014.0</v>
      </c>
      <c r="B1024" s="2">
        <v>10.0</v>
      </c>
      <c r="C1024" s="2">
        <v>12.0</v>
      </c>
      <c r="D1024" s="2" t="s">
        <v>507</v>
      </c>
      <c r="E1024" s="2">
        <v>-135.0</v>
      </c>
      <c r="F1024" s="2">
        <v>0.0</v>
      </c>
      <c r="G1024" s="2">
        <f t="shared" si="1"/>
        <v>-135</v>
      </c>
      <c r="H1024" s="2" t="s">
        <v>47</v>
      </c>
      <c r="L1024" s="2" t="s">
        <v>11</v>
      </c>
    </row>
    <row r="1025" ht="12.75" customHeight="1">
      <c r="A1025" s="2">
        <v>2014.0</v>
      </c>
      <c r="B1025" s="2">
        <v>10.0</v>
      </c>
      <c r="C1025" s="2">
        <v>12.0</v>
      </c>
      <c r="D1025" s="2" t="s">
        <v>508</v>
      </c>
      <c r="E1025" s="2">
        <v>-199.0</v>
      </c>
      <c r="F1025" s="2">
        <v>0.0</v>
      </c>
      <c r="G1025" s="2">
        <f t="shared" si="1"/>
        <v>-199</v>
      </c>
      <c r="H1025" s="2" t="s">
        <v>13</v>
      </c>
      <c r="L1025" s="2" t="s">
        <v>11</v>
      </c>
    </row>
    <row r="1026" ht="12.75" customHeight="1">
      <c r="A1026" s="2">
        <v>2014.0</v>
      </c>
      <c r="B1026" s="2">
        <v>10.0</v>
      </c>
      <c r="C1026" s="2">
        <v>10.0</v>
      </c>
      <c r="D1026" s="2" t="s">
        <v>465</v>
      </c>
      <c r="E1026" s="2">
        <v>-65.0</v>
      </c>
      <c r="F1026" s="2">
        <v>0.0</v>
      </c>
      <c r="G1026" s="2">
        <f t="shared" si="1"/>
        <v>-65</v>
      </c>
      <c r="H1026" s="2" t="s">
        <v>47</v>
      </c>
      <c r="L1026" s="2" t="s">
        <v>11</v>
      </c>
    </row>
    <row r="1027" ht="12.75" customHeight="1">
      <c r="A1027" s="2">
        <v>2014.0</v>
      </c>
      <c r="B1027" s="2">
        <v>10.0</v>
      </c>
      <c r="C1027" s="2">
        <v>8.0</v>
      </c>
      <c r="D1027" s="2" t="s">
        <v>465</v>
      </c>
      <c r="E1027" s="2">
        <v>-65.0</v>
      </c>
      <c r="F1027" s="2">
        <v>0.0</v>
      </c>
      <c r="G1027" s="2">
        <f t="shared" si="1"/>
        <v>-65</v>
      </c>
      <c r="H1027" s="2" t="s">
        <v>47</v>
      </c>
      <c r="L1027" s="2" t="s">
        <v>11</v>
      </c>
    </row>
    <row r="1028" ht="12.75" customHeight="1">
      <c r="A1028" s="2">
        <v>2014.0</v>
      </c>
      <c r="B1028" s="2">
        <v>10.0</v>
      </c>
      <c r="C1028" s="2">
        <v>7.0</v>
      </c>
      <c r="D1028" s="2" t="s">
        <v>465</v>
      </c>
      <c r="E1028" s="2">
        <v>-65.0</v>
      </c>
      <c r="F1028" s="2">
        <v>0.0</v>
      </c>
      <c r="G1028" s="2">
        <f t="shared" si="1"/>
        <v>-65</v>
      </c>
      <c r="H1028" s="2" t="s">
        <v>47</v>
      </c>
      <c r="L1028" s="2" t="s">
        <v>11</v>
      </c>
    </row>
    <row r="1029" ht="12.75" customHeight="1">
      <c r="A1029" s="2">
        <v>2014.0</v>
      </c>
      <c r="B1029" s="2">
        <v>10.0</v>
      </c>
      <c r="C1029" s="2">
        <v>7.0</v>
      </c>
      <c r="D1029" s="2" t="s">
        <v>505</v>
      </c>
      <c r="E1029" s="2">
        <v>-103.0</v>
      </c>
      <c r="F1029" s="2">
        <v>0.0</v>
      </c>
      <c r="G1029" s="2">
        <f t="shared" si="1"/>
        <v>-103</v>
      </c>
      <c r="H1029" s="2" t="s">
        <v>42</v>
      </c>
      <c r="L1029" s="2" t="s">
        <v>11</v>
      </c>
    </row>
    <row r="1030" ht="12.75" customHeight="1">
      <c r="A1030" s="2">
        <v>2014.0</v>
      </c>
      <c r="B1030" s="2">
        <v>10.0</v>
      </c>
      <c r="C1030" s="2">
        <v>7.0</v>
      </c>
      <c r="D1030" s="2" t="s">
        <v>495</v>
      </c>
      <c r="E1030" s="2">
        <v>-95.0</v>
      </c>
      <c r="F1030" s="2">
        <v>0.0</v>
      </c>
      <c r="G1030" s="2">
        <f t="shared" si="1"/>
        <v>-95</v>
      </c>
      <c r="H1030" s="2" t="s">
        <v>38</v>
      </c>
      <c r="L1030" s="2" t="s">
        <v>11</v>
      </c>
    </row>
    <row r="1031" ht="12.75" customHeight="1">
      <c r="A1031" s="2">
        <v>2014.0</v>
      </c>
      <c r="B1031" s="2">
        <v>10.0</v>
      </c>
      <c r="C1031" s="2">
        <v>6.0</v>
      </c>
      <c r="D1031" s="2" t="s">
        <v>482</v>
      </c>
      <c r="E1031" s="2">
        <v>-75.0</v>
      </c>
      <c r="F1031" s="2">
        <v>0.0</v>
      </c>
      <c r="G1031" s="2">
        <f t="shared" si="1"/>
        <v>-75</v>
      </c>
      <c r="H1031" s="2" t="s">
        <v>38</v>
      </c>
      <c r="L1031" s="2" t="s">
        <v>11</v>
      </c>
    </row>
    <row r="1032" ht="12.75" customHeight="1">
      <c r="A1032" s="2">
        <v>2014.0</v>
      </c>
      <c r="B1032" s="2">
        <v>10.0</v>
      </c>
      <c r="C1032" s="2">
        <v>4.0</v>
      </c>
      <c r="D1032" s="2" t="s">
        <v>509</v>
      </c>
      <c r="E1032" s="2">
        <v>-49.0</v>
      </c>
      <c r="F1032" s="2">
        <v>0.0</v>
      </c>
      <c r="G1032" s="2">
        <f t="shared" si="1"/>
        <v>-49</v>
      </c>
      <c r="H1032" s="2" t="s">
        <v>35</v>
      </c>
      <c r="L1032" s="2" t="s">
        <v>11</v>
      </c>
    </row>
    <row r="1033" ht="12.75" customHeight="1">
      <c r="A1033" s="2">
        <v>2014.0</v>
      </c>
      <c r="B1033" s="2">
        <v>10.0</v>
      </c>
      <c r="C1033" s="2">
        <v>4.0</v>
      </c>
      <c r="D1033" s="2" t="s">
        <v>510</v>
      </c>
      <c r="E1033" s="2">
        <v>-149.0</v>
      </c>
      <c r="F1033" s="2">
        <v>0.0</v>
      </c>
      <c r="G1033" s="2">
        <f t="shared" si="1"/>
        <v>-149</v>
      </c>
      <c r="H1033" s="2" t="s">
        <v>47</v>
      </c>
      <c r="L1033" s="2" t="s">
        <v>11</v>
      </c>
    </row>
    <row r="1034" ht="12.75" customHeight="1">
      <c r="A1034" s="2">
        <v>2014.0</v>
      </c>
      <c r="B1034" s="2">
        <v>10.0</v>
      </c>
      <c r="C1034" s="2">
        <v>3.0</v>
      </c>
      <c r="D1034" s="2" t="s">
        <v>511</v>
      </c>
      <c r="E1034" s="2">
        <v>121.0</v>
      </c>
      <c r="F1034" s="2">
        <v>0.0</v>
      </c>
      <c r="G1034" s="2">
        <f t="shared" si="1"/>
        <v>121</v>
      </c>
      <c r="H1034" s="2" t="s">
        <v>153</v>
      </c>
      <c r="L1034" s="2" t="s">
        <v>11</v>
      </c>
    </row>
    <row r="1035" ht="12.75" customHeight="1">
      <c r="A1035" s="2">
        <v>2014.0</v>
      </c>
      <c r="B1035" s="2">
        <v>10.0</v>
      </c>
      <c r="C1035" s="2">
        <v>2.0</v>
      </c>
      <c r="D1035" s="2" t="s">
        <v>427</v>
      </c>
      <c r="E1035" s="2">
        <v>-526.0</v>
      </c>
      <c r="F1035" s="2">
        <v>0.0</v>
      </c>
      <c r="G1035" s="2">
        <f t="shared" si="1"/>
        <v>-526</v>
      </c>
      <c r="H1035" s="2" t="s">
        <v>428</v>
      </c>
      <c r="L1035" s="2" t="s">
        <v>11</v>
      </c>
    </row>
    <row r="1036" ht="12.75" customHeight="1">
      <c r="A1036" s="2">
        <v>2014.0</v>
      </c>
      <c r="B1036" s="2">
        <v>10.0</v>
      </c>
      <c r="C1036" s="2">
        <v>2.0</v>
      </c>
      <c r="D1036" s="2" t="s">
        <v>512</v>
      </c>
      <c r="E1036" s="2">
        <v>-70.0</v>
      </c>
      <c r="F1036" s="2">
        <v>0.0</v>
      </c>
      <c r="G1036" s="2">
        <f t="shared" si="1"/>
        <v>-70</v>
      </c>
      <c r="H1036" s="2" t="s">
        <v>52</v>
      </c>
      <c r="L1036" s="2" t="s">
        <v>11</v>
      </c>
    </row>
    <row r="1037" ht="12.75" customHeight="1">
      <c r="A1037" s="2">
        <v>2014.0</v>
      </c>
      <c r="B1037" s="2">
        <v>10.0</v>
      </c>
      <c r="C1037" s="2">
        <v>1.0</v>
      </c>
      <c r="D1037" s="2" t="s">
        <v>163</v>
      </c>
      <c r="E1037" s="2">
        <v>158.0</v>
      </c>
      <c r="F1037" s="2">
        <v>0.0</v>
      </c>
      <c r="G1037" s="2">
        <f t="shared" si="1"/>
        <v>158</v>
      </c>
      <c r="H1037" s="2" t="s">
        <v>13</v>
      </c>
      <c r="L1037" s="2" t="s">
        <v>11</v>
      </c>
    </row>
    <row r="1038" ht="12.75" customHeight="1">
      <c r="A1038" s="2">
        <v>2014.0</v>
      </c>
      <c r="B1038" s="2">
        <v>10.0</v>
      </c>
      <c r="C1038" s="2">
        <v>1.0</v>
      </c>
      <c r="D1038" s="2" t="s">
        <v>465</v>
      </c>
      <c r="E1038" s="2">
        <v>-65.0</v>
      </c>
      <c r="F1038" s="2">
        <v>0.0</v>
      </c>
      <c r="G1038" s="2">
        <f t="shared" si="1"/>
        <v>-65</v>
      </c>
      <c r="H1038" s="2" t="s">
        <v>47</v>
      </c>
      <c r="L1038" s="2" t="s">
        <v>11</v>
      </c>
    </row>
    <row r="1039" ht="12.75" customHeight="1">
      <c r="A1039" s="2">
        <v>2014.0</v>
      </c>
      <c r="B1039" s="2">
        <v>10.0</v>
      </c>
      <c r="C1039" s="2">
        <v>1.0</v>
      </c>
      <c r="D1039" s="2" t="s">
        <v>466</v>
      </c>
      <c r="E1039" s="2">
        <v>-51.0</v>
      </c>
      <c r="F1039" s="2">
        <v>0.0</v>
      </c>
      <c r="G1039" s="2">
        <f t="shared" si="1"/>
        <v>-51</v>
      </c>
      <c r="H1039" s="2" t="s">
        <v>42</v>
      </c>
      <c r="L1039" s="2" t="s">
        <v>11</v>
      </c>
    </row>
    <row r="1040" ht="12.75" customHeight="1">
      <c r="A1040" s="2">
        <v>2014.0</v>
      </c>
      <c r="B1040" s="2">
        <v>10.0</v>
      </c>
      <c r="C1040" s="2">
        <v>1.0</v>
      </c>
      <c r="D1040" s="2" t="s">
        <v>157</v>
      </c>
      <c r="E1040" s="2">
        <v>-130.0</v>
      </c>
      <c r="F1040" s="2">
        <v>0.0</v>
      </c>
      <c r="G1040" s="2">
        <f t="shared" si="1"/>
        <v>-130</v>
      </c>
      <c r="H1040" s="2" t="s">
        <v>17</v>
      </c>
      <c r="L1040" s="2" t="s">
        <v>11</v>
      </c>
    </row>
    <row r="1041" ht="12.75" customHeight="1">
      <c r="A1041" s="2">
        <v>2014.0</v>
      </c>
      <c r="B1041" s="2">
        <v>10.0</v>
      </c>
      <c r="C1041" s="2">
        <v>1.0</v>
      </c>
      <c r="D1041" s="2" t="s">
        <v>73</v>
      </c>
      <c r="E1041" s="2">
        <v>-5999.0</v>
      </c>
      <c r="F1041" s="2">
        <v>0.0</v>
      </c>
      <c r="G1041" s="2">
        <f t="shared" si="1"/>
        <v>-5999</v>
      </c>
      <c r="H1041" s="2" t="s">
        <v>10</v>
      </c>
      <c r="L1041" s="2" t="s">
        <v>11</v>
      </c>
    </row>
    <row r="1042" ht="12.75" customHeight="1">
      <c r="A1042" s="2">
        <v>2014.0</v>
      </c>
      <c r="B1042" s="2">
        <v>9.0</v>
      </c>
      <c r="C1042" s="2">
        <v>30.0</v>
      </c>
      <c r="D1042" s="2" t="s">
        <v>465</v>
      </c>
      <c r="E1042" s="2">
        <v>-65.0</v>
      </c>
      <c r="F1042" s="2">
        <v>0.0</v>
      </c>
      <c r="G1042" s="2">
        <f t="shared" si="1"/>
        <v>-65</v>
      </c>
      <c r="H1042" s="2" t="s">
        <v>47</v>
      </c>
      <c r="L1042" s="2" t="s">
        <v>11</v>
      </c>
    </row>
    <row r="1043" ht="12.75" customHeight="1">
      <c r="A1043" s="2">
        <v>2014.0</v>
      </c>
      <c r="B1043" s="2">
        <v>9.0</v>
      </c>
      <c r="C1043" s="2">
        <v>30.0</v>
      </c>
      <c r="D1043" s="2" t="s">
        <v>12</v>
      </c>
      <c r="E1043" s="2">
        <v>-11310.38</v>
      </c>
      <c r="F1043" s="2">
        <v>0.0</v>
      </c>
      <c r="G1043" s="2">
        <f t="shared" si="1"/>
        <v>-11310.38</v>
      </c>
      <c r="H1043" s="2" t="s">
        <v>28</v>
      </c>
      <c r="L1043" s="2" t="s">
        <v>228</v>
      </c>
    </row>
    <row r="1044" ht="12.75" customHeight="1">
      <c r="A1044" s="2">
        <v>2014.0</v>
      </c>
      <c r="B1044" s="2">
        <v>9.0</v>
      </c>
      <c r="C1044" s="2">
        <v>30.0</v>
      </c>
      <c r="D1044" s="2" t="s">
        <v>14</v>
      </c>
      <c r="E1044" s="2">
        <v>-4007.0</v>
      </c>
      <c r="F1044" s="2">
        <v>0.0</v>
      </c>
      <c r="G1044" s="2">
        <f t="shared" si="1"/>
        <v>-4007</v>
      </c>
      <c r="H1044" s="2" t="s">
        <v>10</v>
      </c>
      <c r="L1044" s="2" t="s">
        <v>11</v>
      </c>
    </row>
    <row r="1045" ht="12.75" customHeight="1">
      <c r="A1045" s="2">
        <v>2014.0</v>
      </c>
      <c r="B1045" s="2">
        <v>9.0</v>
      </c>
      <c r="C1045" s="2">
        <v>30.0</v>
      </c>
      <c r="D1045" s="2" t="s">
        <v>15</v>
      </c>
      <c r="E1045" s="2">
        <v>-207.8</v>
      </c>
      <c r="F1045" s="2">
        <v>0.0</v>
      </c>
      <c r="G1045" s="2">
        <f t="shared" si="1"/>
        <v>-207.8</v>
      </c>
      <c r="H1045" s="2" t="s">
        <v>10</v>
      </c>
      <c r="L1045" s="2" t="s">
        <v>11</v>
      </c>
    </row>
    <row r="1046" ht="12.75" customHeight="1">
      <c r="A1046" s="2">
        <v>2014.0</v>
      </c>
      <c r="B1046" s="2">
        <v>9.0</v>
      </c>
      <c r="C1046" s="2">
        <v>30.0</v>
      </c>
      <c r="D1046" s="2" t="s">
        <v>102</v>
      </c>
      <c r="E1046" s="2">
        <v>-241.0</v>
      </c>
      <c r="F1046" s="2">
        <v>0.0</v>
      </c>
      <c r="G1046" s="2">
        <f t="shared" si="1"/>
        <v>-241</v>
      </c>
      <c r="H1046" s="2" t="s">
        <v>103</v>
      </c>
      <c r="L1046" s="2" t="s">
        <v>11</v>
      </c>
    </row>
    <row r="1047" ht="12.75" customHeight="1">
      <c r="A1047" s="2">
        <v>2014.0</v>
      </c>
      <c r="B1047" s="2">
        <v>9.0</v>
      </c>
      <c r="C1047" s="2">
        <v>30.0</v>
      </c>
      <c r="D1047" s="2">
        <v>4.7516877E7</v>
      </c>
      <c r="E1047" s="2">
        <v>1000.0</v>
      </c>
      <c r="F1047" s="2">
        <v>0.0</v>
      </c>
      <c r="G1047" s="2">
        <f t="shared" si="1"/>
        <v>1000</v>
      </c>
      <c r="H1047" s="2" t="s">
        <v>18</v>
      </c>
      <c r="L1047" s="2" t="s">
        <v>11</v>
      </c>
    </row>
    <row r="1048" ht="12.75" customHeight="1">
      <c r="A1048" s="2">
        <v>2014.0</v>
      </c>
      <c r="B1048" s="2">
        <v>9.0</v>
      </c>
      <c r="C1048" s="2">
        <v>29.0</v>
      </c>
      <c r="D1048" s="2" t="s">
        <v>25</v>
      </c>
      <c r="E1048" s="2">
        <v>-100.0</v>
      </c>
      <c r="F1048" s="2">
        <v>0.0</v>
      </c>
      <c r="G1048" s="2">
        <f t="shared" si="1"/>
        <v>-100</v>
      </c>
      <c r="H1048" s="2" t="s">
        <v>26</v>
      </c>
      <c r="L1048" s="2" t="s">
        <v>11</v>
      </c>
    </row>
    <row r="1049" ht="12.75" customHeight="1">
      <c r="A1049" s="2">
        <v>2014.0</v>
      </c>
      <c r="B1049" s="2">
        <v>9.0</v>
      </c>
      <c r="C1049" s="2">
        <v>29.0</v>
      </c>
      <c r="D1049" s="2" t="s">
        <v>19</v>
      </c>
      <c r="E1049" s="2">
        <v>-320.0</v>
      </c>
      <c r="F1049" s="2">
        <v>0.0</v>
      </c>
      <c r="G1049" s="2">
        <f t="shared" si="1"/>
        <v>-320</v>
      </c>
      <c r="H1049" s="2" t="s">
        <v>20</v>
      </c>
      <c r="L1049" s="2" t="s">
        <v>11</v>
      </c>
    </row>
    <row r="1050" ht="12.75" customHeight="1">
      <c r="A1050" s="2">
        <v>2014.0</v>
      </c>
      <c r="B1050" s="2">
        <v>9.0</v>
      </c>
      <c r="C1050" s="2">
        <v>29.0</v>
      </c>
      <c r="D1050" s="2" t="s">
        <v>513</v>
      </c>
      <c r="E1050" s="2">
        <v>-69.0</v>
      </c>
      <c r="F1050" s="2">
        <v>0.0</v>
      </c>
      <c r="G1050" s="2">
        <f t="shared" si="1"/>
        <v>-69</v>
      </c>
      <c r="H1050" s="2" t="s">
        <v>47</v>
      </c>
      <c r="L1050" s="2" t="s">
        <v>11</v>
      </c>
    </row>
    <row r="1051" ht="12.75" customHeight="1">
      <c r="A1051" s="2">
        <v>2014.0</v>
      </c>
      <c r="B1051" s="2">
        <v>9.0</v>
      </c>
      <c r="C1051" s="2">
        <v>29.0</v>
      </c>
      <c r="D1051" s="2" t="s">
        <v>23</v>
      </c>
      <c r="E1051" s="2">
        <v>-285.0</v>
      </c>
      <c r="F1051" s="2">
        <v>0.0</v>
      </c>
      <c r="G1051" s="2">
        <f t="shared" si="1"/>
        <v>-285</v>
      </c>
      <c r="H1051" s="2" t="s">
        <v>24</v>
      </c>
      <c r="L1051" s="2" t="s">
        <v>11</v>
      </c>
    </row>
    <row r="1052" ht="12.75" customHeight="1">
      <c r="A1052" s="2">
        <v>2014.0</v>
      </c>
      <c r="B1052" s="2">
        <v>9.0</v>
      </c>
      <c r="C1052" s="2">
        <v>27.0</v>
      </c>
      <c r="D1052" s="2" t="s">
        <v>514</v>
      </c>
      <c r="E1052" s="2">
        <v>-58.0</v>
      </c>
      <c r="F1052" s="2">
        <v>0.0</v>
      </c>
      <c r="G1052" s="2">
        <f t="shared" si="1"/>
        <v>-58</v>
      </c>
      <c r="H1052" s="2" t="s">
        <v>52</v>
      </c>
      <c r="L1052" s="2" t="s">
        <v>11</v>
      </c>
    </row>
    <row r="1053" ht="12.75" customHeight="1">
      <c r="A1053" s="2">
        <v>2014.0</v>
      </c>
      <c r="B1053" s="2">
        <v>9.0</v>
      </c>
      <c r="C1053" s="2">
        <v>27.0</v>
      </c>
      <c r="D1053" s="2" t="s">
        <v>514</v>
      </c>
      <c r="E1053" s="2">
        <v>-170.0</v>
      </c>
      <c r="F1053" s="2">
        <v>0.0</v>
      </c>
      <c r="G1053" s="2">
        <f t="shared" si="1"/>
        <v>-170</v>
      </c>
      <c r="H1053" s="2" t="s">
        <v>31</v>
      </c>
      <c r="L1053" s="2" t="s">
        <v>11</v>
      </c>
    </row>
    <row r="1054" ht="12.75" customHeight="1">
      <c r="A1054" s="2">
        <v>2014.0</v>
      </c>
      <c r="B1054" s="2">
        <v>9.0</v>
      </c>
      <c r="C1054" s="2">
        <v>27.0</v>
      </c>
      <c r="D1054" s="2" t="s">
        <v>515</v>
      </c>
      <c r="E1054" s="2">
        <v>-70.0</v>
      </c>
      <c r="F1054" s="2">
        <v>0.0</v>
      </c>
      <c r="G1054" s="2">
        <f t="shared" si="1"/>
        <v>-70</v>
      </c>
      <c r="H1054" s="2" t="s">
        <v>47</v>
      </c>
      <c r="L1054" s="2" t="s">
        <v>11</v>
      </c>
    </row>
    <row r="1055" ht="12.75" customHeight="1">
      <c r="A1055" s="2">
        <v>2014.0</v>
      </c>
      <c r="B1055" s="2">
        <v>9.0</v>
      </c>
      <c r="C1055" s="2">
        <v>27.0</v>
      </c>
      <c r="D1055" s="2" t="s">
        <v>516</v>
      </c>
      <c r="E1055" s="2">
        <v>-180.0</v>
      </c>
      <c r="F1055" s="2">
        <v>0.0</v>
      </c>
      <c r="G1055" s="2">
        <f t="shared" si="1"/>
        <v>-180</v>
      </c>
      <c r="H1055" s="2" t="s">
        <v>31</v>
      </c>
      <c r="L1055" s="2" t="s">
        <v>11</v>
      </c>
    </row>
    <row r="1056" ht="12.75" customHeight="1">
      <c r="A1056" s="2">
        <v>2014.0</v>
      </c>
      <c r="B1056" s="2">
        <v>9.0</v>
      </c>
      <c r="C1056" s="2">
        <v>27.0</v>
      </c>
      <c r="D1056" s="2" t="s">
        <v>517</v>
      </c>
      <c r="E1056" s="2">
        <v>-84.0</v>
      </c>
      <c r="F1056" s="2">
        <v>0.0</v>
      </c>
      <c r="G1056" s="2">
        <f t="shared" si="1"/>
        <v>-84</v>
      </c>
      <c r="H1056" s="2" t="s">
        <v>47</v>
      </c>
      <c r="L1056" s="2" t="s">
        <v>11</v>
      </c>
    </row>
    <row r="1057" ht="12.75" customHeight="1">
      <c r="A1057" s="2">
        <v>2014.0</v>
      </c>
      <c r="B1057" s="2">
        <v>9.0</v>
      </c>
      <c r="C1057" s="2">
        <v>27.0</v>
      </c>
      <c r="D1057" s="2" t="s">
        <v>517</v>
      </c>
      <c r="E1057" s="2">
        <v>-75.0</v>
      </c>
      <c r="F1057" s="2">
        <v>0.0</v>
      </c>
      <c r="G1057" s="2">
        <f t="shared" si="1"/>
        <v>-75</v>
      </c>
      <c r="H1057" s="2" t="s">
        <v>47</v>
      </c>
      <c r="L1057" s="2" t="s">
        <v>11</v>
      </c>
    </row>
    <row r="1058" ht="12.75" customHeight="1">
      <c r="A1058" s="2">
        <v>2014.0</v>
      </c>
      <c r="B1058" s="2">
        <v>9.0</v>
      </c>
      <c r="C1058" s="2">
        <v>27.0</v>
      </c>
      <c r="D1058" s="2" t="s">
        <v>517</v>
      </c>
      <c r="E1058" s="2">
        <v>-54.0</v>
      </c>
      <c r="F1058" s="2">
        <v>0.0</v>
      </c>
      <c r="G1058" s="2">
        <f t="shared" si="1"/>
        <v>-54</v>
      </c>
      <c r="H1058" s="2" t="s">
        <v>47</v>
      </c>
      <c r="L1058" s="2" t="s">
        <v>11</v>
      </c>
    </row>
    <row r="1059" ht="12.75" customHeight="1">
      <c r="A1059" s="2">
        <v>2014.0</v>
      </c>
      <c r="B1059" s="2">
        <v>9.0</v>
      </c>
      <c r="C1059" s="2">
        <v>27.0</v>
      </c>
      <c r="D1059" s="2" t="s">
        <v>518</v>
      </c>
      <c r="E1059" s="2">
        <v>-180.0</v>
      </c>
      <c r="F1059" s="2">
        <v>0.0</v>
      </c>
      <c r="G1059" s="2">
        <f t="shared" si="1"/>
        <v>-180</v>
      </c>
      <c r="H1059" s="2" t="s">
        <v>31</v>
      </c>
      <c r="L1059" s="2" t="s">
        <v>11</v>
      </c>
    </row>
    <row r="1060" ht="12.75" customHeight="1">
      <c r="A1060" s="2">
        <v>2014.0</v>
      </c>
      <c r="B1060" s="2">
        <v>9.0</v>
      </c>
      <c r="C1060" s="2">
        <v>27.0</v>
      </c>
      <c r="D1060" s="2" t="s">
        <v>519</v>
      </c>
      <c r="E1060" s="2">
        <v>-68.0</v>
      </c>
      <c r="F1060" s="2">
        <v>0.0</v>
      </c>
      <c r="G1060" s="2">
        <f t="shared" si="1"/>
        <v>-68</v>
      </c>
      <c r="H1060" s="2" t="s">
        <v>52</v>
      </c>
      <c r="L1060" s="2" t="s">
        <v>11</v>
      </c>
    </row>
    <row r="1061" ht="12.75" customHeight="1">
      <c r="A1061" s="2">
        <v>2014.0</v>
      </c>
      <c r="B1061" s="2">
        <v>9.0</v>
      </c>
      <c r="C1061" s="2">
        <v>26.0</v>
      </c>
      <c r="D1061" s="2" t="s">
        <v>382</v>
      </c>
      <c r="E1061" s="2">
        <v>-299.0</v>
      </c>
      <c r="F1061" s="2">
        <v>0.0</v>
      </c>
      <c r="G1061" s="2">
        <f t="shared" si="1"/>
        <v>-299</v>
      </c>
      <c r="H1061" s="2" t="s">
        <v>22</v>
      </c>
      <c r="L1061" s="2" t="s">
        <v>11</v>
      </c>
    </row>
    <row r="1062" ht="12.75" customHeight="1">
      <c r="A1062" s="2">
        <v>2014.0</v>
      </c>
      <c r="B1062" s="2">
        <v>9.0</v>
      </c>
      <c r="C1062" s="2">
        <v>26.0</v>
      </c>
      <c r="D1062" s="2" t="s">
        <v>29</v>
      </c>
      <c r="E1062" s="2">
        <v>-1250.0</v>
      </c>
      <c r="F1062" s="2">
        <v>0.0</v>
      </c>
      <c r="G1062" s="2">
        <f t="shared" si="1"/>
        <v>-1250</v>
      </c>
      <c r="H1062" s="2" t="s">
        <v>18</v>
      </c>
      <c r="L1062" s="2" t="s">
        <v>11</v>
      </c>
    </row>
    <row r="1063" ht="12.75" customHeight="1">
      <c r="A1063" s="2">
        <v>2014.0</v>
      </c>
      <c r="B1063" s="2">
        <v>9.0</v>
      </c>
      <c r="C1063" s="2">
        <v>26.0</v>
      </c>
      <c r="D1063" s="2" t="s">
        <v>500</v>
      </c>
      <c r="E1063" s="2">
        <v>-576.87</v>
      </c>
      <c r="F1063" s="2">
        <v>0.0</v>
      </c>
      <c r="G1063" s="2">
        <f t="shared" si="1"/>
        <v>-576.87</v>
      </c>
      <c r="H1063" s="2" t="s">
        <v>54</v>
      </c>
      <c r="L1063" s="2" t="s">
        <v>11</v>
      </c>
    </row>
    <row r="1064" ht="12.75" customHeight="1">
      <c r="A1064" s="2">
        <v>2014.0</v>
      </c>
      <c r="B1064" s="2">
        <v>9.0</v>
      </c>
      <c r="C1064" s="2">
        <v>25.0</v>
      </c>
      <c r="D1064" s="2" t="s">
        <v>27</v>
      </c>
      <c r="E1064" s="2">
        <v>-5000.0</v>
      </c>
      <c r="F1064" s="2">
        <v>0.0</v>
      </c>
      <c r="G1064" s="2">
        <f t="shared" si="1"/>
        <v>-5000</v>
      </c>
      <c r="H1064" s="2" t="s">
        <v>28</v>
      </c>
      <c r="L1064" s="2" t="s">
        <v>11</v>
      </c>
    </row>
    <row r="1065" ht="12.75" customHeight="1">
      <c r="A1065" s="2">
        <v>2014.0</v>
      </c>
      <c r="B1065" s="2">
        <v>9.0</v>
      </c>
      <c r="C1065" s="2">
        <v>25.0</v>
      </c>
      <c r="D1065" s="2" t="s">
        <v>27</v>
      </c>
      <c r="E1065" s="2">
        <v>5000.0</v>
      </c>
      <c r="F1065" s="2">
        <v>0.0</v>
      </c>
      <c r="G1065" s="2">
        <f t="shared" si="1"/>
        <v>5000</v>
      </c>
      <c r="H1065" s="2" t="s">
        <v>28</v>
      </c>
      <c r="L1065" s="2" t="s">
        <v>11</v>
      </c>
    </row>
    <row r="1066" ht="12.75" customHeight="1">
      <c r="A1066" s="2">
        <v>2014.0</v>
      </c>
      <c r="B1066" s="2">
        <v>9.0</v>
      </c>
      <c r="C1066" s="2">
        <v>24.0</v>
      </c>
      <c r="D1066" s="2" t="s">
        <v>465</v>
      </c>
      <c r="E1066" s="2">
        <v>-65.0</v>
      </c>
      <c r="F1066" s="2">
        <v>0.0</v>
      </c>
      <c r="G1066" s="2">
        <f t="shared" si="1"/>
        <v>-65</v>
      </c>
      <c r="H1066" s="2" t="s">
        <v>47</v>
      </c>
      <c r="L1066" s="2" t="s">
        <v>11</v>
      </c>
    </row>
    <row r="1067" ht="12.75" customHeight="1">
      <c r="A1067" s="2">
        <v>2014.0</v>
      </c>
      <c r="B1067" s="2">
        <v>9.0</v>
      </c>
      <c r="C1067" s="2">
        <v>24.0</v>
      </c>
      <c r="D1067" s="2" t="s">
        <v>466</v>
      </c>
      <c r="E1067" s="2">
        <v>-66.0</v>
      </c>
      <c r="F1067" s="2">
        <v>0.0</v>
      </c>
      <c r="G1067" s="2">
        <f t="shared" si="1"/>
        <v>-66</v>
      </c>
      <c r="H1067" s="2" t="s">
        <v>42</v>
      </c>
      <c r="L1067" s="2" t="s">
        <v>11</v>
      </c>
    </row>
    <row r="1068" ht="12.75" customHeight="1">
      <c r="A1068" s="2">
        <v>2014.0</v>
      </c>
      <c r="B1068" s="2">
        <v>9.0</v>
      </c>
      <c r="C1068" s="2">
        <v>24.0</v>
      </c>
      <c r="D1068" s="2" t="s">
        <v>39</v>
      </c>
      <c r="E1068" s="2">
        <v>23097.0</v>
      </c>
      <c r="F1068" s="2">
        <v>0.0</v>
      </c>
      <c r="G1068" s="2">
        <f t="shared" si="1"/>
        <v>23097</v>
      </c>
      <c r="H1068" s="2" t="s">
        <v>40</v>
      </c>
      <c r="L1068" s="2" t="s">
        <v>11</v>
      </c>
    </row>
    <row r="1069" ht="12.75" customHeight="1">
      <c r="A1069" s="2">
        <v>2014.0</v>
      </c>
      <c r="B1069" s="2">
        <v>9.0</v>
      </c>
      <c r="C1069" s="2">
        <v>24.0</v>
      </c>
      <c r="D1069" s="2" t="s">
        <v>482</v>
      </c>
      <c r="E1069" s="2">
        <v>-75.0</v>
      </c>
      <c r="F1069" s="2">
        <v>0.0</v>
      </c>
      <c r="G1069" s="2">
        <f t="shared" si="1"/>
        <v>-75</v>
      </c>
      <c r="H1069" s="2" t="s">
        <v>38</v>
      </c>
      <c r="L1069" s="2" t="s">
        <v>11</v>
      </c>
    </row>
    <row r="1070" ht="12.75" customHeight="1">
      <c r="A1070" s="2">
        <v>2014.0</v>
      </c>
      <c r="B1070" s="2">
        <v>9.0</v>
      </c>
      <c r="C1070" s="2">
        <v>23.0</v>
      </c>
      <c r="D1070" s="2" t="s">
        <v>520</v>
      </c>
      <c r="E1070" s="2">
        <v>-200.0</v>
      </c>
      <c r="F1070" s="2">
        <v>0.0</v>
      </c>
      <c r="G1070" s="2">
        <f t="shared" si="1"/>
        <v>-200</v>
      </c>
      <c r="H1070" s="2" t="s">
        <v>13</v>
      </c>
      <c r="L1070" s="2" t="s">
        <v>11</v>
      </c>
    </row>
    <row r="1071" ht="12.75" customHeight="1">
      <c r="A1071" s="2">
        <v>2014.0</v>
      </c>
      <c r="B1071" s="2">
        <v>9.0</v>
      </c>
      <c r="C1071" s="2">
        <v>23.0</v>
      </c>
      <c r="D1071" s="2" t="s">
        <v>467</v>
      </c>
      <c r="E1071" s="2">
        <v>-800.0</v>
      </c>
      <c r="F1071" s="2">
        <v>0.0</v>
      </c>
      <c r="G1071" s="2">
        <f t="shared" si="1"/>
        <v>-800</v>
      </c>
      <c r="H1071" s="2" t="s">
        <v>38</v>
      </c>
      <c r="L1071" s="2" t="s">
        <v>11</v>
      </c>
    </row>
    <row r="1072" ht="12.75" customHeight="1">
      <c r="A1072" s="2">
        <v>2014.0</v>
      </c>
      <c r="B1072" s="2">
        <v>9.0</v>
      </c>
      <c r="C1072" s="2">
        <v>22.0</v>
      </c>
      <c r="D1072" s="2" t="s">
        <v>465</v>
      </c>
      <c r="E1072" s="2">
        <v>-60.0</v>
      </c>
      <c r="F1072" s="2">
        <v>0.0</v>
      </c>
      <c r="G1072" s="2">
        <f t="shared" si="1"/>
        <v>-60</v>
      </c>
      <c r="H1072" s="2" t="s">
        <v>47</v>
      </c>
      <c r="L1072" s="2" t="s">
        <v>11</v>
      </c>
    </row>
    <row r="1073" ht="12.75" customHeight="1">
      <c r="A1073" s="2">
        <v>2014.0</v>
      </c>
      <c r="B1073" s="2">
        <v>9.0</v>
      </c>
      <c r="C1073" s="2">
        <v>22.0</v>
      </c>
      <c r="D1073" s="2" t="s">
        <v>466</v>
      </c>
      <c r="E1073" s="2">
        <v>-66.0</v>
      </c>
      <c r="F1073" s="2">
        <v>0.0</v>
      </c>
      <c r="G1073" s="2">
        <f t="shared" si="1"/>
        <v>-66</v>
      </c>
      <c r="H1073" s="2" t="s">
        <v>47</v>
      </c>
      <c r="L1073" s="2" t="s">
        <v>11</v>
      </c>
    </row>
    <row r="1074" ht="12.75" customHeight="1">
      <c r="A1074" s="2">
        <v>2014.0</v>
      </c>
      <c r="B1074" s="2">
        <v>9.0</v>
      </c>
      <c r="C1074" s="2">
        <v>22.0</v>
      </c>
      <c r="D1074" s="2" t="s">
        <v>521</v>
      </c>
      <c r="E1074" s="2">
        <v>3030.0</v>
      </c>
      <c r="F1074" s="2">
        <v>0.0</v>
      </c>
      <c r="G1074" s="2">
        <f t="shared" si="1"/>
        <v>3030</v>
      </c>
      <c r="H1074" s="2" t="s">
        <v>35</v>
      </c>
      <c r="L1074" s="2" t="s">
        <v>11</v>
      </c>
    </row>
    <row r="1075" ht="12.75" customHeight="1">
      <c r="A1075" s="2">
        <v>2014.0</v>
      </c>
      <c r="B1075" s="2">
        <v>9.0</v>
      </c>
      <c r="C1075" s="2">
        <v>21.0</v>
      </c>
      <c r="D1075" s="2" t="s">
        <v>522</v>
      </c>
      <c r="E1075" s="2">
        <v>-97.0</v>
      </c>
      <c r="F1075" s="2">
        <v>0.0</v>
      </c>
      <c r="G1075" s="2">
        <f t="shared" si="1"/>
        <v>-97</v>
      </c>
      <c r="H1075" s="2" t="s">
        <v>47</v>
      </c>
      <c r="L1075" s="2" t="s">
        <v>11</v>
      </c>
    </row>
    <row r="1076" ht="12.75" customHeight="1">
      <c r="A1076" s="2">
        <v>2014.0</v>
      </c>
      <c r="B1076" s="2">
        <v>9.0</v>
      </c>
      <c r="C1076" s="2">
        <v>21.0</v>
      </c>
      <c r="D1076" s="2" t="s">
        <v>496</v>
      </c>
      <c r="E1076" s="2">
        <v>-65.0</v>
      </c>
      <c r="F1076" s="2">
        <v>0.0</v>
      </c>
      <c r="G1076" s="2">
        <f t="shared" si="1"/>
        <v>-65</v>
      </c>
      <c r="H1076" s="2" t="s">
        <v>47</v>
      </c>
      <c r="L1076" s="2" t="s">
        <v>11</v>
      </c>
    </row>
    <row r="1077" ht="12.75" customHeight="1">
      <c r="A1077" s="2">
        <v>2014.0</v>
      </c>
      <c r="B1077" s="2">
        <v>9.0</v>
      </c>
      <c r="C1077" s="2">
        <v>20.0</v>
      </c>
      <c r="D1077" s="2" t="s">
        <v>523</v>
      </c>
      <c r="E1077" s="2">
        <v>-59.0</v>
      </c>
      <c r="F1077" s="2">
        <v>0.0</v>
      </c>
      <c r="G1077" s="2">
        <f t="shared" si="1"/>
        <v>-59</v>
      </c>
      <c r="H1077" s="2" t="s">
        <v>52</v>
      </c>
      <c r="L1077" s="2" t="s">
        <v>11</v>
      </c>
    </row>
    <row r="1078" ht="12.75" customHeight="1">
      <c r="A1078" s="2">
        <v>2014.0</v>
      </c>
      <c r="B1078" s="2">
        <v>9.0</v>
      </c>
      <c r="C1078" s="2">
        <v>20.0</v>
      </c>
      <c r="D1078" s="2" t="s">
        <v>523</v>
      </c>
      <c r="E1078" s="2">
        <v>-120.0</v>
      </c>
      <c r="F1078" s="2">
        <v>0.0</v>
      </c>
      <c r="G1078" s="2">
        <f t="shared" si="1"/>
        <v>-120</v>
      </c>
      <c r="H1078" s="2" t="s">
        <v>52</v>
      </c>
      <c r="L1078" s="2" t="s">
        <v>11</v>
      </c>
    </row>
    <row r="1079" ht="12.75" customHeight="1">
      <c r="A1079" s="2">
        <v>2014.0</v>
      </c>
      <c r="B1079" s="2">
        <v>9.0</v>
      </c>
      <c r="C1079" s="2">
        <v>20.0</v>
      </c>
      <c r="D1079" s="2" t="s">
        <v>524</v>
      </c>
      <c r="E1079" s="2">
        <v>-2950.0</v>
      </c>
      <c r="F1079" s="2">
        <v>0.0</v>
      </c>
      <c r="G1079" s="2">
        <f t="shared" si="1"/>
        <v>-2950</v>
      </c>
      <c r="H1079" s="2" t="s">
        <v>35</v>
      </c>
      <c r="L1079" s="2" t="s">
        <v>11</v>
      </c>
    </row>
    <row r="1080" ht="12.75" customHeight="1">
      <c r="A1080" s="2">
        <v>2014.0</v>
      </c>
      <c r="B1080" s="2">
        <v>9.0</v>
      </c>
      <c r="C1080" s="2">
        <v>20.0</v>
      </c>
      <c r="D1080" s="2" t="s">
        <v>525</v>
      </c>
      <c r="E1080" s="2">
        <v>-90.0</v>
      </c>
      <c r="F1080" s="2">
        <v>0.0</v>
      </c>
      <c r="G1080" s="2">
        <f t="shared" si="1"/>
        <v>-90</v>
      </c>
      <c r="H1080" s="2" t="s">
        <v>52</v>
      </c>
      <c r="L1080" s="2" t="s">
        <v>11</v>
      </c>
    </row>
    <row r="1081" ht="12.75" customHeight="1">
      <c r="A1081" s="2">
        <v>2014.0</v>
      </c>
      <c r="B1081" s="2">
        <v>9.0</v>
      </c>
      <c r="C1081" s="2">
        <v>20.0</v>
      </c>
      <c r="D1081" s="2" t="s">
        <v>526</v>
      </c>
      <c r="E1081" s="2">
        <v>-86.0</v>
      </c>
      <c r="F1081" s="2">
        <v>0.0</v>
      </c>
      <c r="G1081" s="2">
        <f t="shared" si="1"/>
        <v>-86</v>
      </c>
      <c r="H1081" s="2" t="s">
        <v>42</v>
      </c>
      <c r="L1081" s="2" t="s">
        <v>11</v>
      </c>
    </row>
    <row r="1082" ht="12.75" customHeight="1">
      <c r="A1082" s="2">
        <v>2014.0</v>
      </c>
      <c r="B1082" s="2">
        <v>9.0</v>
      </c>
      <c r="C1082" s="2">
        <v>20.0</v>
      </c>
      <c r="D1082" s="2" t="s">
        <v>526</v>
      </c>
      <c r="E1082" s="2">
        <v>-143.0</v>
      </c>
      <c r="F1082" s="2">
        <v>0.0</v>
      </c>
      <c r="G1082" s="2">
        <f t="shared" si="1"/>
        <v>-143</v>
      </c>
      <c r="H1082" s="2" t="s">
        <v>47</v>
      </c>
      <c r="L1082" s="2" t="s">
        <v>11</v>
      </c>
    </row>
    <row r="1083" ht="12.75" customHeight="1">
      <c r="A1083" s="2">
        <v>2014.0</v>
      </c>
      <c r="B1083" s="2">
        <v>9.0</v>
      </c>
      <c r="C1083" s="2">
        <v>19.0</v>
      </c>
      <c r="D1083" s="2" t="s">
        <v>527</v>
      </c>
      <c r="E1083" s="2">
        <v>-198.0</v>
      </c>
      <c r="F1083" s="2">
        <v>0.0</v>
      </c>
      <c r="G1083" s="2">
        <f t="shared" si="1"/>
        <v>-198</v>
      </c>
      <c r="H1083" s="2" t="s">
        <v>47</v>
      </c>
      <c r="L1083" s="2" t="s">
        <v>11</v>
      </c>
    </row>
    <row r="1084" ht="12.75" customHeight="1">
      <c r="A1084" s="2">
        <v>2014.0</v>
      </c>
      <c r="B1084" s="2">
        <v>9.0</v>
      </c>
      <c r="C1084" s="2">
        <v>19.0</v>
      </c>
      <c r="D1084" s="2" t="s">
        <v>523</v>
      </c>
      <c r="E1084" s="2">
        <v>-210.0</v>
      </c>
      <c r="F1084" s="2">
        <v>0.0</v>
      </c>
      <c r="G1084" s="2">
        <f t="shared" si="1"/>
        <v>-210</v>
      </c>
      <c r="H1084" s="2" t="s">
        <v>52</v>
      </c>
      <c r="L1084" s="2" t="s">
        <v>11</v>
      </c>
    </row>
    <row r="1085" ht="12.75" customHeight="1">
      <c r="A1085" s="2">
        <v>2014.0</v>
      </c>
      <c r="B1085" s="2">
        <v>9.0</v>
      </c>
      <c r="C1085" s="2">
        <v>18.0</v>
      </c>
      <c r="D1085" s="2" t="s">
        <v>528</v>
      </c>
      <c r="E1085" s="2">
        <v>-65.0</v>
      </c>
      <c r="F1085" s="2">
        <v>0.0</v>
      </c>
      <c r="G1085" s="2">
        <f t="shared" si="1"/>
        <v>-65</v>
      </c>
      <c r="H1085" s="2" t="s">
        <v>42</v>
      </c>
      <c r="L1085" s="2" t="s">
        <v>11</v>
      </c>
    </row>
    <row r="1086" ht="12.75" customHeight="1">
      <c r="A1086" s="2">
        <v>2014.0</v>
      </c>
      <c r="B1086" s="2">
        <v>9.0</v>
      </c>
      <c r="C1086" s="2">
        <v>17.0</v>
      </c>
      <c r="D1086" s="2" t="s">
        <v>465</v>
      </c>
      <c r="E1086" s="2">
        <v>-65.0</v>
      </c>
      <c r="F1086" s="2">
        <v>0.0</v>
      </c>
      <c r="G1086" s="2">
        <f t="shared" si="1"/>
        <v>-65</v>
      </c>
      <c r="H1086" s="2" t="s">
        <v>47</v>
      </c>
      <c r="L1086" s="2" t="s">
        <v>11</v>
      </c>
    </row>
    <row r="1087" ht="12.75" customHeight="1">
      <c r="A1087" s="2">
        <v>2014.0</v>
      </c>
      <c r="B1087" s="2">
        <v>9.0</v>
      </c>
      <c r="C1087" s="2">
        <v>16.0</v>
      </c>
      <c r="D1087" s="2" t="s">
        <v>465</v>
      </c>
      <c r="E1087" s="2">
        <v>-65.0</v>
      </c>
      <c r="F1087" s="2">
        <v>0.0</v>
      </c>
      <c r="G1087" s="2">
        <f t="shared" si="1"/>
        <v>-65</v>
      </c>
      <c r="H1087" s="2" t="s">
        <v>47</v>
      </c>
      <c r="L1087" s="2" t="s">
        <v>11</v>
      </c>
    </row>
    <row r="1088" ht="12.75" customHeight="1">
      <c r="A1088" s="2">
        <v>2014.0</v>
      </c>
      <c r="B1088" s="2">
        <v>9.0</v>
      </c>
      <c r="C1088" s="2">
        <v>16.0</v>
      </c>
      <c r="D1088" s="2" t="s">
        <v>529</v>
      </c>
      <c r="E1088" s="2">
        <v>-599.0</v>
      </c>
      <c r="F1088" s="2">
        <v>0.0</v>
      </c>
      <c r="G1088" s="2">
        <f t="shared" si="1"/>
        <v>-599</v>
      </c>
      <c r="H1088" s="2" t="s">
        <v>35</v>
      </c>
      <c r="L1088" s="2" t="s">
        <v>11</v>
      </c>
    </row>
    <row r="1089" ht="12.75" customHeight="1">
      <c r="A1089" s="2">
        <v>2014.0</v>
      </c>
      <c r="B1089" s="2">
        <v>9.0</v>
      </c>
      <c r="C1089" s="2">
        <v>16.0</v>
      </c>
      <c r="D1089" s="2" t="s">
        <v>482</v>
      </c>
      <c r="E1089" s="2">
        <v>-75.0</v>
      </c>
      <c r="F1089" s="2">
        <v>0.0</v>
      </c>
      <c r="G1089" s="2">
        <f t="shared" si="1"/>
        <v>-75</v>
      </c>
      <c r="H1089" s="2" t="s">
        <v>38</v>
      </c>
      <c r="L1089" s="2" t="s">
        <v>11</v>
      </c>
    </row>
    <row r="1090" ht="12.75" customHeight="1">
      <c r="A1090" s="2">
        <v>2014.0</v>
      </c>
      <c r="B1090" s="2">
        <v>9.0</v>
      </c>
      <c r="C1090" s="2">
        <v>15.0</v>
      </c>
      <c r="D1090" s="2" t="s">
        <v>465</v>
      </c>
      <c r="E1090" s="2">
        <v>-65.0</v>
      </c>
      <c r="F1090" s="2">
        <v>0.0</v>
      </c>
      <c r="G1090" s="2">
        <f t="shared" si="1"/>
        <v>-65</v>
      </c>
      <c r="H1090" s="2" t="s">
        <v>47</v>
      </c>
      <c r="L1090" s="2" t="s">
        <v>11</v>
      </c>
    </row>
    <row r="1091" ht="12.75" customHeight="1">
      <c r="A1091" s="2">
        <v>2014.0</v>
      </c>
      <c r="B1091" s="2">
        <v>9.0</v>
      </c>
      <c r="C1091" s="2">
        <v>14.0</v>
      </c>
      <c r="D1091" s="2" t="s">
        <v>471</v>
      </c>
      <c r="E1091" s="2">
        <v>-136.0</v>
      </c>
      <c r="F1091" s="2">
        <v>0.0</v>
      </c>
      <c r="G1091" s="2">
        <f t="shared" si="1"/>
        <v>-136</v>
      </c>
      <c r="H1091" s="2" t="s">
        <v>47</v>
      </c>
      <c r="L1091" s="2" t="s">
        <v>11</v>
      </c>
    </row>
    <row r="1092" ht="12.75" customHeight="1">
      <c r="A1092" s="2">
        <v>2014.0</v>
      </c>
      <c r="B1092" s="2">
        <v>9.0</v>
      </c>
      <c r="C1092" s="2">
        <v>13.0</v>
      </c>
      <c r="D1092" s="2" t="s">
        <v>503</v>
      </c>
      <c r="E1092" s="2">
        <v>-23.95</v>
      </c>
      <c r="F1092" s="2">
        <v>0.0</v>
      </c>
      <c r="G1092" s="2">
        <f t="shared" si="1"/>
        <v>-23.95</v>
      </c>
      <c r="H1092" s="2" t="s">
        <v>47</v>
      </c>
      <c r="L1092" s="2" t="s">
        <v>11</v>
      </c>
    </row>
    <row r="1093" ht="12.75" customHeight="1">
      <c r="A1093" s="2">
        <v>2014.0</v>
      </c>
      <c r="B1093" s="2">
        <v>9.0</v>
      </c>
      <c r="C1093" s="2">
        <v>13.0</v>
      </c>
      <c r="D1093" s="2" t="s">
        <v>530</v>
      </c>
      <c r="E1093" s="2">
        <v>-700.0</v>
      </c>
      <c r="F1093" s="2">
        <v>0.0</v>
      </c>
      <c r="G1093" s="2">
        <f t="shared" si="1"/>
        <v>-700</v>
      </c>
      <c r="H1093" s="2" t="s">
        <v>52</v>
      </c>
      <c r="L1093" s="2" t="s">
        <v>11</v>
      </c>
    </row>
    <row r="1094" ht="12.75" customHeight="1">
      <c r="A1094" s="2">
        <v>2014.0</v>
      </c>
      <c r="B1094" s="2">
        <v>9.0</v>
      </c>
      <c r="C1094" s="2">
        <v>13.0</v>
      </c>
      <c r="D1094" s="2" t="s">
        <v>531</v>
      </c>
      <c r="E1094" s="2">
        <v>-45.0</v>
      </c>
      <c r="F1094" s="2">
        <v>0.0</v>
      </c>
      <c r="G1094" s="2">
        <f t="shared" si="1"/>
        <v>-45</v>
      </c>
      <c r="H1094" s="2" t="s">
        <v>42</v>
      </c>
      <c r="L1094" s="2" t="s">
        <v>11</v>
      </c>
    </row>
    <row r="1095" ht="12.75" customHeight="1">
      <c r="A1095" s="2">
        <v>2014.0</v>
      </c>
      <c r="B1095" s="2">
        <v>9.0</v>
      </c>
      <c r="C1095" s="2">
        <v>12.0</v>
      </c>
      <c r="D1095" s="2" t="s">
        <v>465</v>
      </c>
      <c r="E1095" s="2">
        <v>-65.0</v>
      </c>
      <c r="F1095" s="2">
        <v>0.0</v>
      </c>
      <c r="G1095" s="2">
        <f t="shared" si="1"/>
        <v>-65</v>
      </c>
      <c r="H1095" s="2" t="s">
        <v>47</v>
      </c>
      <c r="L1095" s="2" t="s">
        <v>11</v>
      </c>
    </row>
    <row r="1096" ht="12.75" customHeight="1">
      <c r="A1096" s="2">
        <v>2014.0</v>
      </c>
      <c r="B1096" s="2">
        <v>9.0</v>
      </c>
      <c r="C1096" s="2">
        <v>11.0</v>
      </c>
      <c r="D1096" s="2" t="s">
        <v>532</v>
      </c>
      <c r="E1096" s="2">
        <v>-8489.0</v>
      </c>
      <c r="F1096" s="2">
        <v>0.0</v>
      </c>
      <c r="G1096" s="2">
        <f t="shared" si="1"/>
        <v>-8489</v>
      </c>
      <c r="H1096" s="2" t="s">
        <v>35</v>
      </c>
      <c r="L1096" s="2" t="s">
        <v>11</v>
      </c>
    </row>
    <row r="1097" ht="12.75" customHeight="1">
      <c r="A1097" s="2">
        <v>2014.0</v>
      </c>
      <c r="B1097" s="2">
        <v>9.0</v>
      </c>
      <c r="C1097" s="2">
        <v>11.0</v>
      </c>
      <c r="D1097" s="2" t="s">
        <v>465</v>
      </c>
      <c r="E1097" s="2">
        <v>-65.0</v>
      </c>
      <c r="F1097" s="2">
        <v>0.0</v>
      </c>
      <c r="G1097" s="2">
        <f t="shared" si="1"/>
        <v>-65</v>
      </c>
      <c r="H1097" s="2" t="s">
        <v>47</v>
      </c>
      <c r="L1097" s="2" t="s">
        <v>11</v>
      </c>
    </row>
    <row r="1098" ht="12.75" customHeight="1">
      <c r="A1098" s="2">
        <v>2014.0</v>
      </c>
      <c r="B1098" s="2">
        <v>9.0</v>
      </c>
      <c r="C1098" s="2">
        <v>10.0</v>
      </c>
      <c r="D1098" s="2" t="s">
        <v>465</v>
      </c>
      <c r="E1098" s="2">
        <v>-65.0</v>
      </c>
      <c r="F1098" s="2">
        <v>0.0</v>
      </c>
      <c r="G1098" s="2">
        <f t="shared" si="1"/>
        <v>-65</v>
      </c>
      <c r="H1098" s="2" t="s">
        <v>47</v>
      </c>
      <c r="L1098" s="2" t="s">
        <v>11</v>
      </c>
    </row>
    <row r="1099" ht="12.75" customHeight="1">
      <c r="A1099" s="2">
        <v>2014.0</v>
      </c>
      <c r="B1099" s="2">
        <v>9.0</v>
      </c>
      <c r="C1099" s="2">
        <v>10.0</v>
      </c>
      <c r="D1099" s="2" t="s">
        <v>533</v>
      </c>
      <c r="E1099" s="2">
        <v>20.0</v>
      </c>
      <c r="F1099" s="2">
        <v>0.0</v>
      </c>
      <c r="G1099" s="2">
        <f t="shared" si="1"/>
        <v>20</v>
      </c>
      <c r="H1099" s="2" t="s">
        <v>47</v>
      </c>
      <c r="L1099" s="2" t="s">
        <v>11</v>
      </c>
    </row>
    <row r="1100" ht="12.75" customHeight="1">
      <c r="A1100" s="2">
        <v>2014.0</v>
      </c>
      <c r="B1100" s="2">
        <v>9.0</v>
      </c>
      <c r="C1100" s="2">
        <v>9.0</v>
      </c>
      <c r="D1100" s="2" t="s">
        <v>465</v>
      </c>
      <c r="E1100" s="2">
        <v>-65.0</v>
      </c>
      <c r="F1100" s="2">
        <v>0.0</v>
      </c>
      <c r="G1100" s="2">
        <f t="shared" si="1"/>
        <v>-65</v>
      </c>
      <c r="H1100" s="2" t="s">
        <v>47</v>
      </c>
      <c r="L1100" s="2" t="s">
        <v>11</v>
      </c>
    </row>
    <row r="1101" ht="12.75" customHeight="1">
      <c r="A1101" s="2">
        <v>2014.0</v>
      </c>
      <c r="B1101" s="2">
        <v>9.0</v>
      </c>
      <c r="C1101" s="2">
        <v>8.0</v>
      </c>
      <c r="D1101" s="2" t="s">
        <v>465</v>
      </c>
      <c r="E1101" s="2">
        <v>-65.0</v>
      </c>
      <c r="F1101" s="2">
        <v>0.0</v>
      </c>
      <c r="G1101" s="2">
        <f t="shared" si="1"/>
        <v>-65</v>
      </c>
      <c r="H1101" s="2" t="s">
        <v>47</v>
      </c>
      <c r="L1101" s="2" t="s">
        <v>11</v>
      </c>
    </row>
    <row r="1102" ht="12.75" customHeight="1">
      <c r="A1102" s="2">
        <v>2014.0</v>
      </c>
      <c r="B1102" s="2">
        <v>9.0</v>
      </c>
      <c r="C1102" s="2">
        <v>6.0</v>
      </c>
      <c r="D1102" s="2" t="s">
        <v>501</v>
      </c>
      <c r="E1102" s="2">
        <v>-67.8</v>
      </c>
      <c r="F1102" s="2">
        <v>0.0</v>
      </c>
      <c r="G1102" s="2">
        <f t="shared" si="1"/>
        <v>-67.8</v>
      </c>
      <c r="H1102" s="2" t="s">
        <v>47</v>
      </c>
      <c r="L1102" s="2" t="s">
        <v>11</v>
      </c>
    </row>
    <row r="1103" ht="12.75" customHeight="1">
      <c r="A1103" s="2">
        <v>2014.0</v>
      </c>
      <c r="B1103" s="2">
        <v>9.0</v>
      </c>
      <c r="C1103" s="2">
        <v>5.0</v>
      </c>
      <c r="D1103" s="2" t="s">
        <v>467</v>
      </c>
      <c r="E1103" s="2">
        <v>-800.0</v>
      </c>
      <c r="F1103" s="2">
        <v>0.0</v>
      </c>
      <c r="G1103" s="2">
        <f t="shared" si="1"/>
        <v>-800</v>
      </c>
      <c r="H1103" s="2" t="s">
        <v>38</v>
      </c>
      <c r="L1103" s="2" t="s">
        <v>11</v>
      </c>
    </row>
    <row r="1104" ht="12.75" customHeight="1">
      <c r="A1104" s="2">
        <v>2014.0</v>
      </c>
      <c r="B1104" s="2">
        <v>9.0</v>
      </c>
      <c r="C1104" s="2">
        <v>4.0</v>
      </c>
      <c r="D1104" s="2" t="s">
        <v>467</v>
      </c>
      <c r="E1104" s="2">
        <v>-158.0</v>
      </c>
      <c r="F1104" s="2">
        <v>0.0</v>
      </c>
      <c r="G1104" s="2">
        <f t="shared" si="1"/>
        <v>-158</v>
      </c>
      <c r="H1104" s="2" t="s">
        <v>38</v>
      </c>
      <c r="L1104" s="2" t="s">
        <v>11</v>
      </c>
    </row>
    <row r="1105" ht="12.75" customHeight="1">
      <c r="A1105" s="2">
        <v>2014.0</v>
      </c>
      <c r="B1105" s="2">
        <v>9.0</v>
      </c>
      <c r="C1105" s="2">
        <v>4.0</v>
      </c>
      <c r="D1105" s="2" t="s">
        <v>534</v>
      </c>
      <c r="E1105" s="2">
        <v>137.96</v>
      </c>
      <c r="F1105" s="2">
        <v>0.0</v>
      </c>
      <c r="G1105" s="2">
        <f t="shared" si="1"/>
        <v>137.96</v>
      </c>
      <c r="H1105" s="2" t="s">
        <v>153</v>
      </c>
      <c r="L1105" s="2" t="s">
        <v>11</v>
      </c>
    </row>
    <row r="1106" ht="12.75" customHeight="1">
      <c r="A1106" s="2">
        <v>2014.0</v>
      </c>
      <c r="B1106" s="2">
        <v>9.0</v>
      </c>
      <c r="C1106" s="2">
        <v>3.0</v>
      </c>
      <c r="D1106" s="2" t="s">
        <v>465</v>
      </c>
      <c r="E1106" s="2">
        <v>-65.0</v>
      </c>
      <c r="F1106" s="2">
        <v>0.0</v>
      </c>
      <c r="G1106" s="2">
        <f t="shared" si="1"/>
        <v>-65</v>
      </c>
      <c r="H1106" s="2" t="s">
        <v>47</v>
      </c>
      <c r="L1106" s="2" t="s">
        <v>11</v>
      </c>
    </row>
    <row r="1107" ht="12.75" customHeight="1">
      <c r="A1107" s="2">
        <v>2014.0</v>
      </c>
      <c r="B1107" s="2">
        <v>9.0</v>
      </c>
      <c r="C1107" s="2">
        <v>3.0</v>
      </c>
      <c r="D1107" s="2" t="s">
        <v>102</v>
      </c>
      <c r="E1107" s="2">
        <v>-164.0</v>
      </c>
      <c r="F1107" s="2">
        <v>0.0</v>
      </c>
      <c r="G1107" s="2">
        <f t="shared" si="1"/>
        <v>-164</v>
      </c>
      <c r="H1107" s="2" t="s">
        <v>103</v>
      </c>
      <c r="L1107" s="2" t="s">
        <v>11</v>
      </c>
    </row>
    <row r="1108" ht="12.75" customHeight="1">
      <c r="A1108" s="2">
        <v>2014.0</v>
      </c>
      <c r="B1108" s="2">
        <v>9.0</v>
      </c>
      <c r="C1108" s="2">
        <v>2.0</v>
      </c>
      <c r="D1108" s="2" t="s">
        <v>465</v>
      </c>
      <c r="E1108" s="2">
        <v>-65.0</v>
      </c>
      <c r="F1108" s="2">
        <v>0.0</v>
      </c>
      <c r="G1108" s="2">
        <f t="shared" si="1"/>
        <v>-65</v>
      </c>
      <c r="H1108" s="2" t="s">
        <v>47</v>
      </c>
      <c r="L1108" s="2" t="s">
        <v>11</v>
      </c>
    </row>
    <row r="1109" ht="12.75" customHeight="1">
      <c r="A1109" s="2">
        <v>2014.0</v>
      </c>
      <c r="B1109" s="2">
        <v>9.0</v>
      </c>
      <c r="C1109" s="2">
        <v>2.0</v>
      </c>
      <c r="D1109" s="2" t="s">
        <v>482</v>
      </c>
      <c r="E1109" s="2">
        <v>-75.0</v>
      </c>
      <c r="F1109" s="2">
        <v>0.0</v>
      </c>
      <c r="G1109" s="2">
        <f t="shared" si="1"/>
        <v>-75</v>
      </c>
      <c r="H1109" s="2" t="s">
        <v>38</v>
      </c>
      <c r="L1109" s="2" t="s">
        <v>11</v>
      </c>
    </row>
    <row r="1110" ht="12.75" customHeight="1">
      <c r="A1110" s="2">
        <v>2014.0</v>
      </c>
      <c r="B1110" s="2">
        <v>9.0</v>
      </c>
      <c r="C1110" s="2">
        <v>1.0</v>
      </c>
      <c r="D1110" s="2" t="s">
        <v>465</v>
      </c>
      <c r="E1110" s="2">
        <v>-65.0</v>
      </c>
      <c r="F1110" s="2">
        <v>0.0</v>
      </c>
      <c r="G1110" s="2">
        <f t="shared" si="1"/>
        <v>-65</v>
      </c>
      <c r="H1110" s="2" t="s">
        <v>47</v>
      </c>
      <c r="L1110" s="2" t="s">
        <v>11</v>
      </c>
    </row>
    <row r="1111" ht="12.75" customHeight="1">
      <c r="A1111" s="2">
        <v>2014.0</v>
      </c>
      <c r="B1111" s="2">
        <v>9.0</v>
      </c>
      <c r="C1111" s="2">
        <v>1.0</v>
      </c>
      <c r="D1111" s="2" t="s">
        <v>427</v>
      </c>
      <c r="E1111" s="2">
        <v>-612.0</v>
      </c>
      <c r="F1111" s="2">
        <v>0.0</v>
      </c>
      <c r="G1111" s="2">
        <f t="shared" si="1"/>
        <v>-612</v>
      </c>
      <c r="H1111" s="2" t="s">
        <v>428</v>
      </c>
      <c r="L1111" s="2" t="s">
        <v>11</v>
      </c>
    </row>
    <row r="1112" ht="12.75" customHeight="1">
      <c r="A1112" s="2">
        <v>2014.0</v>
      </c>
      <c r="B1112" s="2">
        <v>9.0</v>
      </c>
      <c r="C1112" s="2">
        <v>1.0</v>
      </c>
      <c r="D1112" s="2" t="s">
        <v>157</v>
      </c>
      <c r="E1112" s="2">
        <v>-132.0</v>
      </c>
      <c r="F1112" s="2">
        <v>0.0</v>
      </c>
      <c r="G1112" s="2">
        <f t="shared" si="1"/>
        <v>-132</v>
      </c>
      <c r="H1112" s="2" t="s">
        <v>17</v>
      </c>
      <c r="L1112" s="2" t="s">
        <v>11</v>
      </c>
    </row>
    <row r="1113" ht="12.75" customHeight="1">
      <c r="A1113" s="2">
        <v>2014.0</v>
      </c>
      <c r="B1113" s="2">
        <v>9.0</v>
      </c>
      <c r="C1113" s="2">
        <v>1.0</v>
      </c>
      <c r="D1113" s="2" t="s">
        <v>73</v>
      </c>
      <c r="E1113" s="2">
        <v>-6026.0</v>
      </c>
      <c r="F1113" s="2">
        <v>0.0</v>
      </c>
      <c r="G1113" s="2">
        <f t="shared" si="1"/>
        <v>-6026</v>
      </c>
      <c r="H1113" s="2" t="s">
        <v>10</v>
      </c>
      <c r="L1113" s="2" t="s">
        <v>11</v>
      </c>
    </row>
    <row r="1114" ht="12.75" customHeight="1">
      <c r="A1114" s="2">
        <v>2014.0</v>
      </c>
      <c r="B1114" s="2">
        <v>8.0</v>
      </c>
      <c r="C1114" s="2">
        <v>31.0</v>
      </c>
      <c r="D1114" s="2" t="s">
        <v>535</v>
      </c>
      <c r="E1114" s="2">
        <v>3000.0</v>
      </c>
      <c r="F1114" s="2">
        <v>0.0</v>
      </c>
      <c r="G1114" s="2">
        <f t="shared" si="1"/>
        <v>3000</v>
      </c>
      <c r="H1114" s="2" t="s">
        <v>35</v>
      </c>
      <c r="L1114" s="2" t="s">
        <v>11</v>
      </c>
    </row>
    <row r="1115" ht="12.75" customHeight="1">
      <c r="A1115" s="2">
        <v>2014.0</v>
      </c>
      <c r="B1115" s="2">
        <v>8.0</v>
      </c>
      <c r="C1115" s="2">
        <v>31.0</v>
      </c>
      <c r="D1115" s="2" t="s">
        <v>536</v>
      </c>
      <c r="E1115" s="2">
        <v>-200.0</v>
      </c>
      <c r="F1115" s="2">
        <v>0.0</v>
      </c>
      <c r="G1115" s="2">
        <f t="shared" si="1"/>
        <v>-200</v>
      </c>
      <c r="H1115" s="2" t="s">
        <v>304</v>
      </c>
      <c r="L1115" s="2" t="s">
        <v>11</v>
      </c>
    </row>
    <row r="1116" ht="12.75" customHeight="1">
      <c r="A1116" s="2">
        <v>2014.0</v>
      </c>
      <c r="B1116" s="2">
        <v>8.0</v>
      </c>
      <c r="C1116" s="2">
        <v>31.0</v>
      </c>
      <c r="D1116" s="2" t="s">
        <v>537</v>
      </c>
      <c r="E1116" s="2">
        <v>-42.0</v>
      </c>
      <c r="F1116" s="2">
        <v>0.0</v>
      </c>
      <c r="G1116" s="2">
        <f t="shared" si="1"/>
        <v>-42</v>
      </c>
      <c r="H1116" s="2" t="s">
        <v>47</v>
      </c>
      <c r="L1116" s="2" t="s">
        <v>11</v>
      </c>
    </row>
    <row r="1117" ht="12.75" customHeight="1">
      <c r="A1117" s="2">
        <v>2014.0</v>
      </c>
      <c r="B1117" s="2">
        <v>8.0</v>
      </c>
      <c r="C1117" s="2">
        <v>31.0</v>
      </c>
      <c r="D1117" s="2" t="s">
        <v>496</v>
      </c>
      <c r="E1117" s="2">
        <v>-130.0</v>
      </c>
      <c r="F1117" s="2">
        <v>0.0</v>
      </c>
      <c r="G1117" s="2">
        <f t="shared" si="1"/>
        <v>-130</v>
      </c>
      <c r="H1117" s="2" t="s">
        <v>47</v>
      </c>
      <c r="L1117" s="2" t="s">
        <v>11</v>
      </c>
    </row>
    <row r="1118" ht="12.75" customHeight="1">
      <c r="A1118" s="2">
        <v>2014.0</v>
      </c>
      <c r="B1118" s="2">
        <v>8.0</v>
      </c>
      <c r="C1118" s="2">
        <v>30.0</v>
      </c>
      <c r="D1118" s="2" t="s">
        <v>538</v>
      </c>
      <c r="E1118" s="2">
        <v>-159.0</v>
      </c>
      <c r="F1118" s="2">
        <v>0.0</v>
      </c>
      <c r="G1118" s="2">
        <f t="shared" si="1"/>
        <v>-159</v>
      </c>
      <c r="H1118" s="2" t="s">
        <v>42</v>
      </c>
      <c r="L1118" s="2" t="s">
        <v>11</v>
      </c>
    </row>
    <row r="1119" ht="12.75" customHeight="1">
      <c r="A1119" s="2">
        <v>2014.0</v>
      </c>
      <c r="B1119" s="2">
        <v>8.0</v>
      </c>
      <c r="C1119" s="2">
        <v>30.0</v>
      </c>
      <c r="D1119" s="2" t="s">
        <v>484</v>
      </c>
      <c r="E1119" s="2">
        <v>-38.0</v>
      </c>
      <c r="F1119" s="2">
        <v>0.0</v>
      </c>
      <c r="G1119" s="2">
        <f t="shared" si="1"/>
        <v>-38</v>
      </c>
      <c r="H1119" s="2" t="s">
        <v>47</v>
      </c>
      <c r="L1119" s="2" t="s">
        <v>11</v>
      </c>
    </row>
    <row r="1120" ht="12.75" customHeight="1">
      <c r="A1120" s="2">
        <v>2014.0</v>
      </c>
      <c r="B1120" s="2">
        <v>8.0</v>
      </c>
      <c r="C1120" s="2">
        <v>30.0</v>
      </c>
      <c r="D1120" s="2" t="s">
        <v>539</v>
      </c>
      <c r="E1120" s="2">
        <v>-25.0</v>
      </c>
      <c r="F1120" s="2">
        <v>0.0</v>
      </c>
      <c r="G1120" s="2">
        <f t="shared" si="1"/>
        <v>-25</v>
      </c>
      <c r="H1120" s="2" t="s">
        <v>47</v>
      </c>
      <c r="L1120" s="2" t="s">
        <v>11</v>
      </c>
    </row>
    <row r="1121" ht="12.75" customHeight="1">
      <c r="A1121" s="2">
        <v>2014.0</v>
      </c>
      <c r="B1121" s="2">
        <v>8.0</v>
      </c>
      <c r="C1121" s="2">
        <v>30.0</v>
      </c>
      <c r="D1121" s="2" t="s">
        <v>540</v>
      </c>
      <c r="E1121" s="2">
        <v>-253.0</v>
      </c>
      <c r="F1121" s="2">
        <v>0.0</v>
      </c>
      <c r="G1121" s="2">
        <f t="shared" si="1"/>
        <v>-253</v>
      </c>
      <c r="H1121" s="2" t="s">
        <v>42</v>
      </c>
      <c r="L1121" s="2" t="s">
        <v>11</v>
      </c>
    </row>
    <row r="1122" ht="12.75" customHeight="1">
      <c r="A1122" s="2">
        <v>2014.0</v>
      </c>
      <c r="B1122" s="2">
        <v>8.0</v>
      </c>
      <c r="C1122" s="2">
        <v>30.0</v>
      </c>
      <c r="D1122" s="2" t="s">
        <v>540</v>
      </c>
      <c r="E1122" s="2">
        <v>-130.0</v>
      </c>
      <c r="F1122" s="2">
        <v>0.0</v>
      </c>
      <c r="G1122" s="2">
        <f t="shared" si="1"/>
        <v>-130</v>
      </c>
      <c r="H1122" s="2" t="s">
        <v>42</v>
      </c>
      <c r="L1122" s="2" t="s">
        <v>11</v>
      </c>
    </row>
    <row r="1123" ht="12.75" customHeight="1">
      <c r="A1123" s="2">
        <v>2014.0</v>
      </c>
      <c r="B1123" s="2">
        <v>8.0</v>
      </c>
      <c r="C1123" s="2">
        <v>30.0</v>
      </c>
      <c r="D1123" s="2" t="s">
        <v>541</v>
      </c>
      <c r="E1123" s="2">
        <v>-600.0</v>
      </c>
      <c r="F1123" s="2">
        <v>0.0</v>
      </c>
      <c r="G1123" s="2">
        <f t="shared" si="1"/>
        <v>-600</v>
      </c>
      <c r="H1123" s="2" t="s">
        <v>52</v>
      </c>
      <c r="L1123" s="2" t="s">
        <v>11</v>
      </c>
    </row>
    <row r="1124" ht="12.75" customHeight="1">
      <c r="A1124" s="2">
        <v>2014.0</v>
      </c>
      <c r="B1124" s="2">
        <v>8.0</v>
      </c>
      <c r="C1124" s="2">
        <v>30.0</v>
      </c>
      <c r="D1124" s="2" t="s">
        <v>542</v>
      </c>
      <c r="E1124" s="2">
        <v>-100.0</v>
      </c>
      <c r="F1124" s="2">
        <v>0.0</v>
      </c>
      <c r="G1124" s="2">
        <f t="shared" si="1"/>
        <v>-100</v>
      </c>
      <c r="H1124" s="2" t="s">
        <v>304</v>
      </c>
      <c r="L1124" s="2" t="s">
        <v>11</v>
      </c>
    </row>
    <row r="1125" ht="12.75" customHeight="1">
      <c r="A1125" s="2">
        <v>2014.0</v>
      </c>
      <c r="B1125" s="2">
        <v>8.0</v>
      </c>
      <c r="C1125" s="2">
        <v>30.0</v>
      </c>
      <c r="D1125" s="2">
        <v>4.7516877E7</v>
      </c>
      <c r="E1125" s="2">
        <v>1000.0</v>
      </c>
      <c r="F1125" s="2">
        <v>0.0</v>
      </c>
      <c r="G1125" s="2">
        <f t="shared" si="1"/>
        <v>1000</v>
      </c>
      <c r="H1125" s="2" t="s">
        <v>18</v>
      </c>
      <c r="L1125" s="2" t="s">
        <v>11</v>
      </c>
    </row>
    <row r="1126" ht="12.75" customHeight="1">
      <c r="A1126" s="2">
        <v>2014.0</v>
      </c>
      <c r="B1126" s="2">
        <v>8.0</v>
      </c>
      <c r="C1126" s="2">
        <v>29.0</v>
      </c>
      <c r="D1126" s="2" t="s">
        <v>543</v>
      </c>
      <c r="E1126" s="2">
        <v>-120.0</v>
      </c>
      <c r="F1126" s="2">
        <v>0.0</v>
      </c>
      <c r="G1126" s="2">
        <f t="shared" si="1"/>
        <v>-120</v>
      </c>
      <c r="H1126" s="2" t="s">
        <v>304</v>
      </c>
      <c r="L1126" s="2" t="s">
        <v>11</v>
      </c>
    </row>
    <row r="1127" ht="12.75" customHeight="1">
      <c r="A1127" s="2">
        <v>2014.0</v>
      </c>
      <c r="B1127" s="2">
        <v>8.0</v>
      </c>
      <c r="C1127" s="2">
        <v>29.0</v>
      </c>
      <c r="D1127" s="2" t="s">
        <v>70</v>
      </c>
      <c r="E1127" s="2">
        <v>27.0</v>
      </c>
      <c r="F1127" s="2">
        <v>0.0</v>
      </c>
      <c r="G1127" s="2">
        <f t="shared" si="1"/>
        <v>27</v>
      </c>
      <c r="H1127" s="2" t="s">
        <v>47</v>
      </c>
      <c r="L1127" s="2" t="s">
        <v>11</v>
      </c>
    </row>
    <row r="1128" ht="12.75" customHeight="1">
      <c r="A1128" s="2">
        <v>2014.0</v>
      </c>
      <c r="B1128" s="2">
        <v>8.0</v>
      </c>
      <c r="C1128" s="2">
        <v>29.0</v>
      </c>
      <c r="D1128" s="2" t="s">
        <v>12</v>
      </c>
      <c r="E1128" s="2">
        <v>-20454.93</v>
      </c>
      <c r="F1128" s="2">
        <v>0.0</v>
      </c>
      <c r="G1128" s="2">
        <f t="shared" si="1"/>
        <v>-20454.93</v>
      </c>
      <c r="H1128" s="2" t="s">
        <v>28</v>
      </c>
      <c r="L1128" s="2" t="s">
        <v>228</v>
      </c>
    </row>
    <row r="1129" ht="12.75" customHeight="1">
      <c r="A1129" s="2">
        <v>2014.0</v>
      </c>
      <c r="B1129" s="2">
        <v>8.0</v>
      </c>
      <c r="C1129" s="2">
        <v>29.0</v>
      </c>
      <c r="D1129" s="2" t="s">
        <v>544</v>
      </c>
      <c r="E1129" s="2">
        <v>-95.0</v>
      </c>
      <c r="F1129" s="2">
        <v>0.0</v>
      </c>
      <c r="G1129" s="2">
        <f t="shared" si="1"/>
        <v>-95</v>
      </c>
      <c r="H1129" s="2" t="s">
        <v>153</v>
      </c>
      <c r="L1129" s="2" t="s">
        <v>11</v>
      </c>
    </row>
    <row r="1130" ht="12.75" customHeight="1">
      <c r="A1130" s="2">
        <v>2014.0</v>
      </c>
      <c r="B1130" s="2">
        <v>8.0</v>
      </c>
      <c r="C1130" s="2">
        <v>29.0</v>
      </c>
      <c r="D1130" s="2" t="s">
        <v>14</v>
      </c>
      <c r="E1130" s="2">
        <v>-4007.0</v>
      </c>
      <c r="F1130" s="2">
        <v>0.0</v>
      </c>
      <c r="G1130" s="2">
        <f t="shared" si="1"/>
        <v>-4007</v>
      </c>
      <c r="H1130" s="2" t="s">
        <v>10</v>
      </c>
      <c r="L1130" s="2" t="s">
        <v>11</v>
      </c>
    </row>
    <row r="1131" ht="12.75" customHeight="1">
      <c r="A1131" s="2">
        <v>2014.0</v>
      </c>
      <c r="B1131" s="2">
        <v>8.0</v>
      </c>
      <c r="C1131" s="2">
        <v>29.0</v>
      </c>
      <c r="D1131" s="2" t="s">
        <v>15</v>
      </c>
      <c r="E1131" s="2">
        <v>-207.8</v>
      </c>
      <c r="F1131" s="2">
        <v>0.0</v>
      </c>
      <c r="G1131" s="2">
        <f t="shared" si="1"/>
        <v>-207.8</v>
      </c>
      <c r="H1131" s="2" t="s">
        <v>10</v>
      </c>
      <c r="L1131" s="2" t="s">
        <v>11</v>
      </c>
    </row>
    <row r="1132" ht="12.75" customHeight="1">
      <c r="A1132" s="2">
        <v>2014.0</v>
      </c>
      <c r="B1132" s="2">
        <v>8.0</v>
      </c>
      <c r="C1132" s="2">
        <v>29.0</v>
      </c>
      <c r="D1132" s="2" t="s">
        <v>75</v>
      </c>
      <c r="E1132" s="2">
        <v>-3032.0</v>
      </c>
      <c r="F1132" s="2">
        <v>0.0</v>
      </c>
      <c r="G1132" s="2">
        <f t="shared" si="1"/>
        <v>-3032</v>
      </c>
      <c r="H1132" s="2" t="s">
        <v>76</v>
      </c>
      <c r="L1132" s="2" t="s">
        <v>11</v>
      </c>
    </row>
    <row r="1133" ht="12.75" customHeight="1">
      <c r="A1133" s="2">
        <v>2014.0</v>
      </c>
      <c r="B1133" s="2">
        <v>8.0</v>
      </c>
      <c r="C1133" s="2">
        <v>28.0</v>
      </c>
      <c r="D1133" s="2" t="s">
        <v>25</v>
      </c>
      <c r="E1133" s="2">
        <v>-100.0</v>
      </c>
      <c r="F1133" s="2">
        <v>0.0</v>
      </c>
      <c r="G1133" s="2">
        <f t="shared" si="1"/>
        <v>-100</v>
      </c>
      <c r="H1133" s="2" t="s">
        <v>26</v>
      </c>
      <c r="L1133" s="2" t="s">
        <v>11</v>
      </c>
    </row>
    <row r="1134" ht="12.75" customHeight="1">
      <c r="A1134" s="2">
        <v>2014.0</v>
      </c>
      <c r="B1134" s="2">
        <v>8.0</v>
      </c>
      <c r="C1134" s="2">
        <v>28.0</v>
      </c>
      <c r="D1134" s="2" t="s">
        <v>19</v>
      </c>
      <c r="E1134" s="2">
        <v>-320.0</v>
      </c>
      <c r="F1134" s="2">
        <v>0.0</v>
      </c>
      <c r="G1134" s="2">
        <f t="shared" si="1"/>
        <v>-320</v>
      </c>
      <c r="H1134" s="2" t="s">
        <v>20</v>
      </c>
      <c r="L1134" s="2" t="s">
        <v>11</v>
      </c>
    </row>
    <row r="1135" ht="12.75" customHeight="1">
      <c r="A1135" s="2">
        <v>2014.0</v>
      </c>
      <c r="B1135" s="2">
        <v>8.0</v>
      </c>
      <c r="C1135" s="2">
        <v>28.0</v>
      </c>
      <c r="D1135" s="2" t="s">
        <v>482</v>
      </c>
      <c r="E1135" s="2">
        <v>-75.0</v>
      </c>
      <c r="F1135" s="2">
        <v>0.0</v>
      </c>
      <c r="G1135" s="2">
        <f t="shared" si="1"/>
        <v>-75</v>
      </c>
      <c r="H1135" s="2" t="s">
        <v>38</v>
      </c>
      <c r="L1135" s="2" t="s">
        <v>11</v>
      </c>
    </row>
    <row r="1136" ht="12.75" customHeight="1">
      <c r="A1136" s="2">
        <v>2014.0</v>
      </c>
      <c r="B1136" s="2">
        <v>8.0</v>
      </c>
      <c r="C1136" s="2">
        <v>28.0</v>
      </c>
      <c r="D1136" s="2" t="s">
        <v>23</v>
      </c>
      <c r="E1136" s="2">
        <v>-285.0</v>
      </c>
      <c r="F1136" s="2">
        <v>0.0</v>
      </c>
      <c r="G1136" s="2">
        <f t="shared" si="1"/>
        <v>-285</v>
      </c>
      <c r="H1136" s="2" t="s">
        <v>24</v>
      </c>
      <c r="L1136" s="2" t="s">
        <v>11</v>
      </c>
    </row>
    <row r="1137" ht="12.75" customHeight="1">
      <c r="A1137" s="2">
        <v>2014.0</v>
      </c>
      <c r="B1137" s="2">
        <v>8.0</v>
      </c>
      <c r="C1137" s="2">
        <v>27.0</v>
      </c>
      <c r="D1137" s="2" t="s">
        <v>382</v>
      </c>
      <c r="E1137" s="2">
        <v>-299.0</v>
      </c>
      <c r="F1137" s="2">
        <v>0.0</v>
      </c>
      <c r="G1137" s="2">
        <f t="shared" si="1"/>
        <v>-299</v>
      </c>
      <c r="H1137" s="2" t="s">
        <v>22</v>
      </c>
      <c r="L1137" s="2" t="s">
        <v>11</v>
      </c>
    </row>
    <row r="1138" ht="12.75" customHeight="1">
      <c r="A1138" s="2">
        <v>2014.0</v>
      </c>
      <c r="B1138" s="2">
        <v>8.0</v>
      </c>
      <c r="C1138" s="2">
        <v>27.0</v>
      </c>
      <c r="D1138" s="2" t="s">
        <v>545</v>
      </c>
      <c r="E1138" s="2">
        <v>-69.0</v>
      </c>
      <c r="F1138" s="2">
        <v>0.0</v>
      </c>
      <c r="G1138" s="2">
        <f t="shared" si="1"/>
        <v>-69</v>
      </c>
      <c r="H1138" s="2" t="s">
        <v>38</v>
      </c>
      <c r="L1138" s="2" t="s">
        <v>11</v>
      </c>
    </row>
    <row r="1139" ht="12.75" customHeight="1">
      <c r="A1139" s="2">
        <v>2014.0</v>
      </c>
      <c r="B1139" s="2">
        <v>8.0</v>
      </c>
      <c r="C1139" s="2">
        <v>26.0</v>
      </c>
      <c r="D1139" s="2" t="s">
        <v>29</v>
      </c>
      <c r="E1139" s="2">
        <v>-1250.0</v>
      </c>
      <c r="F1139" s="2">
        <v>0.0</v>
      </c>
      <c r="G1139" s="2">
        <f t="shared" si="1"/>
        <v>-1250</v>
      </c>
      <c r="H1139" s="2" t="s">
        <v>18</v>
      </c>
      <c r="L1139" s="2" t="s">
        <v>11</v>
      </c>
    </row>
    <row r="1140" ht="12.75" customHeight="1">
      <c r="A1140" s="2">
        <v>2014.0</v>
      </c>
      <c r="B1140" s="2">
        <v>8.0</v>
      </c>
      <c r="C1140" s="2">
        <v>25.0</v>
      </c>
      <c r="D1140" s="2" t="s">
        <v>495</v>
      </c>
      <c r="E1140" s="2">
        <v>-95.0</v>
      </c>
      <c r="F1140" s="2">
        <v>0.0</v>
      </c>
      <c r="G1140" s="2">
        <f t="shared" si="1"/>
        <v>-95</v>
      </c>
      <c r="H1140" s="2" t="s">
        <v>38</v>
      </c>
      <c r="L1140" s="2" t="s">
        <v>11</v>
      </c>
    </row>
    <row r="1141" ht="12.75" customHeight="1">
      <c r="A1141" s="2">
        <v>2014.0</v>
      </c>
      <c r="B1141" s="2">
        <v>8.0</v>
      </c>
      <c r="C1141" s="2">
        <v>25.0</v>
      </c>
      <c r="D1141" s="2" t="s">
        <v>27</v>
      </c>
      <c r="E1141" s="2">
        <v>-5000.0</v>
      </c>
      <c r="F1141" s="2">
        <v>0.0</v>
      </c>
      <c r="G1141" s="2">
        <f t="shared" si="1"/>
        <v>-5000</v>
      </c>
      <c r="H1141" s="2" t="s">
        <v>28</v>
      </c>
      <c r="L1141" s="2" t="s">
        <v>11</v>
      </c>
    </row>
    <row r="1142" ht="12.75" customHeight="1">
      <c r="A1142" s="2">
        <v>2014.0</v>
      </c>
      <c r="B1142" s="2">
        <v>8.0</v>
      </c>
      <c r="C1142" s="2">
        <v>25.0</v>
      </c>
      <c r="D1142" s="2" t="s">
        <v>27</v>
      </c>
      <c r="E1142" s="2">
        <v>5000.0</v>
      </c>
      <c r="F1142" s="2">
        <v>0.0</v>
      </c>
      <c r="G1142" s="2">
        <f t="shared" si="1"/>
        <v>5000</v>
      </c>
      <c r="H1142" s="2" t="s">
        <v>28</v>
      </c>
      <c r="L1142" s="2" t="s">
        <v>11</v>
      </c>
    </row>
    <row r="1143" ht="12.75" customHeight="1">
      <c r="A1143" s="2">
        <v>2014.0</v>
      </c>
      <c r="B1143" s="2">
        <v>8.0</v>
      </c>
      <c r="C1143" s="2">
        <v>23.0</v>
      </c>
      <c r="D1143" s="2" t="s">
        <v>546</v>
      </c>
      <c r="E1143" s="2">
        <v>-92.0</v>
      </c>
      <c r="F1143" s="2">
        <v>0.0</v>
      </c>
      <c r="G1143" s="2">
        <f t="shared" si="1"/>
        <v>-92</v>
      </c>
      <c r="H1143" s="2" t="s">
        <v>42</v>
      </c>
      <c r="L1143" s="2" t="s">
        <v>11</v>
      </c>
    </row>
    <row r="1144" ht="12.75" customHeight="1">
      <c r="A1144" s="2">
        <v>2014.0</v>
      </c>
      <c r="B1144" s="2">
        <v>8.0</v>
      </c>
      <c r="C1144" s="2">
        <v>23.0</v>
      </c>
      <c r="D1144" s="2" t="s">
        <v>546</v>
      </c>
      <c r="E1144" s="2">
        <v>-78.0</v>
      </c>
      <c r="F1144" s="2">
        <v>0.0</v>
      </c>
      <c r="G1144" s="2">
        <f t="shared" si="1"/>
        <v>-78</v>
      </c>
      <c r="H1144" s="2" t="s">
        <v>42</v>
      </c>
      <c r="L1144" s="2" t="s">
        <v>11</v>
      </c>
    </row>
    <row r="1145" ht="12.75" customHeight="1">
      <c r="A1145" s="2">
        <v>2014.0</v>
      </c>
      <c r="B1145" s="2">
        <v>8.0</v>
      </c>
      <c r="C1145" s="2">
        <v>23.0</v>
      </c>
      <c r="D1145" s="2" t="s">
        <v>504</v>
      </c>
      <c r="E1145" s="2">
        <v>-1213.0</v>
      </c>
      <c r="F1145" s="2">
        <v>0.0</v>
      </c>
      <c r="G1145" s="2">
        <f t="shared" si="1"/>
        <v>-1213</v>
      </c>
      <c r="H1145" s="2" t="s">
        <v>47</v>
      </c>
      <c r="L1145" s="2" t="s">
        <v>11</v>
      </c>
    </row>
    <row r="1146" ht="12.75" customHeight="1">
      <c r="A1146" s="2">
        <v>2014.0</v>
      </c>
      <c r="B1146" s="2">
        <v>8.0</v>
      </c>
      <c r="C1146" s="2">
        <v>23.0</v>
      </c>
      <c r="D1146" s="2" t="s">
        <v>547</v>
      </c>
      <c r="E1146" s="2">
        <v>-70.0</v>
      </c>
      <c r="F1146" s="2">
        <v>0.0</v>
      </c>
      <c r="G1146" s="2">
        <f t="shared" si="1"/>
        <v>-70</v>
      </c>
      <c r="H1146" s="2" t="s">
        <v>133</v>
      </c>
      <c r="L1146" s="2" t="s">
        <v>11</v>
      </c>
    </row>
    <row r="1147" ht="12.75" customHeight="1">
      <c r="A1147" s="2">
        <v>2014.0</v>
      </c>
      <c r="B1147" s="2">
        <v>8.0</v>
      </c>
      <c r="C1147" s="2">
        <v>23.0</v>
      </c>
      <c r="D1147" s="2" t="s">
        <v>548</v>
      </c>
      <c r="E1147" s="2">
        <v>-600.0</v>
      </c>
      <c r="F1147" s="2">
        <v>0.0</v>
      </c>
      <c r="G1147" s="2">
        <f t="shared" si="1"/>
        <v>-600</v>
      </c>
      <c r="H1147" s="2" t="s">
        <v>52</v>
      </c>
      <c r="L1147" s="2" t="s">
        <v>11</v>
      </c>
    </row>
    <row r="1148" ht="12.75" customHeight="1">
      <c r="A1148" s="2">
        <v>2014.0</v>
      </c>
      <c r="B1148" s="2">
        <v>8.0</v>
      </c>
      <c r="C1148" s="2">
        <v>23.0</v>
      </c>
      <c r="D1148" s="2" t="s">
        <v>549</v>
      </c>
      <c r="E1148" s="2">
        <v>-154.0</v>
      </c>
      <c r="F1148" s="2">
        <v>0.0</v>
      </c>
      <c r="G1148" s="2">
        <f t="shared" si="1"/>
        <v>-154</v>
      </c>
      <c r="H1148" s="2" t="s">
        <v>42</v>
      </c>
      <c r="L1148" s="2" t="s">
        <v>11</v>
      </c>
    </row>
    <row r="1149" ht="12.75" customHeight="1">
      <c r="A1149" s="2">
        <v>2014.0</v>
      </c>
      <c r="B1149" s="2">
        <v>8.0</v>
      </c>
      <c r="C1149" s="2">
        <v>22.0</v>
      </c>
      <c r="D1149" s="2" t="s">
        <v>39</v>
      </c>
      <c r="E1149" s="2">
        <v>32223.0</v>
      </c>
      <c r="F1149" s="2">
        <v>0.0</v>
      </c>
      <c r="G1149" s="2">
        <f t="shared" si="1"/>
        <v>32223</v>
      </c>
      <c r="H1149" s="2" t="s">
        <v>40</v>
      </c>
      <c r="L1149" s="2" t="s">
        <v>11</v>
      </c>
    </row>
    <row r="1150" ht="12.75" customHeight="1">
      <c r="A1150" s="2">
        <v>2014.0</v>
      </c>
      <c r="B1150" s="2">
        <v>8.0</v>
      </c>
      <c r="C1150" s="2">
        <v>22.0</v>
      </c>
      <c r="D1150" s="2" t="s">
        <v>550</v>
      </c>
      <c r="E1150" s="2">
        <v>-340.0</v>
      </c>
      <c r="F1150" s="2">
        <v>0.0</v>
      </c>
      <c r="G1150" s="2">
        <f t="shared" si="1"/>
        <v>-340</v>
      </c>
      <c r="H1150" s="2" t="s">
        <v>52</v>
      </c>
      <c r="L1150" s="2" t="s">
        <v>11</v>
      </c>
    </row>
    <row r="1151" ht="12.75" customHeight="1">
      <c r="A1151" s="2">
        <v>2014.0</v>
      </c>
      <c r="B1151" s="2">
        <v>8.0</v>
      </c>
      <c r="C1151" s="2">
        <v>22.0</v>
      </c>
      <c r="D1151" s="2" t="s">
        <v>550</v>
      </c>
      <c r="E1151" s="2">
        <v>-200.0</v>
      </c>
      <c r="F1151" s="2">
        <v>0.0</v>
      </c>
      <c r="G1151" s="2">
        <f t="shared" si="1"/>
        <v>-200</v>
      </c>
      <c r="H1151" s="2" t="s">
        <v>52</v>
      </c>
      <c r="L1151" s="2" t="s">
        <v>11</v>
      </c>
    </row>
    <row r="1152" ht="12.75" customHeight="1">
      <c r="A1152" s="2">
        <v>2014.0</v>
      </c>
      <c r="B1152" s="2">
        <v>8.0</v>
      </c>
      <c r="C1152" s="2">
        <v>22.0</v>
      </c>
      <c r="D1152" s="2" t="s">
        <v>550</v>
      </c>
      <c r="E1152" s="2">
        <v>-100.0</v>
      </c>
      <c r="F1152" s="2">
        <v>0.0</v>
      </c>
      <c r="G1152" s="2">
        <f t="shared" si="1"/>
        <v>-100</v>
      </c>
      <c r="H1152" s="2" t="s">
        <v>52</v>
      </c>
      <c r="L1152" s="2" t="s">
        <v>11</v>
      </c>
    </row>
    <row r="1153" ht="12.75" customHeight="1">
      <c r="A1153" s="2">
        <v>2014.0</v>
      </c>
      <c r="B1153" s="2">
        <v>8.0</v>
      </c>
      <c r="C1153" s="2">
        <v>22.0</v>
      </c>
      <c r="D1153" s="2" t="s">
        <v>551</v>
      </c>
      <c r="E1153" s="2">
        <v>-110.0</v>
      </c>
      <c r="F1153" s="2">
        <v>0.0</v>
      </c>
      <c r="G1153" s="2">
        <f t="shared" si="1"/>
        <v>-110</v>
      </c>
      <c r="H1153" s="2" t="s">
        <v>42</v>
      </c>
      <c r="L1153" s="2" t="s">
        <v>11</v>
      </c>
    </row>
    <row r="1154" ht="12.75" customHeight="1">
      <c r="A1154" s="2">
        <v>2014.0</v>
      </c>
      <c r="B1154" s="2">
        <v>8.0</v>
      </c>
      <c r="C1154" s="2">
        <v>22.0</v>
      </c>
      <c r="D1154" s="2" t="s">
        <v>549</v>
      </c>
      <c r="E1154" s="2">
        <v>-116.0</v>
      </c>
      <c r="F1154" s="2">
        <v>0.0</v>
      </c>
      <c r="G1154" s="2">
        <f t="shared" si="1"/>
        <v>-116</v>
      </c>
      <c r="H1154" s="2" t="s">
        <v>42</v>
      </c>
      <c r="L1154" s="2" t="s">
        <v>11</v>
      </c>
    </row>
    <row r="1155" ht="12.75" customHeight="1">
      <c r="A1155" s="2">
        <v>2014.0</v>
      </c>
      <c r="B1155" s="2">
        <v>8.0</v>
      </c>
      <c r="C1155" s="2">
        <v>21.0</v>
      </c>
      <c r="D1155" s="2" t="s">
        <v>465</v>
      </c>
      <c r="E1155" s="2">
        <v>-70.0</v>
      </c>
      <c r="F1155" s="2">
        <v>0.0</v>
      </c>
      <c r="G1155" s="2">
        <f t="shared" si="1"/>
        <v>-70</v>
      </c>
      <c r="H1155" s="2" t="s">
        <v>47</v>
      </c>
      <c r="L1155" s="2" t="s">
        <v>11</v>
      </c>
    </row>
    <row r="1156" ht="12.75" customHeight="1">
      <c r="A1156" s="2">
        <v>2014.0</v>
      </c>
      <c r="B1156" s="2">
        <v>8.0</v>
      </c>
      <c r="C1156" s="2">
        <v>20.0</v>
      </c>
      <c r="D1156" s="2" t="s">
        <v>498</v>
      </c>
      <c r="E1156" s="2">
        <v>-144.8</v>
      </c>
      <c r="F1156" s="2">
        <v>0.0</v>
      </c>
      <c r="G1156" s="2">
        <f t="shared" si="1"/>
        <v>-144.8</v>
      </c>
      <c r="H1156" s="2" t="s">
        <v>47</v>
      </c>
      <c r="L1156" s="2" t="s">
        <v>11</v>
      </c>
    </row>
    <row r="1157" ht="12.75" customHeight="1">
      <c r="A1157" s="2">
        <v>2014.0</v>
      </c>
      <c r="B1157" s="2">
        <v>8.0</v>
      </c>
      <c r="C1157" s="2">
        <v>19.0</v>
      </c>
      <c r="D1157" s="2" t="s">
        <v>465</v>
      </c>
      <c r="E1157" s="2">
        <v>-70.0</v>
      </c>
      <c r="F1157" s="2">
        <v>0.0</v>
      </c>
      <c r="G1157" s="2">
        <f t="shared" si="1"/>
        <v>-70</v>
      </c>
      <c r="H1157" s="2" t="s">
        <v>47</v>
      </c>
      <c r="L1157" s="2" t="s">
        <v>11</v>
      </c>
    </row>
    <row r="1158" ht="12.75" customHeight="1">
      <c r="A1158" s="2">
        <v>2014.0</v>
      </c>
      <c r="B1158" s="2">
        <v>8.0</v>
      </c>
      <c r="C1158" s="2">
        <v>18.0</v>
      </c>
      <c r="D1158" s="2" t="s">
        <v>552</v>
      </c>
      <c r="E1158" s="2">
        <v>-165.0</v>
      </c>
      <c r="F1158" s="2">
        <v>0.0</v>
      </c>
      <c r="G1158" s="2">
        <f t="shared" si="1"/>
        <v>-165</v>
      </c>
      <c r="H1158" s="2" t="s">
        <v>153</v>
      </c>
      <c r="L1158" s="2" t="s">
        <v>11</v>
      </c>
    </row>
    <row r="1159" ht="12.75" customHeight="1">
      <c r="A1159" s="2">
        <v>2014.0</v>
      </c>
      <c r="B1159" s="2">
        <v>8.0</v>
      </c>
      <c r="C1159" s="2">
        <v>18.0</v>
      </c>
      <c r="D1159" s="2" t="s">
        <v>480</v>
      </c>
      <c r="E1159" s="2">
        <v>-170.0</v>
      </c>
      <c r="F1159" s="2">
        <v>0.0</v>
      </c>
      <c r="G1159" s="2">
        <f t="shared" si="1"/>
        <v>-170</v>
      </c>
      <c r="H1159" s="2" t="s">
        <v>47</v>
      </c>
      <c r="L1159" s="2" t="s">
        <v>11</v>
      </c>
    </row>
    <row r="1160" ht="12.75" customHeight="1">
      <c r="A1160" s="2">
        <v>2014.0</v>
      </c>
      <c r="B1160" s="2">
        <v>8.0</v>
      </c>
      <c r="C1160" s="2">
        <v>17.0</v>
      </c>
      <c r="D1160" s="2" t="s">
        <v>553</v>
      </c>
      <c r="E1160" s="2">
        <v>-468.8</v>
      </c>
      <c r="F1160" s="2">
        <v>0.0</v>
      </c>
      <c r="G1160" s="2">
        <f t="shared" si="1"/>
        <v>-468.8</v>
      </c>
      <c r="H1160" s="2" t="s">
        <v>153</v>
      </c>
      <c r="L1160" s="2" t="s">
        <v>11</v>
      </c>
    </row>
    <row r="1161" ht="12.75" customHeight="1">
      <c r="A1161" s="2">
        <v>2014.0</v>
      </c>
      <c r="B1161" s="2">
        <v>8.0</v>
      </c>
      <c r="C1161" s="2">
        <v>17.0</v>
      </c>
      <c r="D1161" s="2" t="s">
        <v>554</v>
      </c>
      <c r="E1161" s="2">
        <v>-58.12</v>
      </c>
      <c r="F1161" s="2">
        <v>0.0</v>
      </c>
      <c r="G1161" s="2">
        <f t="shared" si="1"/>
        <v>-58.12</v>
      </c>
      <c r="H1161" s="2" t="s">
        <v>153</v>
      </c>
      <c r="L1161" s="2" t="s">
        <v>11</v>
      </c>
    </row>
    <row r="1162" ht="12.75" customHeight="1">
      <c r="A1162" s="2">
        <v>2014.0</v>
      </c>
      <c r="B1162" s="2">
        <v>8.0</v>
      </c>
      <c r="C1162" s="2">
        <v>17.0</v>
      </c>
      <c r="D1162" s="2" t="s">
        <v>555</v>
      </c>
      <c r="E1162" s="2">
        <v>-203.4</v>
      </c>
      <c r="F1162" s="2">
        <v>0.0</v>
      </c>
      <c r="G1162" s="2">
        <f t="shared" si="1"/>
        <v>-203.4</v>
      </c>
      <c r="H1162" s="2" t="s">
        <v>153</v>
      </c>
      <c r="L1162" s="2" t="s">
        <v>11</v>
      </c>
    </row>
    <row r="1163" ht="12.75" customHeight="1">
      <c r="A1163" s="2">
        <v>2014.0</v>
      </c>
      <c r="B1163" s="2">
        <v>8.0</v>
      </c>
      <c r="C1163" s="2">
        <v>15.0</v>
      </c>
      <c r="D1163" s="2" t="s">
        <v>556</v>
      </c>
      <c r="E1163" s="2">
        <v>-356.0</v>
      </c>
      <c r="F1163" s="2">
        <v>0.0</v>
      </c>
      <c r="G1163" s="2">
        <f t="shared" si="1"/>
        <v>-356</v>
      </c>
      <c r="H1163" s="2" t="s">
        <v>153</v>
      </c>
      <c r="L1163" s="2" t="s">
        <v>11</v>
      </c>
    </row>
    <row r="1164" ht="12.75" customHeight="1">
      <c r="A1164" s="2">
        <v>2014.0</v>
      </c>
      <c r="B1164" s="2">
        <v>8.0</v>
      </c>
      <c r="C1164" s="2">
        <v>15.0</v>
      </c>
      <c r="D1164" s="2" t="s">
        <v>557</v>
      </c>
      <c r="E1164" s="2">
        <v>-497.37</v>
      </c>
      <c r="F1164" s="2">
        <v>0.0</v>
      </c>
      <c r="G1164" s="2">
        <f t="shared" si="1"/>
        <v>-497.37</v>
      </c>
      <c r="H1164" s="2" t="s">
        <v>153</v>
      </c>
      <c r="L1164" s="2" t="s">
        <v>11</v>
      </c>
    </row>
    <row r="1165" ht="12.75" customHeight="1">
      <c r="A1165" s="2">
        <v>2014.0</v>
      </c>
      <c r="B1165" s="2">
        <v>8.0</v>
      </c>
      <c r="C1165" s="2">
        <v>15.0</v>
      </c>
      <c r="D1165" s="2" t="s">
        <v>558</v>
      </c>
      <c r="E1165" s="2">
        <v>-116.23</v>
      </c>
      <c r="F1165" s="2">
        <v>0.0</v>
      </c>
      <c r="G1165" s="2">
        <f t="shared" si="1"/>
        <v>-116.23</v>
      </c>
      <c r="H1165" s="2" t="s">
        <v>153</v>
      </c>
      <c r="I1165" s="2" t="s">
        <v>559</v>
      </c>
      <c r="L1165" s="2" t="s">
        <v>11</v>
      </c>
    </row>
    <row r="1166" ht="12.75" customHeight="1">
      <c r="A1166" s="2">
        <v>2014.0</v>
      </c>
      <c r="B1166" s="2">
        <v>8.0</v>
      </c>
      <c r="C1166" s="2">
        <v>15.0</v>
      </c>
      <c r="D1166" s="2" t="s">
        <v>558</v>
      </c>
      <c r="E1166" s="2">
        <v>-116.23</v>
      </c>
      <c r="F1166" s="2">
        <v>0.0</v>
      </c>
      <c r="G1166" s="2">
        <f t="shared" si="1"/>
        <v>-116.23</v>
      </c>
      <c r="H1166" s="2" t="s">
        <v>153</v>
      </c>
      <c r="I1166" s="2" t="s">
        <v>560</v>
      </c>
      <c r="L1166" s="2" t="s">
        <v>11</v>
      </c>
    </row>
    <row r="1167" ht="12.75" customHeight="1">
      <c r="A1167" s="2">
        <v>2014.0</v>
      </c>
      <c r="B1167" s="2">
        <v>8.0</v>
      </c>
      <c r="C1167" s="2">
        <v>15.0</v>
      </c>
      <c r="D1167" s="2" t="s">
        <v>561</v>
      </c>
      <c r="E1167" s="2">
        <v>-2366.68</v>
      </c>
      <c r="F1167" s="2">
        <v>0.0</v>
      </c>
      <c r="G1167" s="2">
        <f t="shared" si="1"/>
        <v>-2366.68</v>
      </c>
      <c r="H1167" s="2" t="s">
        <v>153</v>
      </c>
      <c r="L1167" s="2" t="s">
        <v>11</v>
      </c>
    </row>
    <row r="1168" ht="12.75" customHeight="1">
      <c r="A1168" s="2">
        <v>2014.0</v>
      </c>
      <c r="B1168" s="2">
        <v>8.0</v>
      </c>
      <c r="C1168" s="2">
        <v>15.0</v>
      </c>
      <c r="D1168" s="2" t="s">
        <v>562</v>
      </c>
      <c r="E1168" s="2">
        <v>-173.0</v>
      </c>
      <c r="F1168" s="2">
        <v>0.0</v>
      </c>
      <c r="G1168" s="2">
        <f t="shared" si="1"/>
        <v>-173</v>
      </c>
      <c r="H1168" s="2" t="s">
        <v>153</v>
      </c>
      <c r="L1168" s="2" t="s">
        <v>11</v>
      </c>
    </row>
    <row r="1169" ht="12.75" customHeight="1">
      <c r="A1169" s="2">
        <v>2014.0</v>
      </c>
      <c r="B1169" s="2">
        <v>8.0</v>
      </c>
      <c r="C1169" s="2">
        <v>14.0</v>
      </c>
      <c r="D1169" s="2" t="s">
        <v>465</v>
      </c>
      <c r="E1169" s="2">
        <v>-60.0</v>
      </c>
      <c r="F1169" s="2">
        <v>0.0</v>
      </c>
      <c r="G1169" s="2">
        <f t="shared" si="1"/>
        <v>-60</v>
      </c>
      <c r="H1169" s="2" t="s">
        <v>47</v>
      </c>
      <c r="L1169" s="2" t="s">
        <v>11</v>
      </c>
    </row>
    <row r="1170" ht="12.75" customHeight="1">
      <c r="A1170" s="2">
        <v>2014.0</v>
      </c>
      <c r="B1170" s="2">
        <v>8.0</v>
      </c>
      <c r="C1170" s="2">
        <v>13.0</v>
      </c>
      <c r="D1170" s="2" t="s">
        <v>563</v>
      </c>
      <c r="E1170" s="2">
        <v>-70.0</v>
      </c>
      <c r="F1170" s="2">
        <v>0.0</v>
      </c>
      <c r="G1170" s="2">
        <f t="shared" si="1"/>
        <v>-70</v>
      </c>
      <c r="H1170" s="2" t="s">
        <v>38</v>
      </c>
      <c r="L1170" s="2" t="s">
        <v>11</v>
      </c>
    </row>
    <row r="1171" ht="12.75" customHeight="1">
      <c r="A1171" s="2">
        <v>2014.0</v>
      </c>
      <c r="B1171" s="2">
        <v>8.0</v>
      </c>
      <c r="C1171" s="2">
        <v>13.0</v>
      </c>
      <c r="D1171" s="2" t="s">
        <v>94</v>
      </c>
      <c r="E1171" s="2">
        <v>366.0</v>
      </c>
      <c r="F1171" s="2">
        <v>0.0</v>
      </c>
      <c r="G1171" s="2">
        <f t="shared" si="1"/>
        <v>366</v>
      </c>
      <c r="H1171" s="2" t="s">
        <v>164</v>
      </c>
      <c r="L1171" s="2" t="s">
        <v>11</v>
      </c>
    </row>
    <row r="1172" ht="12.75" customHeight="1">
      <c r="A1172" s="2">
        <v>2014.0</v>
      </c>
      <c r="B1172" s="2">
        <v>8.0</v>
      </c>
      <c r="C1172" s="2">
        <v>13.0</v>
      </c>
      <c r="D1172" s="2" t="s">
        <v>564</v>
      </c>
      <c r="E1172" s="2">
        <v>1000.0</v>
      </c>
      <c r="F1172" s="2">
        <v>0.0</v>
      </c>
      <c r="G1172" s="2">
        <f t="shared" si="1"/>
        <v>1000</v>
      </c>
      <c r="H1172" s="2" t="s">
        <v>153</v>
      </c>
      <c r="L1172" s="2" t="s">
        <v>11</v>
      </c>
    </row>
    <row r="1173" ht="12.75" customHeight="1">
      <c r="A1173" s="2">
        <v>2014.0</v>
      </c>
      <c r="B1173" s="2">
        <v>8.0</v>
      </c>
      <c r="C1173" s="2">
        <v>13.0</v>
      </c>
      <c r="D1173" s="2" t="s">
        <v>565</v>
      </c>
      <c r="E1173" s="2">
        <v>-49.0</v>
      </c>
      <c r="F1173" s="2">
        <v>0.0</v>
      </c>
      <c r="G1173" s="2">
        <f t="shared" si="1"/>
        <v>-49</v>
      </c>
      <c r="H1173" s="2" t="s">
        <v>47</v>
      </c>
      <c r="L1173" s="2" t="s">
        <v>11</v>
      </c>
    </row>
    <row r="1174" ht="12.75" customHeight="1">
      <c r="A1174" s="2">
        <v>2014.0</v>
      </c>
      <c r="B1174" s="2">
        <v>8.0</v>
      </c>
      <c r="C1174" s="2">
        <v>13.0</v>
      </c>
      <c r="D1174" s="2" t="s">
        <v>566</v>
      </c>
      <c r="E1174" s="2">
        <v>800.0</v>
      </c>
      <c r="F1174" s="2">
        <v>0.0</v>
      </c>
      <c r="G1174" s="2">
        <f t="shared" si="1"/>
        <v>800</v>
      </c>
      <c r="H1174" s="2" t="s">
        <v>153</v>
      </c>
      <c r="L1174" s="2" t="s">
        <v>11</v>
      </c>
    </row>
    <row r="1175" ht="12.75" customHeight="1">
      <c r="A1175" s="2">
        <v>2014.0</v>
      </c>
      <c r="B1175" s="2">
        <v>8.0</v>
      </c>
      <c r="C1175" s="2">
        <v>13.0</v>
      </c>
      <c r="D1175" s="2" t="s">
        <v>567</v>
      </c>
      <c r="E1175" s="2">
        <v>-55.0</v>
      </c>
      <c r="F1175" s="2">
        <v>0.0</v>
      </c>
      <c r="G1175" s="2">
        <f t="shared" si="1"/>
        <v>-55</v>
      </c>
      <c r="H1175" s="2" t="s">
        <v>47</v>
      </c>
      <c r="L1175" s="2" t="s">
        <v>11</v>
      </c>
    </row>
    <row r="1176" ht="12.75" customHeight="1">
      <c r="A1176" s="2">
        <v>2014.0</v>
      </c>
      <c r="B1176" s="2">
        <v>8.0</v>
      </c>
      <c r="C1176" s="2">
        <v>12.0</v>
      </c>
      <c r="D1176" s="2" t="s">
        <v>465</v>
      </c>
      <c r="E1176" s="2">
        <v>-60.0</v>
      </c>
      <c r="F1176" s="2">
        <v>0.0</v>
      </c>
      <c r="G1176" s="2">
        <f t="shared" si="1"/>
        <v>-60</v>
      </c>
      <c r="H1176" s="2" t="s">
        <v>47</v>
      </c>
      <c r="L1176" s="2" t="s">
        <v>11</v>
      </c>
    </row>
    <row r="1177" ht="12.75" customHeight="1">
      <c r="A1177" s="2">
        <v>2014.0</v>
      </c>
      <c r="B1177" s="2">
        <v>8.0</v>
      </c>
      <c r="C1177" s="2">
        <v>12.0</v>
      </c>
      <c r="D1177" s="2" t="s">
        <v>479</v>
      </c>
      <c r="E1177" s="2">
        <v>-51.0</v>
      </c>
      <c r="F1177" s="2">
        <v>0.0</v>
      </c>
      <c r="G1177" s="2">
        <f t="shared" si="1"/>
        <v>-51</v>
      </c>
      <c r="H1177" s="2" t="s">
        <v>42</v>
      </c>
      <c r="L1177" s="2" t="s">
        <v>11</v>
      </c>
    </row>
    <row r="1178" ht="12.75" customHeight="1">
      <c r="A1178" s="2">
        <v>2014.0</v>
      </c>
      <c r="B1178" s="2">
        <v>8.0</v>
      </c>
      <c r="C1178" s="2">
        <v>11.0</v>
      </c>
      <c r="D1178" s="2" t="s">
        <v>568</v>
      </c>
      <c r="E1178" s="2">
        <v>1000.0</v>
      </c>
      <c r="F1178" s="2">
        <v>0.0</v>
      </c>
      <c r="G1178" s="2">
        <f t="shared" si="1"/>
        <v>1000</v>
      </c>
      <c r="H1178" s="2" t="s">
        <v>153</v>
      </c>
      <c r="L1178" s="2" t="s">
        <v>11</v>
      </c>
    </row>
    <row r="1179" ht="12.75" customHeight="1">
      <c r="A1179" s="2">
        <v>2014.0</v>
      </c>
      <c r="B1179" s="2">
        <v>8.0</v>
      </c>
      <c r="C1179" s="2">
        <v>11.0</v>
      </c>
      <c r="D1179" s="2" t="s">
        <v>467</v>
      </c>
      <c r="E1179" s="2">
        <v>-800.0</v>
      </c>
      <c r="F1179" s="2">
        <v>0.0</v>
      </c>
      <c r="G1179" s="2">
        <f t="shared" si="1"/>
        <v>-800</v>
      </c>
      <c r="H1179" s="2" t="s">
        <v>38</v>
      </c>
      <c r="L1179" s="2" t="s">
        <v>11</v>
      </c>
    </row>
    <row r="1180" ht="12.75" customHeight="1">
      <c r="A1180" s="2">
        <v>2014.0</v>
      </c>
      <c r="B1180" s="2">
        <v>8.0</v>
      </c>
      <c r="C1180" s="2">
        <v>8.0</v>
      </c>
      <c r="D1180" s="2" t="s">
        <v>465</v>
      </c>
      <c r="E1180" s="2">
        <v>-60.0</v>
      </c>
      <c r="F1180" s="2">
        <v>0.0</v>
      </c>
      <c r="G1180" s="2">
        <f t="shared" si="1"/>
        <v>-60</v>
      </c>
      <c r="H1180" s="2" t="s">
        <v>47</v>
      </c>
      <c r="L1180" s="2" t="s">
        <v>11</v>
      </c>
    </row>
    <row r="1181" ht="12.75" customHeight="1">
      <c r="A1181" s="2">
        <v>2014.0</v>
      </c>
      <c r="B1181" s="2">
        <v>8.0</v>
      </c>
      <c r="C1181" s="2">
        <v>8.0</v>
      </c>
      <c r="D1181" s="2" t="s">
        <v>41</v>
      </c>
      <c r="E1181" s="2">
        <v>-92.0</v>
      </c>
      <c r="F1181" s="2">
        <v>0.0</v>
      </c>
      <c r="G1181" s="2">
        <f t="shared" si="1"/>
        <v>-92</v>
      </c>
      <c r="H1181" s="2" t="s">
        <v>47</v>
      </c>
      <c r="L1181" s="2" t="s">
        <v>11</v>
      </c>
    </row>
    <row r="1182" ht="12.75" customHeight="1">
      <c r="A1182" s="2">
        <v>2014.0</v>
      </c>
      <c r="B1182" s="2">
        <v>8.0</v>
      </c>
      <c r="C1182" s="2">
        <v>8.0</v>
      </c>
      <c r="D1182" s="2" t="s">
        <v>482</v>
      </c>
      <c r="E1182" s="2">
        <v>-75.0</v>
      </c>
      <c r="F1182" s="2">
        <v>0.0</v>
      </c>
      <c r="G1182" s="2">
        <f t="shared" si="1"/>
        <v>-75</v>
      </c>
      <c r="H1182" s="2" t="s">
        <v>38</v>
      </c>
      <c r="L1182" s="2" t="s">
        <v>11</v>
      </c>
    </row>
    <row r="1183" ht="12.75" customHeight="1">
      <c r="A1183" s="2">
        <v>2014.0</v>
      </c>
      <c r="B1183" s="2">
        <v>8.0</v>
      </c>
      <c r="C1183" s="2">
        <v>7.0</v>
      </c>
      <c r="D1183" s="2" t="s">
        <v>465</v>
      </c>
      <c r="E1183" s="2">
        <v>-60.0</v>
      </c>
      <c r="F1183" s="2">
        <v>0.0</v>
      </c>
      <c r="G1183" s="2">
        <f t="shared" si="1"/>
        <v>-60</v>
      </c>
      <c r="H1183" s="2" t="s">
        <v>47</v>
      </c>
      <c r="L1183" s="2" t="s">
        <v>11</v>
      </c>
    </row>
    <row r="1184" ht="12.75" customHeight="1">
      <c r="A1184" s="2">
        <v>2014.0</v>
      </c>
      <c r="B1184" s="2">
        <v>8.0</v>
      </c>
      <c r="C1184" s="2">
        <v>7.0</v>
      </c>
      <c r="D1184" s="2" t="s">
        <v>482</v>
      </c>
      <c r="E1184" s="2">
        <v>-75.0</v>
      </c>
      <c r="F1184" s="2">
        <v>0.0</v>
      </c>
      <c r="G1184" s="2">
        <f t="shared" si="1"/>
        <v>-75</v>
      </c>
      <c r="H1184" s="2" t="s">
        <v>38</v>
      </c>
      <c r="L1184" s="2" t="s">
        <v>11</v>
      </c>
    </row>
    <row r="1185" ht="12.75" customHeight="1">
      <c r="A1185" s="2">
        <v>2014.0</v>
      </c>
      <c r="B1185" s="2">
        <v>8.0</v>
      </c>
      <c r="C1185" s="2">
        <v>6.0</v>
      </c>
      <c r="D1185" s="2" t="s">
        <v>545</v>
      </c>
      <c r="E1185" s="2">
        <v>-69.0</v>
      </c>
      <c r="F1185" s="2">
        <v>0.0</v>
      </c>
      <c r="G1185" s="2">
        <f t="shared" si="1"/>
        <v>-69</v>
      </c>
      <c r="H1185" s="2" t="s">
        <v>38</v>
      </c>
      <c r="L1185" s="2" t="s">
        <v>11</v>
      </c>
    </row>
    <row r="1186" ht="12.75" customHeight="1">
      <c r="A1186" s="2">
        <v>2014.0</v>
      </c>
      <c r="B1186" s="2">
        <v>8.0</v>
      </c>
      <c r="C1186" s="2">
        <v>5.0</v>
      </c>
      <c r="D1186" s="2" t="s">
        <v>495</v>
      </c>
      <c r="E1186" s="2">
        <v>-95.0</v>
      </c>
      <c r="F1186" s="2">
        <v>0.0</v>
      </c>
      <c r="G1186" s="2">
        <f t="shared" si="1"/>
        <v>-95</v>
      </c>
      <c r="H1186" s="2" t="s">
        <v>38</v>
      </c>
      <c r="L1186" s="2" t="s">
        <v>11</v>
      </c>
    </row>
    <row r="1187" ht="12.75" customHeight="1">
      <c r="A1187" s="2">
        <v>2014.0</v>
      </c>
      <c r="B1187" s="2">
        <v>8.0</v>
      </c>
      <c r="C1187" s="2">
        <v>5.0</v>
      </c>
      <c r="D1187" s="2" t="s">
        <v>569</v>
      </c>
      <c r="E1187" s="2">
        <v>-58.0</v>
      </c>
      <c r="F1187" s="2">
        <v>0.0</v>
      </c>
      <c r="G1187" s="2">
        <f t="shared" si="1"/>
        <v>-58</v>
      </c>
      <c r="H1187" s="2" t="s">
        <v>47</v>
      </c>
      <c r="L1187" s="2" t="s">
        <v>11</v>
      </c>
    </row>
    <row r="1188" ht="12.75" customHeight="1">
      <c r="A1188" s="2">
        <v>2014.0</v>
      </c>
      <c r="B1188" s="2">
        <v>8.0</v>
      </c>
      <c r="C1188" s="2">
        <v>4.0</v>
      </c>
      <c r="D1188" s="2" t="s">
        <v>465</v>
      </c>
      <c r="E1188" s="2">
        <v>-60.0</v>
      </c>
      <c r="F1188" s="2">
        <v>0.0</v>
      </c>
      <c r="G1188" s="2">
        <f t="shared" si="1"/>
        <v>-60</v>
      </c>
      <c r="H1188" s="2" t="s">
        <v>47</v>
      </c>
      <c r="L1188" s="2" t="s">
        <v>11</v>
      </c>
    </row>
    <row r="1189" ht="12.75" customHeight="1">
      <c r="A1189" s="2">
        <v>2014.0</v>
      </c>
      <c r="B1189" s="2">
        <v>8.0</v>
      </c>
      <c r="C1189" s="2">
        <v>4.0</v>
      </c>
      <c r="D1189" s="2" t="s">
        <v>570</v>
      </c>
      <c r="E1189" s="2">
        <v>-977.0</v>
      </c>
      <c r="F1189" s="2">
        <v>0.0</v>
      </c>
      <c r="G1189" s="2">
        <f t="shared" si="1"/>
        <v>-977</v>
      </c>
      <c r="H1189" s="2" t="s">
        <v>304</v>
      </c>
      <c r="L1189" s="2" t="s">
        <v>11</v>
      </c>
    </row>
    <row r="1190" ht="12.75" customHeight="1">
      <c r="A1190" s="2">
        <v>2014.0</v>
      </c>
      <c r="B1190" s="2">
        <v>8.0</v>
      </c>
      <c r="C1190" s="2">
        <v>4.0</v>
      </c>
      <c r="D1190" s="2" t="s">
        <v>466</v>
      </c>
      <c r="E1190" s="2">
        <v>-1821.0</v>
      </c>
      <c r="F1190" s="2">
        <v>0.0</v>
      </c>
      <c r="G1190" s="2">
        <f t="shared" si="1"/>
        <v>-1821</v>
      </c>
      <c r="H1190" s="2" t="s">
        <v>50</v>
      </c>
      <c r="L1190" s="2" t="s">
        <v>11</v>
      </c>
    </row>
    <row r="1191" ht="12.75" customHeight="1">
      <c r="A1191" s="2">
        <v>2014.0</v>
      </c>
      <c r="B1191" s="2">
        <v>8.0</v>
      </c>
      <c r="C1191" s="2">
        <v>4.0</v>
      </c>
      <c r="D1191" s="2" t="s">
        <v>482</v>
      </c>
      <c r="E1191" s="2">
        <v>-75.0</v>
      </c>
      <c r="F1191" s="2">
        <v>0.0</v>
      </c>
      <c r="G1191" s="2">
        <f t="shared" si="1"/>
        <v>-75</v>
      </c>
      <c r="H1191" s="2" t="s">
        <v>38</v>
      </c>
      <c r="L1191" s="2" t="s">
        <v>11</v>
      </c>
    </row>
    <row r="1192" ht="12.75" customHeight="1">
      <c r="A1192" s="2">
        <v>2014.0</v>
      </c>
      <c r="B1192" s="2">
        <v>8.0</v>
      </c>
      <c r="C1192" s="2">
        <v>3.0</v>
      </c>
      <c r="D1192" s="2" t="s">
        <v>496</v>
      </c>
      <c r="E1192" s="2">
        <v>-130.0</v>
      </c>
      <c r="F1192" s="2">
        <v>0.0</v>
      </c>
      <c r="G1192" s="2">
        <f t="shared" si="1"/>
        <v>-130</v>
      </c>
      <c r="H1192" s="2" t="s">
        <v>47</v>
      </c>
      <c r="L1192" s="2" t="s">
        <v>11</v>
      </c>
    </row>
    <row r="1193" ht="12.75" customHeight="1">
      <c r="A1193" s="2">
        <v>2014.0</v>
      </c>
      <c r="B1193" s="2">
        <v>8.0</v>
      </c>
      <c r="C1193" s="2">
        <v>1.0</v>
      </c>
      <c r="D1193" s="2" t="s">
        <v>427</v>
      </c>
      <c r="E1193" s="2">
        <v>-469.0</v>
      </c>
      <c r="F1193" s="2">
        <v>0.0</v>
      </c>
      <c r="G1193" s="2">
        <f t="shared" si="1"/>
        <v>-469</v>
      </c>
      <c r="H1193" s="2" t="s">
        <v>428</v>
      </c>
      <c r="L1193" s="2" t="s">
        <v>11</v>
      </c>
    </row>
    <row r="1194" ht="12.75" customHeight="1">
      <c r="A1194" s="2">
        <v>2014.0</v>
      </c>
      <c r="B1194" s="2">
        <v>8.0</v>
      </c>
      <c r="C1194" s="2">
        <v>1.0</v>
      </c>
      <c r="D1194" s="2" t="s">
        <v>571</v>
      </c>
      <c r="E1194" s="2">
        <v>-159.71</v>
      </c>
      <c r="F1194" s="2">
        <v>0.0</v>
      </c>
      <c r="G1194" s="2">
        <f t="shared" si="1"/>
        <v>-159.71</v>
      </c>
      <c r="H1194" s="2" t="s">
        <v>153</v>
      </c>
      <c r="L1194" s="2" t="s">
        <v>11</v>
      </c>
    </row>
    <row r="1195" ht="12.75" customHeight="1">
      <c r="A1195" s="2">
        <v>2014.0</v>
      </c>
      <c r="B1195" s="2">
        <v>8.0</v>
      </c>
      <c r="C1195" s="2">
        <v>1.0</v>
      </c>
      <c r="D1195" s="2" t="s">
        <v>157</v>
      </c>
      <c r="E1195" s="2">
        <v>-119.0</v>
      </c>
      <c r="F1195" s="2">
        <v>0.0</v>
      </c>
      <c r="G1195" s="2">
        <f t="shared" si="1"/>
        <v>-119</v>
      </c>
      <c r="H1195" s="2" t="s">
        <v>17</v>
      </c>
      <c r="L1195" s="2" t="s">
        <v>11</v>
      </c>
    </row>
    <row r="1196" ht="12.75" customHeight="1">
      <c r="A1196" s="2">
        <v>2014.0</v>
      </c>
      <c r="B1196" s="2">
        <v>8.0</v>
      </c>
      <c r="C1196" s="2">
        <v>1.0</v>
      </c>
      <c r="D1196" s="2" t="s">
        <v>572</v>
      </c>
      <c r="E1196" s="2">
        <v>-1494.92</v>
      </c>
      <c r="F1196" s="2">
        <v>0.0</v>
      </c>
      <c r="G1196" s="2">
        <f t="shared" si="1"/>
        <v>-1494.92</v>
      </c>
      <c r="H1196" s="2" t="s">
        <v>153</v>
      </c>
      <c r="L1196" s="2" t="s">
        <v>11</v>
      </c>
    </row>
    <row r="1197" ht="12.75" customHeight="1">
      <c r="A1197" s="2">
        <v>2014.0</v>
      </c>
      <c r="B1197" s="2">
        <v>8.0</v>
      </c>
      <c r="C1197" s="2">
        <v>1.0</v>
      </c>
      <c r="D1197" s="2" t="s">
        <v>572</v>
      </c>
      <c r="E1197" s="2">
        <v>-144.85</v>
      </c>
      <c r="F1197" s="2">
        <v>0.0</v>
      </c>
      <c r="G1197" s="2">
        <f t="shared" si="1"/>
        <v>-144.85</v>
      </c>
      <c r="H1197" s="2" t="s">
        <v>153</v>
      </c>
      <c r="L1197" s="2" t="s">
        <v>11</v>
      </c>
    </row>
    <row r="1198" ht="12.75" customHeight="1">
      <c r="A1198" s="2">
        <v>2014.0</v>
      </c>
      <c r="B1198" s="2">
        <v>8.0</v>
      </c>
      <c r="C1198" s="2">
        <v>1.0</v>
      </c>
      <c r="D1198" s="2" t="s">
        <v>73</v>
      </c>
      <c r="E1198" s="2">
        <v>-6106.0</v>
      </c>
      <c r="F1198" s="2">
        <v>0.0</v>
      </c>
      <c r="G1198" s="2">
        <f t="shared" si="1"/>
        <v>-6106</v>
      </c>
      <c r="H1198" s="2" t="s">
        <v>10</v>
      </c>
      <c r="L1198" s="2" t="s">
        <v>11</v>
      </c>
    </row>
    <row r="1199" ht="12.75" customHeight="1">
      <c r="A1199" s="2">
        <v>2014.0</v>
      </c>
      <c r="B1199" s="2">
        <v>7.0</v>
      </c>
      <c r="C1199" s="2">
        <v>31.0</v>
      </c>
      <c r="D1199" s="2" t="s">
        <v>19</v>
      </c>
      <c r="E1199" s="2">
        <v>-320.0</v>
      </c>
      <c r="F1199" s="2">
        <v>0.0</v>
      </c>
      <c r="G1199" s="2">
        <f t="shared" si="1"/>
        <v>-320</v>
      </c>
      <c r="H1199" s="2" t="s">
        <v>20</v>
      </c>
      <c r="L1199" s="2" t="s">
        <v>11</v>
      </c>
    </row>
    <row r="1200" ht="12.75" customHeight="1">
      <c r="A1200" s="2">
        <v>2014.0</v>
      </c>
      <c r="B1200" s="2">
        <v>7.0</v>
      </c>
      <c r="C1200" s="2">
        <v>31.0</v>
      </c>
      <c r="D1200" s="2" t="s">
        <v>12</v>
      </c>
      <c r="E1200" s="2">
        <v>-17502.95</v>
      </c>
      <c r="F1200" s="2">
        <v>0.0</v>
      </c>
      <c r="G1200" s="2">
        <f t="shared" si="1"/>
        <v>-17502.95</v>
      </c>
      <c r="H1200" s="2" t="s">
        <v>28</v>
      </c>
      <c r="L1200" s="2" t="s">
        <v>228</v>
      </c>
    </row>
    <row r="1201" ht="12.75" customHeight="1">
      <c r="A1201" s="2">
        <v>2014.0</v>
      </c>
      <c r="B1201" s="2">
        <v>7.0</v>
      </c>
      <c r="C1201" s="2">
        <v>31.0</v>
      </c>
      <c r="D1201" s="2" t="s">
        <v>14</v>
      </c>
      <c r="E1201" s="2">
        <v>-4007.0</v>
      </c>
      <c r="F1201" s="2">
        <v>0.0</v>
      </c>
      <c r="G1201" s="2">
        <f t="shared" si="1"/>
        <v>-4007</v>
      </c>
      <c r="H1201" s="2" t="s">
        <v>10</v>
      </c>
      <c r="L1201" s="2" t="s">
        <v>11</v>
      </c>
    </row>
    <row r="1202" ht="12.75" customHeight="1">
      <c r="A1202" s="2">
        <v>2014.0</v>
      </c>
      <c r="B1202" s="2">
        <v>7.0</v>
      </c>
      <c r="C1202" s="2">
        <v>31.0</v>
      </c>
      <c r="D1202" s="2" t="s">
        <v>15</v>
      </c>
      <c r="E1202" s="2">
        <v>-207.8</v>
      </c>
      <c r="F1202" s="2">
        <v>0.0</v>
      </c>
      <c r="G1202" s="2">
        <f t="shared" si="1"/>
        <v>-207.8</v>
      </c>
      <c r="H1202" s="2" t="s">
        <v>10</v>
      </c>
      <c r="L1202" s="2" t="s">
        <v>11</v>
      </c>
    </row>
    <row r="1203" ht="12.75" customHeight="1">
      <c r="A1203" s="2">
        <v>2014.0</v>
      </c>
      <c r="B1203" s="2">
        <v>7.0</v>
      </c>
      <c r="C1203" s="2">
        <v>30.0</v>
      </c>
      <c r="D1203" s="2" t="s">
        <v>490</v>
      </c>
      <c r="E1203" s="2">
        <v>-89.0</v>
      </c>
      <c r="F1203" s="2">
        <v>0.0</v>
      </c>
      <c r="G1203" s="2">
        <f t="shared" si="1"/>
        <v>-89</v>
      </c>
      <c r="H1203" s="2" t="s">
        <v>47</v>
      </c>
      <c r="L1203" s="2" t="s">
        <v>11</v>
      </c>
    </row>
    <row r="1204" ht="12.75" customHeight="1">
      <c r="A1204" s="2">
        <v>2014.0</v>
      </c>
      <c r="B1204" s="2">
        <v>7.0</v>
      </c>
      <c r="C1204" s="2">
        <v>30.0</v>
      </c>
      <c r="D1204" s="2" t="s">
        <v>573</v>
      </c>
      <c r="E1204" s="2">
        <v>-3334.39</v>
      </c>
      <c r="F1204" s="2">
        <v>0.0</v>
      </c>
      <c r="G1204" s="2">
        <f t="shared" si="1"/>
        <v>-3334.39</v>
      </c>
      <c r="H1204" s="2" t="s">
        <v>153</v>
      </c>
      <c r="L1204" s="2" t="s">
        <v>11</v>
      </c>
    </row>
    <row r="1205" ht="12.75" customHeight="1">
      <c r="A1205" s="2">
        <v>2014.0</v>
      </c>
      <c r="B1205" s="2">
        <v>7.0</v>
      </c>
      <c r="C1205" s="2">
        <v>30.0</v>
      </c>
      <c r="D1205" s="2" t="s">
        <v>23</v>
      </c>
      <c r="E1205" s="2">
        <v>-285.0</v>
      </c>
      <c r="F1205" s="2">
        <v>0.0</v>
      </c>
      <c r="G1205" s="2">
        <f t="shared" si="1"/>
        <v>-285</v>
      </c>
      <c r="H1205" s="2" t="s">
        <v>24</v>
      </c>
      <c r="L1205" s="2" t="s">
        <v>11</v>
      </c>
    </row>
    <row r="1206" ht="12.75" customHeight="1">
      <c r="A1206" s="2">
        <v>2014.0</v>
      </c>
      <c r="B1206" s="2">
        <v>7.0</v>
      </c>
      <c r="C1206" s="2">
        <v>30.0</v>
      </c>
      <c r="D1206" s="2">
        <v>4.7516877E7</v>
      </c>
      <c r="E1206" s="2">
        <v>1000.0</v>
      </c>
      <c r="F1206" s="2">
        <v>0.0</v>
      </c>
      <c r="G1206" s="2">
        <f t="shared" si="1"/>
        <v>1000</v>
      </c>
      <c r="H1206" s="2" t="s">
        <v>18</v>
      </c>
      <c r="L1206" s="2" t="s">
        <v>11</v>
      </c>
    </row>
    <row r="1207" ht="12.75" customHeight="1">
      <c r="A1207" s="2">
        <v>2014.0</v>
      </c>
      <c r="B1207" s="2">
        <v>7.0</v>
      </c>
      <c r="C1207" s="2">
        <v>29.0</v>
      </c>
      <c r="D1207" s="2" t="s">
        <v>574</v>
      </c>
      <c r="E1207" s="2">
        <v>-100.0</v>
      </c>
      <c r="F1207" s="2">
        <v>0.0</v>
      </c>
      <c r="G1207" s="2">
        <f t="shared" si="1"/>
        <v>-100</v>
      </c>
      <c r="H1207" s="2" t="s">
        <v>153</v>
      </c>
      <c r="L1207" s="2" t="s">
        <v>11</v>
      </c>
    </row>
    <row r="1208" ht="12.75" customHeight="1">
      <c r="A1208" s="2">
        <v>2014.0</v>
      </c>
      <c r="B1208" s="2">
        <v>7.0</v>
      </c>
      <c r="C1208" s="2">
        <v>28.0</v>
      </c>
      <c r="D1208" s="2" t="s">
        <v>25</v>
      </c>
      <c r="E1208" s="2">
        <v>-100.0</v>
      </c>
      <c r="F1208" s="2">
        <v>0.0</v>
      </c>
      <c r="G1208" s="2">
        <f t="shared" si="1"/>
        <v>-100</v>
      </c>
      <c r="H1208" s="2" t="s">
        <v>26</v>
      </c>
      <c r="L1208" s="2" t="s">
        <v>11</v>
      </c>
    </row>
    <row r="1209" ht="12.75" customHeight="1">
      <c r="A1209" s="2">
        <v>2014.0</v>
      </c>
      <c r="B1209" s="2">
        <v>7.0</v>
      </c>
      <c r="C1209" s="2">
        <v>28.0</v>
      </c>
      <c r="D1209" s="2" t="s">
        <v>570</v>
      </c>
      <c r="E1209" s="2">
        <v>-278.0</v>
      </c>
      <c r="F1209" s="2">
        <v>0.0</v>
      </c>
      <c r="G1209" s="2">
        <f t="shared" si="1"/>
        <v>-278</v>
      </c>
      <c r="H1209" s="2" t="s">
        <v>153</v>
      </c>
      <c r="L1209" s="2" t="s">
        <v>11</v>
      </c>
    </row>
    <row r="1210" ht="12.75" customHeight="1">
      <c r="A1210" s="2">
        <v>2014.0</v>
      </c>
      <c r="B1210" s="2">
        <v>7.0</v>
      </c>
      <c r="C1210" s="2">
        <v>28.0</v>
      </c>
      <c r="D1210" s="2" t="s">
        <v>29</v>
      </c>
      <c r="E1210" s="2">
        <v>-1250.0</v>
      </c>
      <c r="F1210" s="2">
        <v>0.0</v>
      </c>
      <c r="G1210" s="2">
        <f t="shared" si="1"/>
        <v>-1250</v>
      </c>
      <c r="H1210" s="2" t="s">
        <v>18</v>
      </c>
      <c r="L1210" s="2" t="s">
        <v>11</v>
      </c>
    </row>
    <row r="1211" ht="12.75" customHeight="1">
      <c r="A1211" s="2">
        <v>2014.0</v>
      </c>
      <c r="B1211" s="2">
        <v>7.0</v>
      </c>
      <c r="C1211" s="2">
        <v>28.0</v>
      </c>
      <c r="D1211" s="2" t="s">
        <v>575</v>
      </c>
      <c r="E1211" s="2">
        <v>1721.5</v>
      </c>
      <c r="F1211" s="2">
        <v>0.0</v>
      </c>
      <c r="G1211" s="2">
        <f t="shared" si="1"/>
        <v>1721.5</v>
      </c>
      <c r="H1211" s="2" t="s">
        <v>153</v>
      </c>
      <c r="L1211" s="2" t="s">
        <v>11</v>
      </c>
    </row>
    <row r="1212" ht="12.75" customHeight="1">
      <c r="A1212" s="2">
        <v>2014.0</v>
      </c>
      <c r="B1212" s="2">
        <v>7.0</v>
      </c>
      <c r="C1212" s="2">
        <v>27.0</v>
      </c>
      <c r="D1212" s="2" t="s">
        <v>576</v>
      </c>
      <c r="E1212" s="2">
        <v>-30.0</v>
      </c>
      <c r="F1212" s="2">
        <v>0.0</v>
      </c>
      <c r="G1212" s="2">
        <f t="shared" si="1"/>
        <v>-30</v>
      </c>
      <c r="H1212" s="2" t="s">
        <v>153</v>
      </c>
      <c r="L1212" s="2" t="s">
        <v>11</v>
      </c>
    </row>
    <row r="1213" ht="12.75" customHeight="1">
      <c r="A1213" s="2">
        <v>2014.0</v>
      </c>
      <c r="B1213" s="2">
        <v>7.0</v>
      </c>
      <c r="C1213" s="2">
        <v>26.0</v>
      </c>
      <c r="D1213" s="2" t="s">
        <v>468</v>
      </c>
      <c r="E1213" s="2">
        <v>-68.0</v>
      </c>
      <c r="F1213" s="2">
        <v>0.0</v>
      </c>
      <c r="G1213" s="2">
        <f t="shared" si="1"/>
        <v>-68</v>
      </c>
      <c r="H1213" s="2" t="s">
        <v>153</v>
      </c>
      <c r="L1213" s="2" t="s">
        <v>11</v>
      </c>
    </row>
    <row r="1214" ht="12.75" customHeight="1">
      <c r="A1214" s="2">
        <v>2014.0</v>
      </c>
      <c r="B1214" s="2">
        <v>7.0</v>
      </c>
      <c r="C1214" s="2">
        <v>26.0</v>
      </c>
      <c r="D1214" s="2" t="s">
        <v>577</v>
      </c>
      <c r="E1214" s="2">
        <v>-39.0</v>
      </c>
      <c r="F1214" s="2">
        <v>0.0</v>
      </c>
      <c r="G1214" s="2">
        <f t="shared" si="1"/>
        <v>-39</v>
      </c>
      <c r="H1214" s="2" t="s">
        <v>153</v>
      </c>
      <c r="L1214" s="2" t="s">
        <v>11</v>
      </c>
    </row>
    <row r="1215" ht="12.75" customHeight="1">
      <c r="A1215" s="2">
        <v>2014.0</v>
      </c>
      <c r="B1215" s="2">
        <v>7.0</v>
      </c>
      <c r="C1215" s="2">
        <v>26.0</v>
      </c>
      <c r="D1215" s="2" t="s">
        <v>578</v>
      </c>
      <c r="E1215" s="2">
        <v>-3443.0</v>
      </c>
      <c r="F1215" s="2">
        <v>0.0</v>
      </c>
      <c r="G1215" s="2">
        <f t="shared" si="1"/>
        <v>-3443</v>
      </c>
      <c r="H1215" s="2" t="s">
        <v>153</v>
      </c>
      <c r="L1215" s="2" t="s">
        <v>11</v>
      </c>
    </row>
    <row r="1216" ht="12.75" customHeight="1">
      <c r="A1216" s="2">
        <v>2014.0</v>
      </c>
      <c r="B1216" s="2">
        <v>7.0</v>
      </c>
      <c r="C1216" s="2">
        <v>26.0</v>
      </c>
      <c r="D1216" s="2" t="s">
        <v>579</v>
      </c>
      <c r="E1216" s="2">
        <v>-101.0</v>
      </c>
      <c r="F1216" s="2">
        <v>0.0</v>
      </c>
      <c r="G1216" s="2">
        <f t="shared" si="1"/>
        <v>-101</v>
      </c>
      <c r="H1216" s="2" t="s">
        <v>42</v>
      </c>
      <c r="L1216" s="2" t="s">
        <v>11</v>
      </c>
    </row>
    <row r="1217" ht="12.75" customHeight="1">
      <c r="A1217" s="2">
        <v>2014.0</v>
      </c>
      <c r="B1217" s="2">
        <v>7.0</v>
      </c>
      <c r="C1217" s="2">
        <v>26.0</v>
      </c>
      <c r="D1217" s="2" t="s">
        <v>580</v>
      </c>
      <c r="E1217" s="2">
        <v>-245.0</v>
      </c>
      <c r="F1217" s="2">
        <v>0.0</v>
      </c>
      <c r="G1217" s="2">
        <f t="shared" si="1"/>
        <v>-245</v>
      </c>
      <c r="H1217" s="2" t="s">
        <v>153</v>
      </c>
      <c r="L1217" s="2" t="s">
        <v>11</v>
      </c>
    </row>
    <row r="1218" ht="12.75" customHeight="1">
      <c r="A1218" s="2">
        <v>2014.0</v>
      </c>
      <c r="B1218" s="2">
        <v>7.0</v>
      </c>
      <c r="C1218" s="2">
        <v>25.0</v>
      </c>
      <c r="D1218" s="2" t="s">
        <v>382</v>
      </c>
      <c r="E1218" s="2">
        <v>-299.0</v>
      </c>
      <c r="F1218" s="2">
        <v>0.0</v>
      </c>
      <c r="G1218" s="2">
        <f t="shared" si="1"/>
        <v>-299</v>
      </c>
      <c r="H1218" s="2" t="s">
        <v>22</v>
      </c>
      <c r="L1218" s="2" t="s">
        <v>11</v>
      </c>
    </row>
    <row r="1219" ht="12.75" customHeight="1">
      <c r="A1219" s="2">
        <v>2014.0</v>
      </c>
      <c r="B1219" s="2">
        <v>7.0</v>
      </c>
      <c r="C1219" s="2">
        <v>25.0</v>
      </c>
      <c r="D1219" s="2" t="s">
        <v>505</v>
      </c>
      <c r="E1219" s="2">
        <v>-102.0</v>
      </c>
      <c r="F1219" s="2">
        <v>0.0</v>
      </c>
      <c r="G1219" s="2">
        <f t="shared" si="1"/>
        <v>-102</v>
      </c>
      <c r="H1219" s="2" t="s">
        <v>153</v>
      </c>
      <c r="L1219" s="2" t="s">
        <v>11</v>
      </c>
    </row>
    <row r="1220" ht="12.75" customHeight="1">
      <c r="A1220" s="2">
        <v>2014.0</v>
      </c>
      <c r="B1220" s="2">
        <v>7.0</v>
      </c>
      <c r="C1220" s="2">
        <v>25.0</v>
      </c>
      <c r="D1220" s="2" t="s">
        <v>581</v>
      </c>
      <c r="E1220" s="2">
        <v>-1180.0</v>
      </c>
      <c r="F1220" s="2">
        <v>0.0</v>
      </c>
      <c r="G1220" s="2">
        <f t="shared" si="1"/>
        <v>-1180</v>
      </c>
      <c r="H1220" s="2" t="s">
        <v>153</v>
      </c>
      <c r="L1220" s="2" t="s">
        <v>11</v>
      </c>
    </row>
    <row r="1221" ht="12.75" customHeight="1">
      <c r="A1221" s="2">
        <v>2014.0</v>
      </c>
      <c r="B1221" s="2">
        <v>7.0</v>
      </c>
      <c r="C1221" s="2">
        <v>25.0</v>
      </c>
      <c r="D1221" s="2" t="s">
        <v>582</v>
      </c>
      <c r="E1221" s="2">
        <v>-116.0</v>
      </c>
      <c r="F1221" s="2">
        <v>0.0</v>
      </c>
      <c r="G1221" s="2">
        <f t="shared" si="1"/>
        <v>-116</v>
      </c>
      <c r="H1221" s="2" t="s">
        <v>153</v>
      </c>
      <c r="L1221" s="2" t="s">
        <v>11</v>
      </c>
    </row>
    <row r="1222" ht="12.75" customHeight="1">
      <c r="A1222" s="2">
        <v>2014.0</v>
      </c>
      <c r="B1222" s="2">
        <v>7.0</v>
      </c>
      <c r="C1222" s="2">
        <v>25.0</v>
      </c>
      <c r="D1222" s="2" t="s">
        <v>27</v>
      </c>
      <c r="E1222" s="2">
        <v>-5000.0</v>
      </c>
      <c r="F1222" s="2">
        <v>0.0</v>
      </c>
      <c r="G1222" s="2">
        <f t="shared" si="1"/>
        <v>-5000</v>
      </c>
      <c r="H1222" s="2" t="s">
        <v>28</v>
      </c>
      <c r="L1222" s="2" t="s">
        <v>11</v>
      </c>
    </row>
    <row r="1223" ht="12.75" customHeight="1">
      <c r="A1223" s="2">
        <v>2014.0</v>
      </c>
      <c r="B1223" s="2">
        <v>7.0</v>
      </c>
      <c r="C1223" s="2">
        <v>25.0</v>
      </c>
      <c r="D1223" s="2" t="s">
        <v>27</v>
      </c>
      <c r="E1223" s="2">
        <v>5000.0</v>
      </c>
      <c r="F1223" s="2">
        <v>0.0</v>
      </c>
      <c r="G1223" s="2">
        <f t="shared" si="1"/>
        <v>5000</v>
      </c>
      <c r="H1223" s="2" t="s">
        <v>28</v>
      </c>
      <c r="L1223" s="2" t="s">
        <v>11</v>
      </c>
    </row>
    <row r="1224" ht="12.75" customHeight="1">
      <c r="A1224" s="2">
        <v>2014.0</v>
      </c>
      <c r="B1224" s="2">
        <v>7.0</v>
      </c>
      <c r="C1224" s="2">
        <v>25.0</v>
      </c>
      <c r="D1224" s="2" t="s">
        <v>583</v>
      </c>
      <c r="E1224" s="2">
        <v>-120.0</v>
      </c>
      <c r="F1224" s="2">
        <v>0.0</v>
      </c>
      <c r="G1224" s="2">
        <f t="shared" si="1"/>
        <v>-120</v>
      </c>
      <c r="H1224" s="2" t="s">
        <v>153</v>
      </c>
      <c r="L1224" s="2" t="s">
        <v>11</v>
      </c>
    </row>
    <row r="1225" ht="12.75" customHeight="1">
      <c r="A1225" s="2">
        <v>2014.0</v>
      </c>
      <c r="B1225" s="2">
        <v>7.0</v>
      </c>
      <c r="C1225" s="2">
        <v>25.0</v>
      </c>
      <c r="D1225" s="2" t="s">
        <v>584</v>
      </c>
      <c r="E1225" s="2">
        <v>-300.0</v>
      </c>
      <c r="F1225" s="2">
        <v>0.0</v>
      </c>
      <c r="G1225" s="2">
        <f t="shared" si="1"/>
        <v>-300</v>
      </c>
      <c r="H1225" s="2" t="s">
        <v>133</v>
      </c>
      <c r="L1225" s="2" t="s">
        <v>11</v>
      </c>
    </row>
    <row r="1226" ht="12.75" customHeight="1">
      <c r="A1226" s="2">
        <v>2014.0</v>
      </c>
      <c r="B1226" s="2">
        <v>7.0</v>
      </c>
      <c r="C1226" s="2">
        <v>24.0</v>
      </c>
      <c r="D1226" s="2" t="s">
        <v>585</v>
      </c>
      <c r="E1226" s="2">
        <v>-51.0</v>
      </c>
      <c r="F1226" s="2">
        <v>0.0</v>
      </c>
      <c r="G1226" s="2">
        <f t="shared" si="1"/>
        <v>-51</v>
      </c>
      <c r="H1226" s="2" t="s">
        <v>42</v>
      </c>
      <c r="L1226" s="2" t="s">
        <v>11</v>
      </c>
    </row>
    <row r="1227" ht="12.75" customHeight="1">
      <c r="A1227" s="2">
        <v>2014.0</v>
      </c>
      <c r="B1227" s="2">
        <v>7.0</v>
      </c>
      <c r="C1227" s="2">
        <v>24.0</v>
      </c>
      <c r="D1227" s="2" t="s">
        <v>586</v>
      </c>
      <c r="E1227" s="2">
        <v>-120.0</v>
      </c>
      <c r="F1227" s="2">
        <v>0.0</v>
      </c>
      <c r="G1227" s="2">
        <f t="shared" si="1"/>
        <v>-120</v>
      </c>
      <c r="H1227" s="2" t="s">
        <v>153</v>
      </c>
      <c r="L1227" s="2" t="s">
        <v>11</v>
      </c>
    </row>
    <row r="1228" ht="12.75" customHeight="1">
      <c r="A1228" s="2">
        <v>2014.0</v>
      </c>
      <c r="B1228" s="2">
        <v>7.0</v>
      </c>
      <c r="C1228" s="2">
        <v>24.0</v>
      </c>
      <c r="D1228" s="2" t="s">
        <v>39</v>
      </c>
      <c r="E1228" s="2">
        <v>28675.0</v>
      </c>
      <c r="F1228" s="2">
        <v>0.0</v>
      </c>
      <c r="G1228" s="2">
        <f t="shared" si="1"/>
        <v>28675</v>
      </c>
      <c r="H1228" s="2" t="s">
        <v>40</v>
      </c>
      <c r="L1228" s="2" t="s">
        <v>11</v>
      </c>
    </row>
    <row r="1229" ht="12.75" customHeight="1">
      <c r="A1229" s="2">
        <v>2014.0</v>
      </c>
      <c r="B1229" s="2">
        <v>7.0</v>
      </c>
      <c r="C1229" s="2">
        <v>24.0</v>
      </c>
      <c r="D1229" s="2" t="s">
        <v>583</v>
      </c>
      <c r="E1229" s="2">
        <v>-50.0</v>
      </c>
      <c r="F1229" s="2">
        <v>0.0</v>
      </c>
      <c r="G1229" s="2">
        <f t="shared" si="1"/>
        <v>-50</v>
      </c>
      <c r="H1229" s="2" t="s">
        <v>153</v>
      </c>
      <c r="L1229" s="2" t="s">
        <v>11</v>
      </c>
    </row>
    <row r="1230" ht="12.75" customHeight="1">
      <c r="A1230" s="2">
        <v>2014.0</v>
      </c>
      <c r="B1230" s="2">
        <v>7.0</v>
      </c>
      <c r="C1230" s="2">
        <v>24.0</v>
      </c>
      <c r="D1230" s="2" t="s">
        <v>583</v>
      </c>
      <c r="E1230" s="2">
        <v>-100.0</v>
      </c>
      <c r="F1230" s="2">
        <v>0.0</v>
      </c>
      <c r="G1230" s="2">
        <f t="shared" si="1"/>
        <v>-100</v>
      </c>
      <c r="H1230" s="2" t="s">
        <v>153</v>
      </c>
      <c r="L1230" s="2" t="s">
        <v>11</v>
      </c>
    </row>
    <row r="1231" ht="12.75" customHeight="1">
      <c r="A1231" s="2">
        <v>2014.0</v>
      </c>
      <c r="B1231" s="2">
        <v>7.0</v>
      </c>
      <c r="C1231" s="2">
        <v>24.0</v>
      </c>
      <c r="D1231" s="2" t="s">
        <v>587</v>
      </c>
      <c r="E1231" s="2">
        <v>-75.0</v>
      </c>
      <c r="F1231" s="2">
        <v>0.0</v>
      </c>
      <c r="G1231" s="2">
        <f t="shared" si="1"/>
        <v>-75</v>
      </c>
      <c r="H1231" s="2" t="s">
        <v>47</v>
      </c>
      <c r="L1231" s="2" t="s">
        <v>11</v>
      </c>
    </row>
    <row r="1232" ht="12.75" customHeight="1">
      <c r="A1232" s="2">
        <v>2014.0</v>
      </c>
      <c r="B1232" s="2">
        <v>7.0</v>
      </c>
      <c r="C1232" s="2">
        <v>21.0</v>
      </c>
      <c r="D1232" s="2" t="s">
        <v>77</v>
      </c>
      <c r="E1232" s="2">
        <v>5000.0</v>
      </c>
      <c r="F1232" s="2">
        <v>0.0</v>
      </c>
      <c r="G1232" s="2">
        <f t="shared" si="1"/>
        <v>5000</v>
      </c>
      <c r="H1232" s="2" t="s">
        <v>153</v>
      </c>
      <c r="L1232" s="2" t="s">
        <v>11</v>
      </c>
    </row>
    <row r="1233" ht="12.75" customHeight="1">
      <c r="A1233" s="2">
        <v>2014.0</v>
      </c>
      <c r="B1233" s="2">
        <v>7.0</v>
      </c>
      <c r="C1233" s="2">
        <v>19.0</v>
      </c>
      <c r="D1233" s="2" t="s">
        <v>588</v>
      </c>
      <c r="E1233" s="2">
        <v>-670.0</v>
      </c>
      <c r="F1233" s="2">
        <v>0.0</v>
      </c>
      <c r="G1233" s="2">
        <f t="shared" si="1"/>
        <v>-670</v>
      </c>
      <c r="H1233" s="2" t="s">
        <v>47</v>
      </c>
      <c r="L1233" s="2" t="s">
        <v>11</v>
      </c>
    </row>
    <row r="1234" ht="12.75" customHeight="1">
      <c r="A1234" s="2">
        <v>2014.0</v>
      </c>
      <c r="B1234" s="2">
        <v>7.0</v>
      </c>
      <c r="C1234" s="2">
        <v>17.0</v>
      </c>
      <c r="D1234" s="2" t="s">
        <v>589</v>
      </c>
      <c r="E1234" s="2">
        <v>-320.0</v>
      </c>
      <c r="F1234" s="2">
        <v>0.0</v>
      </c>
      <c r="G1234" s="2">
        <f t="shared" si="1"/>
        <v>-320</v>
      </c>
      <c r="H1234" s="2" t="s">
        <v>153</v>
      </c>
      <c r="L1234" s="2" t="s">
        <v>11</v>
      </c>
    </row>
    <row r="1235" ht="12.75" customHeight="1">
      <c r="A1235" s="2">
        <v>2014.0</v>
      </c>
      <c r="B1235" s="2">
        <v>7.0</v>
      </c>
      <c r="C1235" s="2">
        <v>16.0</v>
      </c>
      <c r="D1235" s="2" t="s">
        <v>590</v>
      </c>
      <c r="E1235" s="2">
        <v>-452.47</v>
      </c>
      <c r="F1235" s="2">
        <v>0.0</v>
      </c>
      <c r="G1235" s="2">
        <f t="shared" si="1"/>
        <v>-452.47</v>
      </c>
      <c r="H1235" s="2" t="s">
        <v>153</v>
      </c>
      <c r="L1235" s="2" t="s">
        <v>11</v>
      </c>
    </row>
    <row r="1236" ht="12.75" customHeight="1">
      <c r="A1236" s="2">
        <v>2014.0</v>
      </c>
      <c r="B1236" s="2">
        <v>7.0</v>
      </c>
      <c r="C1236" s="2">
        <v>16.0</v>
      </c>
      <c r="D1236" s="2" t="s">
        <v>591</v>
      </c>
      <c r="E1236" s="2">
        <v>-355.76</v>
      </c>
      <c r="F1236" s="2">
        <v>0.0</v>
      </c>
      <c r="G1236" s="2">
        <f t="shared" si="1"/>
        <v>-355.76</v>
      </c>
      <c r="H1236" s="2" t="s">
        <v>153</v>
      </c>
      <c r="L1236" s="2" t="s">
        <v>11</v>
      </c>
    </row>
    <row r="1237" ht="12.75" customHeight="1">
      <c r="A1237" s="2">
        <v>2014.0</v>
      </c>
      <c r="B1237" s="2">
        <v>7.0</v>
      </c>
      <c r="C1237" s="2">
        <v>16.0</v>
      </c>
      <c r="D1237" s="2" t="s">
        <v>592</v>
      </c>
      <c r="E1237" s="2">
        <v>-511.61</v>
      </c>
      <c r="F1237" s="2">
        <v>0.0</v>
      </c>
      <c r="G1237" s="2">
        <f t="shared" si="1"/>
        <v>-511.61</v>
      </c>
      <c r="H1237" s="2" t="s">
        <v>153</v>
      </c>
      <c r="L1237" s="2" t="s">
        <v>11</v>
      </c>
    </row>
    <row r="1238" ht="12.75" customHeight="1">
      <c r="A1238" s="2">
        <v>2014.0</v>
      </c>
      <c r="B1238" s="2">
        <v>7.0</v>
      </c>
      <c r="C1238" s="2">
        <v>16.0</v>
      </c>
      <c r="D1238" s="2" t="s">
        <v>593</v>
      </c>
      <c r="E1238" s="2">
        <v>-1354.27</v>
      </c>
      <c r="F1238" s="2">
        <v>0.0</v>
      </c>
      <c r="G1238" s="2">
        <f t="shared" si="1"/>
        <v>-1354.27</v>
      </c>
      <c r="H1238" s="2" t="s">
        <v>153</v>
      </c>
      <c r="L1238" s="2" t="s">
        <v>11</v>
      </c>
    </row>
    <row r="1239" ht="12.75" customHeight="1">
      <c r="A1239" s="2">
        <v>2014.0</v>
      </c>
      <c r="B1239" s="2">
        <v>7.0</v>
      </c>
      <c r="C1239" s="2">
        <v>15.0</v>
      </c>
      <c r="D1239" s="2" t="s">
        <v>594</v>
      </c>
      <c r="E1239" s="2">
        <v>-112.92</v>
      </c>
      <c r="F1239" s="2">
        <v>0.0</v>
      </c>
      <c r="G1239" s="2">
        <f t="shared" si="1"/>
        <v>-112.92</v>
      </c>
      <c r="H1239" s="2" t="s">
        <v>153</v>
      </c>
      <c r="L1239" s="2" t="s">
        <v>11</v>
      </c>
    </row>
    <row r="1240" ht="12.75" customHeight="1">
      <c r="A1240" s="2">
        <v>2014.0</v>
      </c>
      <c r="B1240" s="2">
        <v>7.0</v>
      </c>
      <c r="C1240" s="2">
        <v>15.0</v>
      </c>
      <c r="D1240" s="2" t="s">
        <v>595</v>
      </c>
      <c r="E1240" s="2">
        <v>-234.47</v>
      </c>
      <c r="F1240" s="2">
        <v>0.0</v>
      </c>
      <c r="G1240" s="2">
        <f t="shared" si="1"/>
        <v>-234.47</v>
      </c>
      <c r="H1240" s="2" t="s">
        <v>153</v>
      </c>
      <c r="L1240" s="2" t="s">
        <v>11</v>
      </c>
    </row>
    <row r="1241" ht="12.75" customHeight="1">
      <c r="A1241" s="2">
        <v>2014.0</v>
      </c>
      <c r="B1241" s="2">
        <v>7.0</v>
      </c>
      <c r="C1241" s="2">
        <v>15.0</v>
      </c>
      <c r="D1241" s="2" t="s">
        <v>596</v>
      </c>
      <c r="E1241" s="2">
        <v>-310.56</v>
      </c>
      <c r="F1241" s="2">
        <v>0.0</v>
      </c>
      <c r="G1241" s="2">
        <f t="shared" si="1"/>
        <v>-310.56</v>
      </c>
      <c r="H1241" s="2" t="s">
        <v>153</v>
      </c>
      <c r="L1241" s="2" t="s">
        <v>11</v>
      </c>
    </row>
    <row r="1242" ht="12.75" customHeight="1">
      <c r="A1242" s="2">
        <v>2014.0</v>
      </c>
      <c r="B1242" s="2">
        <v>7.0</v>
      </c>
      <c r="C1242" s="2">
        <v>13.0</v>
      </c>
      <c r="D1242" s="2" t="s">
        <v>597</v>
      </c>
      <c r="E1242" s="2">
        <v>-655.99</v>
      </c>
      <c r="F1242" s="2">
        <v>0.0</v>
      </c>
      <c r="G1242" s="2">
        <f t="shared" si="1"/>
        <v>-655.99</v>
      </c>
      <c r="H1242" s="2" t="s">
        <v>153</v>
      </c>
      <c r="L1242" s="2" t="s">
        <v>11</v>
      </c>
    </row>
    <row r="1243" ht="12.75" customHeight="1">
      <c r="A1243" s="2">
        <v>2014.0</v>
      </c>
      <c r="B1243" s="2">
        <v>7.0</v>
      </c>
      <c r="C1243" s="2">
        <v>12.0</v>
      </c>
      <c r="D1243" s="2" t="s">
        <v>598</v>
      </c>
      <c r="E1243" s="2">
        <v>-937.67</v>
      </c>
      <c r="F1243" s="2">
        <v>0.0</v>
      </c>
      <c r="G1243" s="2">
        <f t="shared" si="1"/>
        <v>-937.67</v>
      </c>
      <c r="H1243" s="2" t="s">
        <v>153</v>
      </c>
      <c r="L1243" s="2" t="s">
        <v>11</v>
      </c>
    </row>
    <row r="1244" ht="12.75" customHeight="1">
      <c r="A1244" s="2">
        <v>2014.0</v>
      </c>
      <c r="B1244" s="2">
        <v>7.0</v>
      </c>
      <c r="C1244" s="2">
        <v>12.0</v>
      </c>
      <c r="D1244" s="2" t="s">
        <v>599</v>
      </c>
      <c r="E1244" s="2">
        <v>-181.81</v>
      </c>
      <c r="F1244" s="2">
        <v>0.0</v>
      </c>
      <c r="G1244" s="2">
        <f t="shared" si="1"/>
        <v>-181.81</v>
      </c>
      <c r="H1244" s="2" t="s">
        <v>153</v>
      </c>
      <c r="L1244" s="2" t="s">
        <v>11</v>
      </c>
    </row>
    <row r="1245" ht="12.75" customHeight="1">
      <c r="A1245" s="2">
        <v>2014.0</v>
      </c>
      <c r="B1245" s="2">
        <v>7.0</v>
      </c>
      <c r="C1245" s="2">
        <v>12.0</v>
      </c>
      <c r="D1245" s="2" t="s">
        <v>600</v>
      </c>
      <c r="E1245" s="2">
        <v>-46.97</v>
      </c>
      <c r="F1245" s="2">
        <v>0.0</v>
      </c>
      <c r="G1245" s="2">
        <f t="shared" si="1"/>
        <v>-46.97</v>
      </c>
      <c r="H1245" s="2" t="s">
        <v>153</v>
      </c>
      <c r="L1245" s="2" t="s">
        <v>11</v>
      </c>
    </row>
    <row r="1246" ht="12.75" customHeight="1">
      <c r="A1246" s="2">
        <v>2014.0</v>
      </c>
      <c r="B1246" s="2">
        <v>7.0</v>
      </c>
      <c r="C1246" s="2">
        <v>10.0</v>
      </c>
      <c r="D1246" s="2" t="s">
        <v>601</v>
      </c>
      <c r="E1246" s="2">
        <v>-945.39</v>
      </c>
      <c r="F1246" s="2">
        <v>0.0</v>
      </c>
      <c r="G1246" s="2">
        <f t="shared" si="1"/>
        <v>-945.39</v>
      </c>
      <c r="H1246" s="2" t="s">
        <v>153</v>
      </c>
      <c r="L1246" s="2" t="s">
        <v>11</v>
      </c>
    </row>
    <row r="1247" ht="12.75" customHeight="1">
      <c r="A1247" s="2">
        <v>2014.0</v>
      </c>
      <c r="B1247" s="2">
        <v>7.0</v>
      </c>
      <c r="C1247" s="2">
        <v>10.0</v>
      </c>
      <c r="D1247" s="2" t="s">
        <v>602</v>
      </c>
      <c r="E1247" s="2">
        <v>-179.0</v>
      </c>
      <c r="F1247" s="2">
        <v>0.0</v>
      </c>
      <c r="G1247" s="2">
        <f t="shared" si="1"/>
        <v>-179</v>
      </c>
      <c r="H1247" s="2" t="s">
        <v>153</v>
      </c>
      <c r="L1247" s="2" t="s">
        <v>11</v>
      </c>
    </row>
    <row r="1248" ht="12.75" customHeight="1">
      <c r="A1248" s="2">
        <v>2014.0</v>
      </c>
      <c r="B1248" s="2">
        <v>7.0</v>
      </c>
      <c r="C1248" s="2">
        <v>9.0</v>
      </c>
      <c r="D1248" s="2" t="s">
        <v>603</v>
      </c>
      <c r="E1248" s="2">
        <v>-567.23</v>
      </c>
      <c r="F1248" s="2">
        <v>0.0</v>
      </c>
      <c r="G1248" s="2">
        <f t="shared" si="1"/>
        <v>-567.23</v>
      </c>
      <c r="H1248" s="2" t="s">
        <v>153</v>
      </c>
      <c r="L1248" s="2" t="s">
        <v>11</v>
      </c>
    </row>
    <row r="1249" ht="12.75" customHeight="1">
      <c r="A1249" s="2">
        <v>2014.0</v>
      </c>
      <c r="B1249" s="2">
        <v>7.0</v>
      </c>
      <c r="C1249" s="2">
        <v>9.0</v>
      </c>
      <c r="D1249" s="2" t="s">
        <v>604</v>
      </c>
      <c r="E1249" s="2">
        <v>-945.39</v>
      </c>
      <c r="F1249" s="2">
        <v>0.0</v>
      </c>
      <c r="G1249" s="2">
        <f t="shared" si="1"/>
        <v>-945.39</v>
      </c>
      <c r="H1249" s="2" t="s">
        <v>153</v>
      </c>
      <c r="L1249" s="2" t="s">
        <v>11</v>
      </c>
    </row>
    <row r="1250" ht="12.75" customHeight="1">
      <c r="A1250" s="2">
        <v>2014.0</v>
      </c>
      <c r="B1250" s="2">
        <v>7.0</v>
      </c>
      <c r="C1250" s="2">
        <v>9.0</v>
      </c>
      <c r="D1250" s="2" t="s">
        <v>605</v>
      </c>
      <c r="E1250" s="2">
        <v>-185.32</v>
      </c>
      <c r="F1250" s="2">
        <v>0.0</v>
      </c>
      <c r="G1250" s="2">
        <f t="shared" si="1"/>
        <v>-185.32</v>
      </c>
      <c r="H1250" s="2" t="s">
        <v>153</v>
      </c>
      <c r="L1250" s="2" t="s">
        <v>11</v>
      </c>
    </row>
    <row r="1251" ht="12.75" customHeight="1">
      <c r="A1251" s="2">
        <v>2014.0</v>
      </c>
      <c r="B1251" s="2">
        <v>7.0</v>
      </c>
      <c r="C1251" s="2">
        <v>8.0</v>
      </c>
      <c r="D1251" s="2" t="s">
        <v>606</v>
      </c>
      <c r="E1251" s="2">
        <v>-188.76</v>
      </c>
      <c r="F1251" s="2">
        <v>0.0</v>
      </c>
      <c r="G1251" s="2">
        <f t="shared" si="1"/>
        <v>-188.76</v>
      </c>
      <c r="H1251" s="2" t="s">
        <v>153</v>
      </c>
      <c r="L1251" s="2" t="s">
        <v>11</v>
      </c>
    </row>
    <row r="1252" ht="12.75" customHeight="1">
      <c r="A1252" s="2">
        <v>2014.0</v>
      </c>
      <c r="B1252" s="2">
        <v>7.0</v>
      </c>
      <c r="C1252" s="2">
        <v>8.0</v>
      </c>
      <c r="D1252" s="2" t="s">
        <v>607</v>
      </c>
      <c r="E1252" s="2">
        <v>-176.0</v>
      </c>
      <c r="F1252" s="2">
        <v>0.0</v>
      </c>
      <c r="G1252" s="2">
        <f t="shared" si="1"/>
        <v>-176</v>
      </c>
      <c r="H1252" s="2" t="s">
        <v>153</v>
      </c>
      <c r="L1252" s="2" t="s">
        <v>11</v>
      </c>
    </row>
    <row r="1253" ht="12.75" customHeight="1">
      <c r="A1253" s="2">
        <v>2014.0</v>
      </c>
      <c r="B1253" s="2">
        <v>7.0</v>
      </c>
      <c r="C1253" s="2">
        <v>8.0</v>
      </c>
      <c r="D1253" s="2" t="s">
        <v>608</v>
      </c>
      <c r="E1253" s="2">
        <v>-477.84</v>
      </c>
      <c r="F1253" s="2">
        <v>0.0</v>
      </c>
      <c r="G1253" s="2">
        <f t="shared" si="1"/>
        <v>-477.84</v>
      </c>
      <c r="H1253" s="2" t="s">
        <v>153</v>
      </c>
      <c r="L1253" s="2" t="s">
        <v>11</v>
      </c>
    </row>
    <row r="1254" ht="12.75" customHeight="1">
      <c r="A1254" s="2">
        <v>2014.0</v>
      </c>
      <c r="B1254" s="2">
        <v>7.0</v>
      </c>
      <c r="C1254" s="2">
        <v>8.0</v>
      </c>
      <c r="D1254" s="2" t="s">
        <v>609</v>
      </c>
      <c r="E1254" s="2">
        <v>-478.87</v>
      </c>
      <c r="F1254" s="2">
        <v>0.0</v>
      </c>
      <c r="G1254" s="2">
        <f t="shared" si="1"/>
        <v>-478.87</v>
      </c>
      <c r="H1254" s="2" t="s">
        <v>153</v>
      </c>
      <c r="L1254" s="2" t="s">
        <v>11</v>
      </c>
    </row>
    <row r="1255" ht="12.75" customHeight="1">
      <c r="A1255" s="2">
        <v>2014.0</v>
      </c>
      <c r="B1255" s="2">
        <v>7.0</v>
      </c>
      <c r="C1255" s="2">
        <v>8.0</v>
      </c>
      <c r="D1255" s="2" t="s">
        <v>610</v>
      </c>
      <c r="E1255" s="2">
        <v>-34.2</v>
      </c>
      <c r="F1255" s="2">
        <v>0.0</v>
      </c>
      <c r="G1255" s="2">
        <f t="shared" si="1"/>
        <v>-34.2</v>
      </c>
      <c r="H1255" s="2" t="s">
        <v>153</v>
      </c>
      <c r="L1255" s="2" t="s">
        <v>11</v>
      </c>
    </row>
    <row r="1256" ht="12.75" customHeight="1">
      <c r="A1256" s="2">
        <v>2014.0</v>
      </c>
      <c r="B1256" s="2">
        <v>7.0</v>
      </c>
      <c r="C1256" s="2">
        <v>8.0</v>
      </c>
      <c r="D1256" s="2" t="s">
        <v>611</v>
      </c>
      <c r="E1256" s="2">
        <v>-491.03</v>
      </c>
      <c r="F1256" s="2">
        <v>0.0</v>
      </c>
      <c r="G1256" s="2">
        <f t="shared" si="1"/>
        <v>-491.03</v>
      </c>
      <c r="H1256" s="2" t="s">
        <v>153</v>
      </c>
      <c r="L1256" s="2" t="s">
        <v>11</v>
      </c>
    </row>
    <row r="1257" ht="12.75" customHeight="1">
      <c r="A1257" s="2">
        <v>2014.0</v>
      </c>
      <c r="B1257" s="2">
        <v>7.0</v>
      </c>
      <c r="C1257" s="2">
        <v>7.0</v>
      </c>
      <c r="D1257" s="2" t="s">
        <v>612</v>
      </c>
      <c r="E1257" s="2">
        <v>-270.0</v>
      </c>
      <c r="F1257" s="2">
        <v>0.0</v>
      </c>
      <c r="G1257" s="2">
        <f t="shared" si="1"/>
        <v>-270</v>
      </c>
      <c r="H1257" s="2" t="s">
        <v>153</v>
      </c>
      <c r="L1257" s="2" t="s">
        <v>11</v>
      </c>
    </row>
    <row r="1258" ht="12.75" customHeight="1">
      <c r="A1258" s="2">
        <v>2014.0</v>
      </c>
      <c r="B1258" s="2">
        <v>7.0</v>
      </c>
      <c r="C1258" s="2">
        <v>7.0</v>
      </c>
      <c r="D1258" s="2" t="s">
        <v>480</v>
      </c>
      <c r="E1258" s="2">
        <v>-95.0</v>
      </c>
      <c r="F1258" s="2">
        <v>0.0</v>
      </c>
      <c r="G1258" s="2">
        <f t="shared" si="1"/>
        <v>-95</v>
      </c>
      <c r="H1258" s="2" t="s">
        <v>47</v>
      </c>
      <c r="L1258" s="2" t="s">
        <v>11</v>
      </c>
    </row>
    <row r="1259" ht="12.75" customHeight="1">
      <c r="A1259" s="2">
        <v>2014.0</v>
      </c>
      <c r="B1259" s="2">
        <v>7.0</v>
      </c>
      <c r="C1259" s="2">
        <v>7.0</v>
      </c>
      <c r="D1259" s="2" t="s">
        <v>613</v>
      </c>
      <c r="E1259" s="2">
        <v>-59.0</v>
      </c>
      <c r="F1259" s="2">
        <v>0.0</v>
      </c>
      <c r="G1259" s="2">
        <f t="shared" si="1"/>
        <v>-59</v>
      </c>
      <c r="H1259" s="2" t="s">
        <v>13</v>
      </c>
      <c r="L1259" s="2" t="s">
        <v>11</v>
      </c>
    </row>
    <row r="1260" ht="12.75" customHeight="1">
      <c r="A1260" s="2">
        <v>2014.0</v>
      </c>
      <c r="B1260" s="2">
        <v>7.0</v>
      </c>
      <c r="C1260" s="2">
        <v>7.0</v>
      </c>
      <c r="D1260" s="2" t="s">
        <v>613</v>
      </c>
      <c r="E1260" s="2">
        <v>-421.5</v>
      </c>
      <c r="F1260" s="2">
        <v>0.0</v>
      </c>
      <c r="G1260" s="2">
        <f t="shared" si="1"/>
        <v>-421.5</v>
      </c>
      <c r="H1260" s="2" t="s">
        <v>13</v>
      </c>
      <c r="L1260" s="2" t="s">
        <v>11</v>
      </c>
    </row>
    <row r="1261" ht="12.75" customHeight="1">
      <c r="A1261" s="2">
        <v>2014.0</v>
      </c>
      <c r="B1261" s="2">
        <v>7.0</v>
      </c>
      <c r="C1261" s="2">
        <v>6.0</v>
      </c>
      <c r="D1261" s="2" t="s">
        <v>614</v>
      </c>
      <c r="E1261" s="2">
        <v>-7000.0</v>
      </c>
      <c r="F1261" s="2">
        <v>0.0</v>
      </c>
      <c r="G1261" s="2">
        <f t="shared" si="1"/>
        <v>-7000</v>
      </c>
      <c r="H1261" s="2" t="s">
        <v>13</v>
      </c>
      <c r="L1261" s="2" t="s">
        <v>11</v>
      </c>
    </row>
    <row r="1262" ht="12.75" customHeight="1">
      <c r="A1262" s="2">
        <v>2014.0</v>
      </c>
      <c r="B1262" s="2">
        <v>7.0</v>
      </c>
      <c r="C1262" s="2">
        <v>6.0</v>
      </c>
      <c r="D1262" s="2" t="s">
        <v>615</v>
      </c>
      <c r="E1262" s="2">
        <v>-400.0</v>
      </c>
      <c r="F1262" s="2">
        <v>0.0</v>
      </c>
      <c r="G1262" s="2">
        <f t="shared" si="1"/>
        <v>-400</v>
      </c>
      <c r="H1262" s="2" t="s">
        <v>304</v>
      </c>
      <c r="L1262" s="2" t="s">
        <v>11</v>
      </c>
    </row>
    <row r="1263" ht="12.75" customHeight="1">
      <c r="A1263" s="2">
        <v>2014.0</v>
      </c>
      <c r="B1263" s="2">
        <v>7.0</v>
      </c>
      <c r="C1263" s="2">
        <v>6.0</v>
      </c>
      <c r="D1263" s="2" t="s">
        <v>616</v>
      </c>
      <c r="E1263" s="2">
        <v>-100.0</v>
      </c>
      <c r="F1263" s="2">
        <v>0.0</v>
      </c>
      <c r="G1263" s="2">
        <f t="shared" si="1"/>
        <v>-100</v>
      </c>
      <c r="H1263" s="2" t="s">
        <v>164</v>
      </c>
      <c r="L1263" s="2" t="s">
        <v>11</v>
      </c>
    </row>
    <row r="1264" ht="12.75" customHeight="1">
      <c r="A1264" s="2">
        <v>2014.0</v>
      </c>
      <c r="B1264" s="2">
        <v>7.0</v>
      </c>
      <c r="C1264" s="2">
        <v>5.0</v>
      </c>
      <c r="D1264" s="2" t="s">
        <v>617</v>
      </c>
      <c r="E1264" s="2">
        <v>-40.0</v>
      </c>
      <c r="F1264" s="2">
        <v>0.0</v>
      </c>
      <c r="G1264" s="2">
        <f t="shared" si="1"/>
        <v>-40</v>
      </c>
      <c r="H1264" s="2" t="s">
        <v>153</v>
      </c>
      <c r="L1264" s="2" t="s">
        <v>11</v>
      </c>
    </row>
    <row r="1265" ht="12.75" customHeight="1">
      <c r="A1265" s="2">
        <v>2014.0</v>
      </c>
      <c r="B1265" s="2">
        <v>7.0</v>
      </c>
      <c r="C1265" s="2">
        <v>5.0</v>
      </c>
      <c r="D1265" s="2" t="s">
        <v>618</v>
      </c>
      <c r="E1265" s="2">
        <v>-2000.0</v>
      </c>
      <c r="F1265" s="2">
        <v>0.0</v>
      </c>
      <c r="G1265" s="2">
        <f t="shared" si="1"/>
        <v>-2000</v>
      </c>
      <c r="H1265" s="2" t="s">
        <v>153</v>
      </c>
      <c r="L1265" s="2" t="s">
        <v>11</v>
      </c>
    </row>
    <row r="1266" ht="12.75" customHeight="1">
      <c r="A1266" s="2">
        <v>2014.0</v>
      </c>
      <c r="B1266" s="2">
        <v>7.0</v>
      </c>
      <c r="C1266" s="2">
        <v>4.0</v>
      </c>
      <c r="D1266" s="2" t="s">
        <v>619</v>
      </c>
      <c r="E1266" s="2">
        <v>-2000.0</v>
      </c>
      <c r="F1266" s="2">
        <v>0.0</v>
      </c>
      <c r="G1266" s="2">
        <f t="shared" si="1"/>
        <v>-2000</v>
      </c>
      <c r="H1266" s="2" t="s">
        <v>153</v>
      </c>
      <c r="L1266" s="2" t="s">
        <v>11</v>
      </c>
    </row>
    <row r="1267" ht="12.75" customHeight="1">
      <c r="A1267" s="2">
        <v>2014.0</v>
      </c>
      <c r="B1267" s="2">
        <v>7.0</v>
      </c>
      <c r="C1267" s="2">
        <v>4.0</v>
      </c>
      <c r="D1267" s="2" t="s">
        <v>620</v>
      </c>
      <c r="E1267" s="2">
        <v>-215.0</v>
      </c>
      <c r="F1267" s="2">
        <v>0.0</v>
      </c>
      <c r="G1267" s="2">
        <f t="shared" si="1"/>
        <v>-215</v>
      </c>
      <c r="H1267" s="2" t="s">
        <v>164</v>
      </c>
      <c r="L1267" s="2" t="s">
        <v>11</v>
      </c>
    </row>
    <row r="1268" ht="12.75" customHeight="1">
      <c r="A1268" s="2">
        <v>2014.0</v>
      </c>
      <c r="B1268" s="2">
        <v>7.0</v>
      </c>
      <c r="C1268" s="2">
        <v>4.0</v>
      </c>
      <c r="D1268" s="2" t="s">
        <v>620</v>
      </c>
      <c r="E1268" s="2">
        <v>-112.0</v>
      </c>
      <c r="F1268" s="2">
        <v>0.0</v>
      </c>
      <c r="G1268" s="2">
        <f t="shared" si="1"/>
        <v>-112</v>
      </c>
      <c r="H1268" s="2" t="s">
        <v>153</v>
      </c>
      <c r="L1268" s="2" t="s">
        <v>11</v>
      </c>
    </row>
    <row r="1269" ht="12.75" customHeight="1">
      <c r="A1269" s="2">
        <v>2014.0</v>
      </c>
      <c r="B1269" s="2">
        <v>7.0</v>
      </c>
      <c r="C1269" s="2">
        <v>4.0</v>
      </c>
      <c r="D1269" s="2" t="s">
        <v>102</v>
      </c>
      <c r="E1269" s="2">
        <v>-163.0</v>
      </c>
      <c r="F1269" s="2">
        <v>0.0</v>
      </c>
      <c r="G1269" s="2">
        <f t="shared" si="1"/>
        <v>-163</v>
      </c>
      <c r="H1269" s="2" t="s">
        <v>103</v>
      </c>
      <c r="L1269" s="2" t="s">
        <v>11</v>
      </c>
    </row>
    <row r="1270" ht="12.75" customHeight="1">
      <c r="A1270" s="2">
        <v>2014.0</v>
      </c>
      <c r="B1270" s="2">
        <v>7.0</v>
      </c>
      <c r="C1270" s="2">
        <v>4.0</v>
      </c>
      <c r="D1270" s="2" t="s">
        <v>621</v>
      </c>
      <c r="E1270" s="2">
        <v>-750.0</v>
      </c>
      <c r="F1270" s="2">
        <v>0.0</v>
      </c>
      <c r="G1270" s="2">
        <f t="shared" si="1"/>
        <v>-750</v>
      </c>
      <c r="H1270" s="2" t="s">
        <v>153</v>
      </c>
      <c r="L1270" s="2" t="s">
        <v>11</v>
      </c>
    </row>
    <row r="1271" ht="12.75" customHeight="1">
      <c r="A1271" s="2">
        <v>2014.0</v>
      </c>
      <c r="B1271" s="2">
        <v>7.0</v>
      </c>
      <c r="C1271" s="2">
        <v>3.0</v>
      </c>
      <c r="D1271" s="2" t="s">
        <v>622</v>
      </c>
      <c r="E1271" s="2">
        <v>-227.0</v>
      </c>
      <c r="F1271" s="2">
        <v>0.0</v>
      </c>
      <c r="G1271" s="2">
        <f t="shared" si="1"/>
        <v>-227</v>
      </c>
      <c r="H1271" s="2" t="s">
        <v>153</v>
      </c>
      <c r="L1271" s="2" t="s">
        <v>11</v>
      </c>
    </row>
    <row r="1272" ht="12.75" customHeight="1">
      <c r="A1272" s="2">
        <v>2014.0</v>
      </c>
      <c r="B1272" s="2">
        <v>7.0</v>
      </c>
      <c r="C1272" s="2">
        <v>2.0</v>
      </c>
      <c r="D1272" s="2" t="s">
        <v>427</v>
      </c>
      <c r="E1272" s="2">
        <v>-505.0</v>
      </c>
      <c r="F1272" s="2">
        <v>0.0</v>
      </c>
      <c r="G1272" s="2">
        <f t="shared" si="1"/>
        <v>-505</v>
      </c>
      <c r="H1272" s="2" t="s">
        <v>428</v>
      </c>
      <c r="L1272" s="2" t="s">
        <v>11</v>
      </c>
    </row>
    <row r="1273" ht="12.75" customHeight="1">
      <c r="A1273" s="2">
        <v>2014.0</v>
      </c>
      <c r="B1273" s="2">
        <v>7.0</v>
      </c>
      <c r="C1273" s="2">
        <v>1.0</v>
      </c>
      <c r="D1273" s="2" t="s">
        <v>157</v>
      </c>
      <c r="E1273" s="2">
        <v>-119.0</v>
      </c>
      <c r="F1273" s="2">
        <v>0.0</v>
      </c>
      <c r="G1273" s="2">
        <f t="shared" si="1"/>
        <v>-119</v>
      </c>
      <c r="H1273" s="2" t="s">
        <v>17</v>
      </c>
      <c r="L1273" s="2" t="s">
        <v>11</v>
      </c>
    </row>
    <row r="1274" ht="12.75" customHeight="1">
      <c r="A1274" s="2">
        <v>2014.0</v>
      </c>
      <c r="B1274" s="2">
        <v>7.0</v>
      </c>
      <c r="C1274" s="2">
        <v>1.0</v>
      </c>
      <c r="D1274" s="2" t="s">
        <v>73</v>
      </c>
      <c r="E1274" s="2">
        <v>-6113.0</v>
      </c>
      <c r="F1274" s="2">
        <v>0.0</v>
      </c>
      <c r="G1274" s="2">
        <f t="shared" si="1"/>
        <v>-6113</v>
      </c>
      <c r="H1274" s="2" t="s">
        <v>10</v>
      </c>
      <c r="L1274" s="2" t="s">
        <v>11</v>
      </c>
    </row>
    <row r="1275" ht="12.75" customHeight="1">
      <c r="A1275" s="2">
        <v>2014.0</v>
      </c>
      <c r="B1275" s="2">
        <v>6.0</v>
      </c>
      <c r="C1275" s="2">
        <v>30.0</v>
      </c>
      <c r="D1275" s="2" t="s">
        <v>25</v>
      </c>
      <c r="E1275" s="2">
        <v>-100.0</v>
      </c>
      <c r="F1275" s="2">
        <v>0.0</v>
      </c>
      <c r="G1275" s="2">
        <f t="shared" si="1"/>
        <v>-100</v>
      </c>
      <c r="H1275" s="2" t="s">
        <v>26</v>
      </c>
      <c r="L1275" s="2" t="s">
        <v>11</v>
      </c>
    </row>
    <row r="1276" ht="12.75" customHeight="1">
      <c r="A1276" s="2">
        <v>2014.0</v>
      </c>
      <c r="B1276" s="2">
        <v>6.0</v>
      </c>
      <c r="C1276" s="2">
        <v>30.0</v>
      </c>
      <c r="D1276" s="2" t="s">
        <v>12</v>
      </c>
      <c r="E1276" s="2">
        <v>-10897.55</v>
      </c>
      <c r="F1276" s="2">
        <v>0.0</v>
      </c>
      <c r="G1276" s="2">
        <f t="shared" si="1"/>
        <v>-10897.55</v>
      </c>
      <c r="H1276" s="2" t="s">
        <v>28</v>
      </c>
      <c r="L1276" s="2" t="s">
        <v>228</v>
      </c>
    </row>
    <row r="1277" ht="12.75" customHeight="1">
      <c r="A1277" s="2">
        <v>2014.0</v>
      </c>
      <c r="B1277" s="2">
        <v>6.0</v>
      </c>
      <c r="C1277" s="2">
        <v>30.0</v>
      </c>
      <c r="D1277" s="2" t="s">
        <v>623</v>
      </c>
      <c r="E1277" s="2">
        <v>-169.0</v>
      </c>
      <c r="F1277" s="2">
        <v>0.0</v>
      </c>
      <c r="G1277" s="2">
        <f t="shared" si="1"/>
        <v>-169</v>
      </c>
      <c r="H1277" s="2" t="s">
        <v>153</v>
      </c>
      <c r="L1277" s="2" t="s">
        <v>11</v>
      </c>
    </row>
    <row r="1278" ht="12.75" customHeight="1">
      <c r="A1278" s="2">
        <v>2014.0</v>
      </c>
      <c r="B1278" s="2">
        <v>6.0</v>
      </c>
      <c r="C1278" s="2">
        <v>30.0</v>
      </c>
      <c r="D1278" s="2" t="s">
        <v>620</v>
      </c>
      <c r="E1278" s="2">
        <v>-506.95</v>
      </c>
      <c r="F1278" s="2">
        <v>0.0</v>
      </c>
      <c r="G1278" s="2">
        <f t="shared" si="1"/>
        <v>-506.95</v>
      </c>
      <c r="H1278" s="2" t="s">
        <v>153</v>
      </c>
      <c r="L1278" s="2" t="s">
        <v>11</v>
      </c>
    </row>
    <row r="1279" ht="12.75" customHeight="1">
      <c r="A1279" s="2">
        <v>2014.0</v>
      </c>
      <c r="B1279" s="2">
        <v>6.0</v>
      </c>
      <c r="C1279" s="2">
        <v>30.0</v>
      </c>
      <c r="D1279" s="2" t="s">
        <v>14</v>
      </c>
      <c r="E1279" s="2">
        <v>-4007.0</v>
      </c>
      <c r="F1279" s="2">
        <v>0.0</v>
      </c>
      <c r="G1279" s="2">
        <f t="shared" si="1"/>
        <v>-4007</v>
      </c>
      <c r="H1279" s="2" t="s">
        <v>10</v>
      </c>
      <c r="L1279" s="2" t="s">
        <v>11</v>
      </c>
    </row>
    <row r="1280" ht="12.75" customHeight="1">
      <c r="A1280" s="2">
        <v>2014.0</v>
      </c>
      <c r="B1280" s="2">
        <v>6.0</v>
      </c>
      <c r="C1280" s="2">
        <v>30.0</v>
      </c>
      <c r="D1280" s="2" t="s">
        <v>15</v>
      </c>
      <c r="E1280" s="2">
        <v>-207.8</v>
      </c>
      <c r="F1280" s="2">
        <v>0.0</v>
      </c>
      <c r="G1280" s="2">
        <f t="shared" si="1"/>
        <v>-207.8</v>
      </c>
      <c r="H1280" s="2" t="s">
        <v>10</v>
      </c>
      <c r="L1280" s="2" t="s">
        <v>11</v>
      </c>
    </row>
    <row r="1281" ht="12.75" customHeight="1">
      <c r="A1281" s="2">
        <v>2014.0</v>
      </c>
      <c r="B1281" s="2">
        <v>6.0</v>
      </c>
      <c r="C1281" s="2">
        <v>30.0</v>
      </c>
      <c r="D1281" s="2" t="s">
        <v>102</v>
      </c>
      <c r="E1281" s="2">
        <v>-247.0</v>
      </c>
      <c r="F1281" s="2">
        <v>0.0</v>
      </c>
      <c r="G1281" s="2">
        <f t="shared" si="1"/>
        <v>-247</v>
      </c>
      <c r="H1281" s="2" t="s">
        <v>103</v>
      </c>
      <c r="L1281" s="2" t="s">
        <v>11</v>
      </c>
    </row>
    <row r="1282" ht="12.75" customHeight="1">
      <c r="A1282" s="2">
        <v>2014.0</v>
      </c>
      <c r="B1282" s="2">
        <v>6.0</v>
      </c>
      <c r="C1282" s="2">
        <v>30.0</v>
      </c>
      <c r="D1282" s="2">
        <v>4.7516877E7</v>
      </c>
      <c r="E1282" s="2">
        <v>1000.0</v>
      </c>
      <c r="F1282" s="2">
        <v>0.0</v>
      </c>
      <c r="G1282" s="2">
        <f t="shared" si="1"/>
        <v>1000</v>
      </c>
      <c r="H1282" s="2" t="s">
        <v>18</v>
      </c>
      <c r="L1282" s="2" t="s">
        <v>11</v>
      </c>
    </row>
    <row r="1283" ht="12.75" customHeight="1">
      <c r="A1283" s="2">
        <v>2014.0</v>
      </c>
      <c r="B1283" s="2">
        <v>6.0</v>
      </c>
      <c r="C1283" s="2">
        <v>28.0</v>
      </c>
      <c r="D1283" s="2" t="s">
        <v>624</v>
      </c>
      <c r="E1283" s="2">
        <v>-460.0</v>
      </c>
      <c r="F1283" s="2">
        <v>0.0</v>
      </c>
      <c r="G1283" s="2">
        <f t="shared" si="1"/>
        <v>-460</v>
      </c>
      <c r="H1283" s="2" t="s">
        <v>153</v>
      </c>
      <c r="L1283" s="2" t="s">
        <v>11</v>
      </c>
    </row>
    <row r="1284" ht="12.75" customHeight="1">
      <c r="A1284" s="2">
        <v>2014.0</v>
      </c>
      <c r="B1284" s="2">
        <v>6.0</v>
      </c>
      <c r="C1284" s="2">
        <v>27.0</v>
      </c>
      <c r="D1284" s="2" t="s">
        <v>382</v>
      </c>
      <c r="E1284" s="2">
        <v>-299.0</v>
      </c>
      <c r="F1284" s="2">
        <v>0.0</v>
      </c>
      <c r="G1284" s="2">
        <f t="shared" si="1"/>
        <v>-299</v>
      </c>
      <c r="H1284" s="2" t="s">
        <v>22</v>
      </c>
      <c r="L1284" s="2" t="s">
        <v>11</v>
      </c>
    </row>
    <row r="1285" ht="12.75" customHeight="1">
      <c r="A1285" s="2">
        <v>2014.0</v>
      </c>
      <c r="B1285" s="2">
        <v>6.0</v>
      </c>
      <c r="C1285" s="2">
        <v>27.0</v>
      </c>
      <c r="D1285" s="2" t="s">
        <v>19</v>
      </c>
      <c r="E1285" s="2">
        <v>-320.0</v>
      </c>
      <c r="F1285" s="2">
        <v>0.0</v>
      </c>
      <c r="G1285" s="2">
        <f t="shared" si="1"/>
        <v>-320</v>
      </c>
      <c r="H1285" s="2" t="s">
        <v>20</v>
      </c>
      <c r="L1285" s="2" t="s">
        <v>11</v>
      </c>
    </row>
    <row r="1286" ht="12.75" customHeight="1">
      <c r="A1286" s="2">
        <v>2014.0</v>
      </c>
      <c r="B1286" s="2">
        <v>6.0</v>
      </c>
      <c r="C1286" s="2">
        <v>27.0</v>
      </c>
      <c r="D1286" s="2" t="s">
        <v>625</v>
      </c>
      <c r="E1286" s="2">
        <v>-120.0</v>
      </c>
      <c r="F1286" s="2">
        <v>0.0</v>
      </c>
      <c r="G1286" s="2">
        <f t="shared" si="1"/>
        <v>-120</v>
      </c>
      <c r="H1286" s="2" t="s">
        <v>153</v>
      </c>
      <c r="L1286" s="2" t="s">
        <v>11</v>
      </c>
    </row>
    <row r="1287" ht="12.75" customHeight="1">
      <c r="A1287" s="2">
        <v>2014.0</v>
      </c>
      <c r="B1287" s="2">
        <v>6.0</v>
      </c>
      <c r="C1287" s="2">
        <v>27.0</v>
      </c>
      <c r="D1287" s="2" t="s">
        <v>23</v>
      </c>
      <c r="E1287" s="2">
        <v>-285.0</v>
      </c>
      <c r="F1287" s="2">
        <v>0.0</v>
      </c>
      <c r="G1287" s="2">
        <f t="shared" si="1"/>
        <v>-285</v>
      </c>
      <c r="H1287" s="2" t="s">
        <v>24</v>
      </c>
      <c r="L1287" s="2" t="s">
        <v>11</v>
      </c>
    </row>
    <row r="1288" ht="12.75" customHeight="1">
      <c r="A1288" s="2">
        <v>2014.0</v>
      </c>
      <c r="B1288" s="2">
        <v>6.0</v>
      </c>
      <c r="C1288" s="2">
        <v>26.0</v>
      </c>
      <c r="D1288" s="2" t="s">
        <v>29</v>
      </c>
      <c r="E1288" s="2">
        <v>-1250.0</v>
      </c>
      <c r="F1288" s="2">
        <v>0.0</v>
      </c>
      <c r="G1288" s="2">
        <f t="shared" si="1"/>
        <v>-1250</v>
      </c>
      <c r="H1288" s="2" t="s">
        <v>18</v>
      </c>
      <c r="L1288" s="2" t="s">
        <v>11</v>
      </c>
    </row>
    <row r="1289" ht="12.75" customHeight="1">
      <c r="A1289" s="2">
        <v>2014.0</v>
      </c>
      <c r="B1289" s="2">
        <v>6.0</v>
      </c>
      <c r="C1289" s="2">
        <v>25.0</v>
      </c>
      <c r="D1289" s="2" t="s">
        <v>27</v>
      </c>
      <c r="E1289" s="2">
        <v>-5000.0</v>
      </c>
      <c r="F1289" s="2">
        <v>0.0</v>
      </c>
      <c r="G1289" s="2">
        <f t="shared" si="1"/>
        <v>-5000</v>
      </c>
      <c r="H1289" s="2" t="s">
        <v>28</v>
      </c>
      <c r="L1289" s="2" t="s">
        <v>11</v>
      </c>
    </row>
    <row r="1290" ht="12.75" customHeight="1">
      <c r="A1290" s="2">
        <v>2014.0</v>
      </c>
      <c r="B1290" s="2">
        <v>6.0</v>
      </c>
      <c r="C1290" s="2">
        <v>25.0</v>
      </c>
      <c r="D1290" s="2" t="s">
        <v>27</v>
      </c>
      <c r="E1290" s="2">
        <v>5000.0</v>
      </c>
      <c r="F1290" s="2">
        <v>0.0</v>
      </c>
      <c r="G1290" s="2">
        <f t="shared" si="1"/>
        <v>5000</v>
      </c>
      <c r="H1290" s="2" t="s">
        <v>28</v>
      </c>
      <c r="L1290" s="2" t="s">
        <v>11</v>
      </c>
    </row>
    <row r="1291" ht="12.75" customHeight="1">
      <c r="A1291" s="2">
        <v>2014.0</v>
      </c>
      <c r="B1291" s="2">
        <v>6.0</v>
      </c>
      <c r="C1291" s="2">
        <v>25.0</v>
      </c>
      <c r="D1291" s="2" t="s">
        <v>626</v>
      </c>
      <c r="E1291" s="2">
        <v>-2674.0</v>
      </c>
      <c r="F1291" s="2">
        <v>0.0</v>
      </c>
      <c r="G1291" s="2">
        <f t="shared" si="1"/>
        <v>-2674</v>
      </c>
      <c r="H1291" s="2" t="s">
        <v>123</v>
      </c>
      <c r="L1291" s="2" t="s">
        <v>11</v>
      </c>
    </row>
    <row r="1292" ht="12.75" customHeight="1">
      <c r="A1292" s="2">
        <v>2014.0</v>
      </c>
      <c r="B1292" s="2">
        <v>6.0</v>
      </c>
      <c r="C1292" s="2">
        <v>24.0</v>
      </c>
      <c r="D1292" s="2" t="s">
        <v>39</v>
      </c>
      <c r="E1292" s="2">
        <v>29051.0</v>
      </c>
      <c r="F1292" s="2">
        <v>0.0</v>
      </c>
      <c r="G1292" s="2">
        <f t="shared" si="1"/>
        <v>29051</v>
      </c>
      <c r="H1292" s="2" t="s">
        <v>40</v>
      </c>
      <c r="L1292" s="2" t="s">
        <v>11</v>
      </c>
    </row>
    <row r="1293" ht="12.75" customHeight="1">
      <c r="A1293" s="2">
        <v>2014.0</v>
      </c>
      <c r="B1293" s="2">
        <v>6.0</v>
      </c>
      <c r="C1293" s="2">
        <v>24.0</v>
      </c>
      <c r="D1293" s="2" t="s">
        <v>627</v>
      </c>
      <c r="E1293" s="2">
        <v>-300.0</v>
      </c>
      <c r="F1293" s="2">
        <v>0.0</v>
      </c>
      <c r="G1293" s="2">
        <f t="shared" si="1"/>
        <v>-300</v>
      </c>
      <c r="H1293" s="2" t="s">
        <v>31</v>
      </c>
      <c r="L1293" s="2" t="s">
        <v>11</v>
      </c>
    </row>
    <row r="1294" ht="12.75" customHeight="1">
      <c r="A1294" s="2">
        <v>2014.0</v>
      </c>
      <c r="B1294" s="2">
        <v>6.0</v>
      </c>
      <c r="C1294" s="2">
        <v>21.0</v>
      </c>
      <c r="D1294" s="2" t="s">
        <v>572</v>
      </c>
      <c r="E1294" s="2">
        <v>-218.6</v>
      </c>
      <c r="F1294" s="2">
        <v>0.0</v>
      </c>
      <c r="G1294" s="2">
        <f t="shared" si="1"/>
        <v>-218.6</v>
      </c>
      <c r="H1294" s="2" t="s">
        <v>35</v>
      </c>
      <c r="L1294" s="2" t="s">
        <v>11</v>
      </c>
    </row>
    <row r="1295" ht="12.75" customHeight="1">
      <c r="A1295" s="2">
        <v>2014.0</v>
      </c>
      <c r="B1295" s="2">
        <v>6.0</v>
      </c>
      <c r="C1295" s="2">
        <v>21.0</v>
      </c>
      <c r="D1295" s="2" t="s">
        <v>628</v>
      </c>
      <c r="E1295" s="2">
        <v>-519.43</v>
      </c>
      <c r="F1295" s="2">
        <v>0.0</v>
      </c>
      <c r="G1295" s="2">
        <f t="shared" si="1"/>
        <v>-519.43</v>
      </c>
      <c r="H1295" s="2" t="s">
        <v>47</v>
      </c>
      <c r="L1295" s="2" t="s">
        <v>11</v>
      </c>
    </row>
    <row r="1296" ht="12.75" customHeight="1">
      <c r="A1296" s="2">
        <v>2014.0</v>
      </c>
      <c r="B1296" s="2">
        <v>6.0</v>
      </c>
      <c r="C1296" s="2">
        <v>21.0</v>
      </c>
      <c r="D1296" s="2" t="s">
        <v>628</v>
      </c>
      <c r="E1296" s="2">
        <v>-149.0</v>
      </c>
      <c r="F1296" s="2">
        <v>0.0</v>
      </c>
      <c r="G1296" s="2">
        <f t="shared" si="1"/>
        <v>-149</v>
      </c>
      <c r="H1296" s="2" t="s">
        <v>47</v>
      </c>
      <c r="L1296" s="2" t="s">
        <v>11</v>
      </c>
    </row>
    <row r="1297" ht="12.75" customHeight="1">
      <c r="A1297" s="2">
        <v>2014.0</v>
      </c>
      <c r="B1297" s="2">
        <v>6.0</v>
      </c>
      <c r="C1297" s="2">
        <v>19.0</v>
      </c>
      <c r="D1297" s="2" t="s">
        <v>465</v>
      </c>
      <c r="E1297" s="2">
        <v>-60.0</v>
      </c>
      <c r="F1297" s="2">
        <v>0.0</v>
      </c>
      <c r="G1297" s="2">
        <f t="shared" si="1"/>
        <v>-60</v>
      </c>
      <c r="H1297" s="2" t="s">
        <v>47</v>
      </c>
      <c r="L1297" s="2" t="s">
        <v>11</v>
      </c>
    </row>
    <row r="1298" ht="12.75" customHeight="1">
      <c r="A1298" s="2">
        <v>2014.0</v>
      </c>
      <c r="B1298" s="2">
        <v>6.0</v>
      </c>
      <c r="C1298" s="2">
        <v>19.0</v>
      </c>
      <c r="D1298" s="2" t="s">
        <v>629</v>
      </c>
      <c r="E1298" s="2">
        <v>-286.0</v>
      </c>
      <c r="F1298" s="2">
        <v>0.0</v>
      </c>
      <c r="G1298" s="2">
        <f t="shared" si="1"/>
        <v>-286</v>
      </c>
      <c r="H1298" s="2" t="s">
        <v>164</v>
      </c>
      <c r="L1298" s="2" t="s">
        <v>11</v>
      </c>
    </row>
    <row r="1299" ht="12.75" customHeight="1">
      <c r="A1299" s="2">
        <v>2014.0</v>
      </c>
      <c r="B1299" s="2">
        <v>6.0</v>
      </c>
      <c r="C1299" s="2">
        <v>19.0</v>
      </c>
      <c r="D1299" s="2" t="s">
        <v>474</v>
      </c>
      <c r="E1299" s="2">
        <v>-64.0</v>
      </c>
      <c r="F1299" s="2">
        <v>0.0</v>
      </c>
      <c r="G1299" s="2">
        <f t="shared" si="1"/>
        <v>-64</v>
      </c>
      <c r="H1299" s="2" t="s">
        <v>52</v>
      </c>
      <c r="L1299" s="2" t="s">
        <v>11</v>
      </c>
    </row>
    <row r="1300" ht="12.75" customHeight="1">
      <c r="A1300" s="2">
        <v>2014.0</v>
      </c>
      <c r="B1300" s="2">
        <v>6.0</v>
      </c>
      <c r="C1300" s="2">
        <v>19.0</v>
      </c>
      <c r="D1300" s="2" t="s">
        <v>474</v>
      </c>
      <c r="E1300" s="2">
        <v>-193.0</v>
      </c>
      <c r="F1300" s="2">
        <v>0.0</v>
      </c>
      <c r="G1300" s="2">
        <f t="shared" si="1"/>
        <v>-193</v>
      </c>
      <c r="H1300" s="2" t="s">
        <v>52</v>
      </c>
      <c r="L1300" s="2" t="s">
        <v>11</v>
      </c>
    </row>
    <row r="1301" ht="12.75" customHeight="1">
      <c r="A1301" s="2">
        <v>2014.0</v>
      </c>
      <c r="B1301" s="2">
        <v>6.0</v>
      </c>
      <c r="C1301" s="2">
        <v>19.0</v>
      </c>
      <c r="D1301" s="2" t="s">
        <v>467</v>
      </c>
      <c r="E1301" s="2">
        <v>-80.0</v>
      </c>
      <c r="F1301" s="2">
        <v>0.0</v>
      </c>
      <c r="G1301" s="2">
        <f t="shared" si="1"/>
        <v>-80</v>
      </c>
      <c r="H1301" s="2" t="s">
        <v>38</v>
      </c>
      <c r="L1301" s="2" t="s">
        <v>11</v>
      </c>
    </row>
    <row r="1302" ht="12.75" customHeight="1">
      <c r="A1302" s="2">
        <v>2014.0</v>
      </c>
      <c r="B1302" s="2">
        <v>6.0</v>
      </c>
      <c r="C1302" s="2">
        <v>18.0</v>
      </c>
      <c r="D1302" s="2" t="s">
        <v>589</v>
      </c>
      <c r="E1302" s="2">
        <v>-366.0</v>
      </c>
      <c r="F1302" s="2">
        <v>0.0</v>
      </c>
      <c r="G1302" s="2">
        <f t="shared" si="1"/>
        <v>-366</v>
      </c>
      <c r="H1302" s="2" t="s">
        <v>164</v>
      </c>
      <c r="L1302" s="2" t="s">
        <v>11</v>
      </c>
    </row>
    <row r="1303" ht="12.75" customHeight="1">
      <c r="A1303" s="2">
        <v>2014.0</v>
      </c>
      <c r="B1303" s="2">
        <v>6.0</v>
      </c>
      <c r="C1303" s="2">
        <v>18.0</v>
      </c>
      <c r="D1303" s="2" t="s">
        <v>517</v>
      </c>
      <c r="E1303" s="2">
        <v>-136.0</v>
      </c>
      <c r="F1303" s="2">
        <v>0.0</v>
      </c>
      <c r="G1303" s="2">
        <f t="shared" si="1"/>
        <v>-136</v>
      </c>
      <c r="H1303" s="2" t="s">
        <v>52</v>
      </c>
      <c r="L1303" s="2" t="s">
        <v>11</v>
      </c>
    </row>
    <row r="1304" ht="12.75" customHeight="1">
      <c r="A1304" s="2">
        <v>2014.0</v>
      </c>
      <c r="B1304" s="2">
        <v>6.0</v>
      </c>
      <c r="C1304" s="2">
        <v>18.0</v>
      </c>
      <c r="D1304" s="2" t="s">
        <v>630</v>
      </c>
      <c r="E1304" s="2">
        <v>-33.0</v>
      </c>
      <c r="F1304" s="2">
        <v>0.0</v>
      </c>
      <c r="G1304" s="2">
        <f t="shared" si="1"/>
        <v>-33</v>
      </c>
      <c r="H1304" s="2" t="s">
        <v>52</v>
      </c>
      <c r="L1304" s="2" t="s">
        <v>11</v>
      </c>
    </row>
    <row r="1305" ht="12.75" customHeight="1">
      <c r="A1305" s="2">
        <v>2014.0</v>
      </c>
      <c r="B1305" s="2">
        <v>6.0</v>
      </c>
      <c r="C1305" s="2">
        <v>18.0</v>
      </c>
      <c r="D1305" s="2" t="s">
        <v>631</v>
      </c>
      <c r="E1305" s="2">
        <v>-70.0</v>
      </c>
      <c r="F1305" s="2">
        <v>0.0</v>
      </c>
      <c r="G1305" s="2">
        <f t="shared" si="1"/>
        <v>-70</v>
      </c>
      <c r="H1305" s="2" t="s">
        <v>47</v>
      </c>
      <c r="L1305" s="2" t="s">
        <v>11</v>
      </c>
    </row>
    <row r="1306" ht="12.75" customHeight="1">
      <c r="A1306" s="2">
        <v>2014.0</v>
      </c>
      <c r="B1306" s="2">
        <v>6.0</v>
      </c>
      <c r="C1306" s="2">
        <v>17.0</v>
      </c>
      <c r="D1306" s="2" t="s">
        <v>465</v>
      </c>
      <c r="E1306" s="2">
        <v>-60.0</v>
      </c>
      <c r="F1306" s="2">
        <v>0.0</v>
      </c>
      <c r="G1306" s="2">
        <f t="shared" si="1"/>
        <v>-60</v>
      </c>
      <c r="H1306" s="2" t="s">
        <v>47</v>
      </c>
      <c r="L1306" s="2" t="s">
        <v>11</v>
      </c>
    </row>
    <row r="1307" ht="12.75" customHeight="1">
      <c r="A1307" s="2">
        <v>2014.0</v>
      </c>
      <c r="B1307" s="2">
        <v>6.0</v>
      </c>
      <c r="C1307" s="2">
        <v>17.0</v>
      </c>
      <c r="D1307" s="2" t="s">
        <v>632</v>
      </c>
      <c r="E1307" s="2">
        <v>-300.0</v>
      </c>
      <c r="F1307" s="2">
        <v>0.0</v>
      </c>
      <c r="G1307" s="2">
        <f t="shared" si="1"/>
        <v>-300</v>
      </c>
      <c r="H1307" s="2" t="s">
        <v>47</v>
      </c>
      <c r="L1307" s="2" t="s">
        <v>11</v>
      </c>
    </row>
    <row r="1308" ht="12.75" customHeight="1">
      <c r="A1308" s="2">
        <v>2014.0</v>
      </c>
      <c r="B1308" s="2">
        <v>6.0</v>
      </c>
      <c r="C1308" s="2">
        <v>16.0</v>
      </c>
      <c r="D1308" s="2" t="s">
        <v>465</v>
      </c>
      <c r="E1308" s="2">
        <v>-60.0</v>
      </c>
      <c r="F1308" s="2">
        <v>0.0</v>
      </c>
      <c r="G1308" s="2">
        <f t="shared" si="1"/>
        <v>-60</v>
      </c>
      <c r="H1308" s="2" t="s">
        <v>47</v>
      </c>
      <c r="L1308" s="2" t="s">
        <v>11</v>
      </c>
    </row>
    <row r="1309" ht="12.75" customHeight="1">
      <c r="A1309" s="2">
        <v>2014.0</v>
      </c>
      <c r="B1309" s="2">
        <v>6.0</v>
      </c>
      <c r="C1309" s="2">
        <v>15.0</v>
      </c>
      <c r="D1309" s="2" t="s">
        <v>496</v>
      </c>
      <c r="E1309" s="2">
        <v>-97.0</v>
      </c>
      <c r="F1309" s="2">
        <v>0.0</v>
      </c>
      <c r="G1309" s="2">
        <f t="shared" si="1"/>
        <v>-97</v>
      </c>
      <c r="H1309" s="2" t="s">
        <v>47</v>
      </c>
      <c r="L1309" s="2" t="s">
        <v>11</v>
      </c>
    </row>
    <row r="1310" ht="12.75" customHeight="1">
      <c r="A1310" s="2">
        <v>2014.0</v>
      </c>
      <c r="B1310" s="2">
        <v>6.0</v>
      </c>
      <c r="C1310" s="2">
        <v>14.0</v>
      </c>
      <c r="D1310" s="2" t="s">
        <v>633</v>
      </c>
      <c r="E1310" s="2">
        <v>-99.0</v>
      </c>
      <c r="F1310" s="2">
        <v>0.0</v>
      </c>
      <c r="G1310" s="2">
        <f t="shared" si="1"/>
        <v>-99</v>
      </c>
      <c r="H1310" s="2" t="s">
        <v>35</v>
      </c>
      <c r="L1310" s="2" t="s">
        <v>11</v>
      </c>
    </row>
    <row r="1311" ht="12.75" customHeight="1">
      <c r="A1311" s="2">
        <v>2014.0</v>
      </c>
      <c r="B1311" s="2">
        <v>6.0</v>
      </c>
      <c r="C1311" s="2">
        <v>14.0</v>
      </c>
      <c r="D1311" s="2" t="s">
        <v>633</v>
      </c>
      <c r="E1311" s="2">
        <v>-124.0</v>
      </c>
      <c r="F1311" s="2">
        <v>0.0</v>
      </c>
      <c r="G1311" s="2">
        <f t="shared" si="1"/>
        <v>-124</v>
      </c>
      <c r="H1311" s="2" t="s">
        <v>52</v>
      </c>
      <c r="L1311" s="2" t="s">
        <v>11</v>
      </c>
    </row>
    <row r="1312" ht="12.75" customHeight="1">
      <c r="A1312" s="2">
        <v>2014.0</v>
      </c>
      <c r="B1312" s="2">
        <v>6.0</v>
      </c>
      <c r="C1312" s="2">
        <v>14.0</v>
      </c>
      <c r="D1312" s="2" t="s">
        <v>634</v>
      </c>
      <c r="E1312" s="2">
        <v>1000.0</v>
      </c>
      <c r="F1312" s="2">
        <v>0.0</v>
      </c>
      <c r="G1312" s="2">
        <f t="shared" si="1"/>
        <v>1000</v>
      </c>
      <c r="H1312" s="2" t="s">
        <v>153</v>
      </c>
      <c r="L1312" s="2" t="s">
        <v>11</v>
      </c>
    </row>
    <row r="1313" ht="12.75" customHeight="1">
      <c r="A1313" s="2">
        <v>2014.0</v>
      </c>
      <c r="B1313" s="2">
        <v>6.0</v>
      </c>
      <c r="C1313" s="2">
        <v>14.0</v>
      </c>
      <c r="D1313" s="2" t="s">
        <v>628</v>
      </c>
      <c r="E1313" s="2">
        <v>-66.95</v>
      </c>
      <c r="F1313" s="2">
        <v>0.0</v>
      </c>
      <c r="G1313" s="2">
        <f t="shared" si="1"/>
        <v>-66.95</v>
      </c>
      <c r="H1313" s="2" t="s">
        <v>47</v>
      </c>
      <c r="L1313" s="2" t="s">
        <v>11</v>
      </c>
    </row>
    <row r="1314" ht="12.75" customHeight="1">
      <c r="A1314" s="2">
        <v>2014.0</v>
      </c>
      <c r="B1314" s="2">
        <v>6.0</v>
      </c>
      <c r="C1314" s="2">
        <v>13.0</v>
      </c>
      <c r="D1314" s="2" t="s">
        <v>94</v>
      </c>
      <c r="E1314" s="2">
        <v>74.0</v>
      </c>
      <c r="F1314" s="2">
        <v>0.0</v>
      </c>
      <c r="G1314" s="2">
        <f t="shared" si="1"/>
        <v>74</v>
      </c>
      <c r="H1314" s="2" t="s">
        <v>47</v>
      </c>
      <c r="L1314" s="2" t="s">
        <v>11</v>
      </c>
    </row>
    <row r="1315" ht="12.75" customHeight="1">
      <c r="A1315" s="2">
        <v>2014.0</v>
      </c>
      <c r="B1315" s="2">
        <v>6.0</v>
      </c>
      <c r="C1315" s="2">
        <v>13.0</v>
      </c>
      <c r="D1315" s="2" t="s">
        <v>94</v>
      </c>
      <c r="E1315" s="2">
        <v>371.0</v>
      </c>
      <c r="F1315" s="2">
        <v>0.0</v>
      </c>
      <c r="G1315" s="2">
        <f t="shared" si="1"/>
        <v>371</v>
      </c>
      <c r="H1315" s="2" t="s">
        <v>164</v>
      </c>
      <c r="L1315" s="2" t="s">
        <v>11</v>
      </c>
    </row>
    <row r="1316" ht="12.75" customHeight="1">
      <c r="A1316" s="2">
        <v>2014.0</v>
      </c>
      <c r="B1316" s="2">
        <v>6.0</v>
      </c>
      <c r="C1316" s="2">
        <v>13.0</v>
      </c>
      <c r="D1316" s="2" t="s">
        <v>488</v>
      </c>
      <c r="E1316" s="2">
        <v>-142.1</v>
      </c>
      <c r="F1316" s="2">
        <v>0.0</v>
      </c>
      <c r="G1316" s="2">
        <f t="shared" si="1"/>
        <v>-142.1</v>
      </c>
      <c r="H1316" s="2" t="s">
        <v>47</v>
      </c>
      <c r="L1316" s="2" t="s">
        <v>11</v>
      </c>
    </row>
    <row r="1317" ht="12.75" customHeight="1">
      <c r="A1317" s="2">
        <v>2014.0</v>
      </c>
      <c r="B1317" s="2">
        <v>6.0</v>
      </c>
      <c r="C1317" s="2">
        <v>13.0</v>
      </c>
      <c r="D1317" s="2" t="s">
        <v>570</v>
      </c>
      <c r="E1317" s="2">
        <v>-519.0</v>
      </c>
      <c r="F1317" s="2">
        <v>0.0</v>
      </c>
      <c r="G1317" s="2">
        <f t="shared" si="1"/>
        <v>-519</v>
      </c>
      <c r="H1317" s="2" t="s">
        <v>72</v>
      </c>
      <c r="L1317" s="2" t="s">
        <v>11</v>
      </c>
    </row>
    <row r="1318" ht="12.75" customHeight="1">
      <c r="A1318" s="2">
        <v>2014.0</v>
      </c>
      <c r="B1318" s="2">
        <v>6.0</v>
      </c>
      <c r="C1318" s="2">
        <v>13.0</v>
      </c>
      <c r="D1318" s="2" t="s">
        <v>635</v>
      </c>
      <c r="E1318" s="2">
        <v>-65.0</v>
      </c>
      <c r="F1318" s="2">
        <v>0.0</v>
      </c>
      <c r="G1318" s="2">
        <f t="shared" si="1"/>
        <v>-65</v>
      </c>
      <c r="H1318" s="2" t="s">
        <v>42</v>
      </c>
      <c r="L1318" s="2" t="s">
        <v>11</v>
      </c>
    </row>
    <row r="1319" ht="12.75" customHeight="1">
      <c r="A1319" s="2">
        <v>2014.0</v>
      </c>
      <c r="B1319" s="2">
        <v>6.0</v>
      </c>
      <c r="C1319" s="2">
        <v>13.0</v>
      </c>
      <c r="D1319" s="2" t="s">
        <v>635</v>
      </c>
      <c r="E1319" s="2">
        <v>-40.0</v>
      </c>
      <c r="F1319" s="2">
        <v>0.0</v>
      </c>
      <c r="G1319" s="2">
        <f t="shared" si="1"/>
        <v>-40</v>
      </c>
      <c r="H1319" s="2" t="s">
        <v>42</v>
      </c>
      <c r="L1319" s="2" t="s">
        <v>11</v>
      </c>
    </row>
    <row r="1320" ht="12.75" customHeight="1">
      <c r="A1320" s="2">
        <v>2014.0</v>
      </c>
      <c r="B1320" s="2">
        <v>6.0</v>
      </c>
      <c r="C1320" s="2">
        <v>12.0</v>
      </c>
      <c r="D1320" s="2" t="s">
        <v>570</v>
      </c>
      <c r="E1320" s="2">
        <v>-212.0</v>
      </c>
      <c r="F1320" s="2">
        <v>0.0</v>
      </c>
      <c r="G1320" s="2">
        <f t="shared" si="1"/>
        <v>-212</v>
      </c>
      <c r="H1320" s="2" t="s">
        <v>72</v>
      </c>
      <c r="L1320" s="2" t="s">
        <v>11</v>
      </c>
    </row>
    <row r="1321" ht="12.75" customHeight="1">
      <c r="A1321" s="2">
        <v>2014.0</v>
      </c>
      <c r="B1321" s="2">
        <v>6.0</v>
      </c>
      <c r="C1321" s="2">
        <v>12.0</v>
      </c>
      <c r="D1321" s="2" t="s">
        <v>495</v>
      </c>
      <c r="E1321" s="2">
        <v>-95.0</v>
      </c>
      <c r="F1321" s="2">
        <v>0.0</v>
      </c>
      <c r="G1321" s="2">
        <f t="shared" si="1"/>
        <v>-95</v>
      </c>
      <c r="H1321" s="2" t="s">
        <v>38</v>
      </c>
      <c r="L1321" s="2" t="s">
        <v>11</v>
      </c>
    </row>
    <row r="1322" ht="12.75" customHeight="1">
      <c r="A1322" s="2">
        <v>2014.0</v>
      </c>
      <c r="B1322" s="2">
        <v>6.0</v>
      </c>
      <c r="C1322" s="2">
        <v>11.0</v>
      </c>
      <c r="D1322" s="2" t="s">
        <v>629</v>
      </c>
      <c r="E1322" s="2">
        <v>-371.0</v>
      </c>
      <c r="F1322" s="2">
        <v>0.0</v>
      </c>
      <c r="G1322" s="2">
        <f t="shared" si="1"/>
        <v>-371</v>
      </c>
      <c r="H1322" s="2" t="s">
        <v>164</v>
      </c>
      <c r="L1322" s="2" t="s">
        <v>11</v>
      </c>
    </row>
    <row r="1323" ht="12.75" customHeight="1">
      <c r="A1323" s="2">
        <v>2014.0</v>
      </c>
      <c r="B1323" s="2">
        <v>6.0</v>
      </c>
      <c r="C1323" s="2">
        <v>11.0</v>
      </c>
      <c r="D1323" s="2" t="s">
        <v>570</v>
      </c>
      <c r="E1323" s="2">
        <v>-154.0</v>
      </c>
      <c r="F1323" s="2">
        <v>0.0</v>
      </c>
      <c r="G1323" s="2">
        <f t="shared" si="1"/>
        <v>-154</v>
      </c>
      <c r="H1323" s="2" t="s">
        <v>72</v>
      </c>
      <c r="L1323" s="2" t="s">
        <v>11</v>
      </c>
    </row>
    <row r="1324" ht="12.75" customHeight="1">
      <c r="A1324" s="2">
        <v>2014.0</v>
      </c>
      <c r="B1324" s="2">
        <v>6.0</v>
      </c>
      <c r="C1324" s="2">
        <v>8.0</v>
      </c>
      <c r="D1324" s="2" t="s">
        <v>629</v>
      </c>
      <c r="E1324" s="2">
        <v>-118.0</v>
      </c>
      <c r="F1324" s="2">
        <v>0.0</v>
      </c>
      <c r="G1324" s="2">
        <f t="shared" si="1"/>
        <v>-118</v>
      </c>
      <c r="H1324" s="2" t="s">
        <v>133</v>
      </c>
      <c r="L1324" s="2" t="s">
        <v>11</v>
      </c>
    </row>
    <row r="1325" ht="12.75" customHeight="1">
      <c r="A1325" s="2">
        <v>2014.0</v>
      </c>
      <c r="B1325" s="2">
        <v>6.0</v>
      </c>
      <c r="C1325" s="2">
        <v>8.0</v>
      </c>
      <c r="D1325" s="2" t="s">
        <v>636</v>
      </c>
      <c r="E1325" s="2">
        <v>-320.0</v>
      </c>
      <c r="F1325" s="2">
        <v>0.0</v>
      </c>
      <c r="G1325" s="2">
        <f t="shared" si="1"/>
        <v>-320</v>
      </c>
      <c r="H1325" s="2" t="s">
        <v>72</v>
      </c>
      <c r="L1325" s="2" t="s">
        <v>11</v>
      </c>
    </row>
    <row r="1326" ht="12.75" customHeight="1">
      <c r="A1326" s="2">
        <v>2014.0</v>
      </c>
      <c r="B1326" s="2">
        <v>6.0</v>
      </c>
      <c r="C1326" s="2">
        <v>8.0</v>
      </c>
      <c r="D1326" s="2" t="s">
        <v>546</v>
      </c>
      <c r="E1326" s="2">
        <v>-76.0</v>
      </c>
      <c r="F1326" s="2">
        <v>0.0</v>
      </c>
      <c r="G1326" s="2">
        <f t="shared" si="1"/>
        <v>-76</v>
      </c>
      <c r="H1326" s="2" t="s">
        <v>52</v>
      </c>
      <c r="L1326" s="2" t="s">
        <v>11</v>
      </c>
    </row>
    <row r="1327" ht="12.75" customHeight="1">
      <c r="A1327" s="2">
        <v>2014.0</v>
      </c>
      <c r="B1327" s="2">
        <v>6.0</v>
      </c>
      <c r="C1327" s="2">
        <v>7.0</v>
      </c>
      <c r="D1327" s="2" t="s">
        <v>637</v>
      </c>
      <c r="E1327" s="2">
        <v>-419.0</v>
      </c>
      <c r="F1327" s="2">
        <v>0.0</v>
      </c>
      <c r="G1327" s="2">
        <f t="shared" si="1"/>
        <v>-419</v>
      </c>
      <c r="H1327" s="2" t="s">
        <v>31</v>
      </c>
      <c r="L1327" s="2" t="s">
        <v>11</v>
      </c>
    </row>
    <row r="1328" ht="12.75" customHeight="1">
      <c r="A1328" s="2">
        <v>2014.0</v>
      </c>
      <c r="B1328" s="2">
        <v>6.0</v>
      </c>
      <c r="C1328" s="2">
        <v>7.0</v>
      </c>
      <c r="D1328" s="2" t="s">
        <v>638</v>
      </c>
      <c r="E1328" s="2">
        <v>-36.0</v>
      </c>
      <c r="F1328" s="2">
        <v>0.0</v>
      </c>
      <c r="G1328" s="2">
        <f t="shared" si="1"/>
        <v>-36</v>
      </c>
      <c r="H1328" s="2" t="s">
        <v>31</v>
      </c>
      <c r="L1328" s="2" t="s">
        <v>11</v>
      </c>
    </row>
    <row r="1329" ht="12.75" customHeight="1">
      <c r="A1329" s="2">
        <v>2014.0</v>
      </c>
      <c r="B1329" s="2">
        <v>6.0</v>
      </c>
      <c r="C1329" s="2">
        <v>7.0</v>
      </c>
      <c r="D1329" s="2" t="s">
        <v>638</v>
      </c>
      <c r="E1329" s="2">
        <v>-212.0</v>
      </c>
      <c r="F1329" s="2">
        <v>0.0</v>
      </c>
      <c r="G1329" s="2">
        <f t="shared" si="1"/>
        <v>-212</v>
      </c>
      <c r="H1329" s="2" t="s">
        <v>31</v>
      </c>
      <c r="L1329" s="2" t="s">
        <v>11</v>
      </c>
    </row>
    <row r="1330" ht="12.75" customHeight="1">
      <c r="A1330" s="2">
        <v>2014.0</v>
      </c>
      <c r="B1330" s="2">
        <v>6.0</v>
      </c>
      <c r="C1330" s="2">
        <v>7.0</v>
      </c>
      <c r="D1330" s="2" t="s">
        <v>638</v>
      </c>
      <c r="E1330" s="2">
        <v>-136.0</v>
      </c>
      <c r="F1330" s="2">
        <v>0.0</v>
      </c>
      <c r="G1330" s="2">
        <f t="shared" si="1"/>
        <v>-136</v>
      </c>
      <c r="H1330" s="2" t="s">
        <v>31</v>
      </c>
      <c r="L1330" s="2" t="s">
        <v>11</v>
      </c>
    </row>
    <row r="1331" ht="12.75" customHeight="1">
      <c r="A1331" s="2">
        <v>2014.0</v>
      </c>
      <c r="B1331" s="2">
        <v>6.0</v>
      </c>
      <c r="C1331" s="2">
        <v>7.0</v>
      </c>
      <c r="D1331" s="2" t="s">
        <v>638</v>
      </c>
      <c r="E1331" s="2">
        <v>-100.0</v>
      </c>
      <c r="F1331" s="2">
        <v>0.0</v>
      </c>
      <c r="G1331" s="2">
        <f t="shared" si="1"/>
        <v>-100</v>
      </c>
      <c r="H1331" s="2" t="s">
        <v>31</v>
      </c>
      <c r="L1331" s="2" t="s">
        <v>11</v>
      </c>
    </row>
    <row r="1332" ht="12.75" customHeight="1">
      <c r="A1332" s="2">
        <v>2014.0</v>
      </c>
      <c r="B1332" s="2">
        <v>6.0</v>
      </c>
      <c r="C1332" s="2">
        <v>5.0</v>
      </c>
      <c r="D1332" s="2" t="s">
        <v>465</v>
      </c>
      <c r="E1332" s="2">
        <v>-60.0</v>
      </c>
      <c r="F1332" s="2">
        <v>0.0</v>
      </c>
      <c r="G1332" s="2">
        <f t="shared" si="1"/>
        <v>-60</v>
      </c>
      <c r="H1332" s="2" t="s">
        <v>47</v>
      </c>
      <c r="L1332" s="2" t="s">
        <v>11</v>
      </c>
    </row>
    <row r="1333" ht="12.75" customHeight="1">
      <c r="A1333" s="2">
        <v>2014.0</v>
      </c>
      <c r="B1333" s="2">
        <v>6.0</v>
      </c>
      <c r="C1333" s="2">
        <v>5.0</v>
      </c>
      <c r="D1333" s="2" t="s">
        <v>639</v>
      </c>
      <c r="E1333" s="2">
        <v>-66.0</v>
      </c>
      <c r="F1333" s="2">
        <v>0.0</v>
      </c>
      <c r="G1333" s="2">
        <f t="shared" si="1"/>
        <v>-66</v>
      </c>
      <c r="H1333" s="2" t="s">
        <v>42</v>
      </c>
      <c r="L1333" s="2" t="s">
        <v>11</v>
      </c>
    </row>
    <row r="1334" ht="12.75" customHeight="1">
      <c r="A1334" s="2">
        <v>2014.0</v>
      </c>
      <c r="B1334" s="2">
        <v>6.0</v>
      </c>
      <c r="C1334" s="2">
        <v>5.0</v>
      </c>
      <c r="D1334" s="2" t="s">
        <v>67</v>
      </c>
      <c r="E1334" s="2">
        <v>-1000.0</v>
      </c>
      <c r="F1334" s="2">
        <v>0.0</v>
      </c>
      <c r="G1334" s="2">
        <f t="shared" si="1"/>
        <v>-1000</v>
      </c>
      <c r="H1334" s="2" t="s">
        <v>54</v>
      </c>
      <c r="L1334" s="2" t="s">
        <v>11</v>
      </c>
    </row>
    <row r="1335" ht="12.75" customHeight="1">
      <c r="A1335" s="2">
        <v>2014.0</v>
      </c>
      <c r="B1335" s="2">
        <v>6.0</v>
      </c>
      <c r="C1335" s="2">
        <v>4.0</v>
      </c>
      <c r="D1335" s="2" t="s">
        <v>465</v>
      </c>
      <c r="E1335" s="2">
        <v>-55.0</v>
      </c>
      <c r="F1335" s="2">
        <v>0.0</v>
      </c>
      <c r="G1335" s="2">
        <f t="shared" si="1"/>
        <v>-55</v>
      </c>
      <c r="H1335" s="2" t="s">
        <v>47</v>
      </c>
      <c r="L1335" s="2" t="s">
        <v>11</v>
      </c>
    </row>
    <row r="1336" ht="12.75" customHeight="1">
      <c r="A1336" s="2">
        <v>2014.0</v>
      </c>
      <c r="B1336" s="2">
        <v>6.0</v>
      </c>
      <c r="C1336" s="2">
        <v>4.0</v>
      </c>
      <c r="D1336" s="2" t="s">
        <v>258</v>
      </c>
      <c r="E1336" s="2">
        <v>23211.0</v>
      </c>
      <c r="F1336" s="2">
        <v>0.0</v>
      </c>
      <c r="G1336" s="2">
        <f t="shared" si="1"/>
        <v>23211</v>
      </c>
      <c r="H1336" s="2" t="s">
        <v>18</v>
      </c>
      <c r="L1336" s="2" t="s">
        <v>11</v>
      </c>
    </row>
    <row r="1337" ht="12.75" customHeight="1">
      <c r="A1337" s="2">
        <v>2014.0</v>
      </c>
      <c r="B1337" s="2">
        <v>6.0</v>
      </c>
      <c r="C1337" s="2">
        <v>3.0</v>
      </c>
      <c r="D1337" s="2" t="s">
        <v>465</v>
      </c>
      <c r="E1337" s="2">
        <v>-60.0</v>
      </c>
      <c r="F1337" s="2">
        <v>0.0</v>
      </c>
      <c r="G1337" s="2">
        <f t="shared" si="1"/>
        <v>-60</v>
      </c>
      <c r="H1337" s="2" t="s">
        <v>47</v>
      </c>
      <c r="L1337" s="2" t="s">
        <v>11</v>
      </c>
    </row>
    <row r="1338" ht="12.75" customHeight="1">
      <c r="A1338" s="2">
        <v>2014.0</v>
      </c>
      <c r="B1338" s="2">
        <v>6.0</v>
      </c>
      <c r="C1338" s="2">
        <v>2.0</v>
      </c>
      <c r="D1338" s="2" t="s">
        <v>157</v>
      </c>
      <c r="E1338" s="2">
        <v>-119.0</v>
      </c>
      <c r="F1338" s="2">
        <v>0.0</v>
      </c>
      <c r="G1338" s="2">
        <f t="shared" si="1"/>
        <v>-119</v>
      </c>
      <c r="H1338" s="2" t="s">
        <v>17</v>
      </c>
      <c r="L1338" s="2" t="s">
        <v>11</v>
      </c>
    </row>
    <row r="1339" ht="12.75" customHeight="1">
      <c r="A1339" s="2">
        <v>2014.0</v>
      </c>
      <c r="B1339" s="2">
        <v>6.0</v>
      </c>
      <c r="C1339" s="2">
        <v>2.0</v>
      </c>
      <c r="D1339" s="2" t="s">
        <v>73</v>
      </c>
      <c r="E1339" s="2">
        <v>-6120.0</v>
      </c>
      <c r="F1339" s="2">
        <v>0.0</v>
      </c>
      <c r="G1339" s="2">
        <f t="shared" si="1"/>
        <v>-6120</v>
      </c>
      <c r="H1339" s="2" t="s">
        <v>10</v>
      </c>
      <c r="L1339" s="2" t="s">
        <v>11</v>
      </c>
    </row>
    <row r="1340" ht="12.75" customHeight="1">
      <c r="A1340" s="2">
        <v>2014.0</v>
      </c>
      <c r="B1340" s="2">
        <v>6.0</v>
      </c>
      <c r="C1340" s="2">
        <v>1.0</v>
      </c>
      <c r="D1340" s="2" t="s">
        <v>640</v>
      </c>
      <c r="E1340" s="2">
        <v>4421.0</v>
      </c>
      <c r="F1340" s="2">
        <v>0.0</v>
      </c>
      <c r="G1340" s="2">
        <f t="shared" si="1"/>
        <v>4421</v>
      </c>
      <c r="H1340" s="2" t="s">
        <v>227</v>
      </c>
      <c r="I1340" s="2" t="s">
        <v>641</v>
      </c>
      <c r="J1340" s="2" t="s">
        <v>642</v>
      </c>
      <c r="K1340" s="2" t="s">
        <v>643</v>
      </c>
      <c r="L1340" s="2" t="s">
        <v>11</v>
      </c>
    </row>
    <row r="1341" ht="12.75" customHeight="1">
      <c r="A1341" s="2">
        <v>2014.0</v>
      </c>
      <c r="B1341" s="2">
        <v>5.0</v>
      </c>
      <c r="C1341" s="2">
        <v>31.0</v>
      </c>
      <c r="D1341" s="2" t="s">
        <v>644</v>
      </c>
      <c r="E1341" s="2">
        <v>-3720.0</v>
      </c>
      <c r="F1341" s="2">
        <v>0.0</v>
      </c>
      <c r="G1341" s="2">
        <f t="shared" si="1"/>
        <v>-3720</v>
      </c>
      <c r="H1341" s="2" t="s">
        <v>31</v>
      </c>
      <c r="L1341" s="2" t="s">
        <v>11</v>
      </c>
    </row>
    <row r="1342" ht="12.75" customHeight="1">
      <c r="A1342" s="2">
        <v>2014.0</v>
      </c>
      <c r="B1342" s="2">
        <v>5.0</v>
      </c>
      <c r="C1342" s="2">
        <v>31.0</v>
      </c>
      <c r="D1342" s="2" t="s">
        <v>645</v>
      </c>
      <c r="E1342" s="2">
        <v>-90.0</v>
      </c>
      <c r="F1342" s="2">
        <v>0.0</v>
      </c>
      <c r="G1342" s="2">
        <f t="shared" si="1"/>
        <v>-90</v>
      </c>
      <c r="H1342" s="2" t="s">
        <v>47</v>
      </c>
      <c r="L1342" s="2" t="s">
        <v>11</v>
      </c>
    </row>
    <row r="1343" ht="12.75" customHeight="1">
      <c r="A1343" s="2">
        <v>2014.0</v>
      </c>
      <c r="B1343" s="2">
        <v>5.0</v>
      </c>
      <c r="C1343" s="2">
        <v>30.0</v>
      </c>
      <c r="D1343" s="2" t="s">
        <v>427</v>
      </c>
      <c r="E1343" s="2">
        <v>-469.0</v>
      </c>
      <c r="F1343" s="2">
        <v>0.0</v>
      </c>
      <c r="G1343" s="2">
        <f t="shared" si="1"/>
        <v>-469</v>
      </c>
      <c r="H1343" s="2" t="s">
        <v>428</v>
      </c>
      <c r="L1343" s="2" t="s">
        <v>11</v>
      </c>
    </row>
    <row r="1344" ht="12.75" customHeight="1">
      <c r="A1344" s="2">
        <v>2014.0</v>
      </c>
      <c r="B1344" s="2">
        <v>5.0</v>
      </c>
      <c r="C1344" s="2">
        <v>30.0</v>
      </c>
      <c r="D1344" s="2" t="s">
        <v>646</v>
      </c>
      <c r="E1344" s="2">
        <v>-143.0</v>
      </c>
      <c r="F1344" s="2">
        <v>0.0</v>
      </c>
      <c r="G1344" s="2">
        <f t="shared" si="1"/>
        <v>-143</v>
      </c>
      <c r="H1344" s="2" t="s">
        <v>31</v>
      </c>
      <c r="L1344" s="2" t="s">
        <v>11</v>
      </c>
    </row>
    <row r="1345" ht="12.75" customHeight="1">
      <c r="A1345" s="2">
        <v>2014.0</v>
      </c>
      <c r="B1345" s="2">
        <v>5.0</v>
      </c>
      <c r="C1345" s="2">
        <v>30.0</v>
      </c>
      <c r="D1345" s="2" t="s">
        <v>647</v>
      </c>
      <c r="E1345" s="2">
        <v>-305.0</v>
      </c>
      <c r="F1345" s="2">
        <v>0.0</v>
      </c>
      <c r="G1345" s="2">
        <f t="shared" si="1"/>
        <v>-305</v>
      </c>
      <c r="H1345" s="2" t="s">
        <v>35</v>
      </c>
      <c r="L1345" s="2" t="s">
        <v>11</v>
      </c>
    </row>
    <row r="1346" ht="12.75" customHeight="1">
      <c r="A1346" s="2">
        <v>2014.0</v>
      </c>
      <c r="B1346" s="2">
        <v>5.0</v>
      </c>
      <c r="C1346" s="2">
        <v>30.0</v>
      </c>
      <c r="D1346" s="2" t="s">
        <v>12</v>
      </c>
      <c r="E1346" s="2">
        <v>-8095.68</v>
      </c>
      <c r="F1346" s="2">
        <v>0.0</v>
      </c>
      <c r="G1346" s="2">
        <f t="shared" si="1"/>
        <v>-8095.68</v>
      </c>
      <c r="H1346" s="2" t="s">
        <v>28</v>
      </c>
      <c r="L1346" s="2" t="s">
        <v>228</v>
      </c>
    </row>
    <row r="1347" ht="12.75" customHeight="1">
      <c r="A1347" s="2">
        <v>2014.0</v>
      </c>
      <c r="B1347" s="2">
        <v>5.0</v>
      </c>
      <c r="C1347" s="2">
        <v>30.0</v>
      </c>
      <c r="D1347" s="2" t="s">
        <v>648</v>
      </c>
      <c r="E1347" s="2">
        <v>-499.0</v>
      </c>
      <c r="F1347" s="2">
        <v>0.0</v>
      </c>
      <c r="G1347" s="2">
        <f t="shared" si="1"/>
        <v>-499</v>
      </c>
      <c r="H1347" s="2" t="s">
        <v>123</v>
      </c>
      <c r="L1347" s="2" t="s">
        <v>11</v>
      </c>
    </row>
    <row r="1348" ht="12.75" customHeight="1">
      <c r="A1348" s="2">
        <v>2014.0</v>
      </c>
      <c r="B1348" s="2">
        <v>5.0</v>
      </c>
      <c r="C1348" s="2">
        <v>30.0</v>
      </c>
      <c r="D1348" s="2" t="s">
        <v>14</v>
      </c>
      <c r="E1348" s="2">
        <v>-4007.0</v>
      </c>
      <c r="F1348" s="2">
        <v>0.0</v>
      </c>
      <c r="G1348" s="2">
        <f t="shared" si="1"/>
        <v>-4007</v>
      </c>
      <c r="H1348" s="2" t="s">
        <v>10</v>
      </c>
      <c r="L1348" s="2" t="s">
        <v>11</v>
      </c>
    </row>
    <row r="1349" ht="12.75" customHeight="1">
      <c r="A1349" s="2">
        <v>2014.0</v>
      </c>
      <c r="B1349" s="2">
        <v>5.0</v>
      </c>
      <c r="C1349" s="2">
        <v>30.0</v>
      </c>
      <c r="D1349" s="2" t="s">
        <v>15</v>
      </c>
      <c r="E1349" s="2">
        <v>-207.8</v>
      </c>
      <c r="F1349" s="2">
        <v>0.0</v>
      </c>
      <c r="G1349" s="2">
        <f t="shared" si="1"/>
        <v>-207.8</v>
      </c>
      <c r="H1349" s="2" t="s">
        <v>10</v>
      </c>
      <c r="L1349" s="2" t="s">
        <v>11</v>
      </c>
    </row>
    <row r="1350" ht="12.75" customHeight="1">
      <c r="A1350" s="2">
        <v>2014.0</v>
      </c>
      <c r="B1350" s="2">
        <v>5.0</v>
      </c>
      <c r="C1350" s="2">
        <v>30.0</v>
      </c>
      <c r="D1350" s="2" t="s">
        <v>75</v>
      </c>
      <c r="E1350" s="2">
        <v>-3032.0</v>
      </c>
      <c r="F1350" s="2">
        <v>0.0</v>
      </c>
      <c r="G1350" s="2">
        <f t="shared" si="1"/>
        <v>-3032</v>
      </c>
      <c r="H1350" s="2" t="s">
        <v>76</v>
      </c>
      <c r="L1350" s="2" t="s">
        <v>11</v>
      </c>
    </row>
    <row r="1351" ht="12.75" customHeight="1">
      <c r="A1351" s="2">
        <v>2014.0</v>
      </c>
      <c r="B1351" s="2">
        <v>5.0</v>
      </c>
      <c r="C1351" s="2">
        <v>30.0</v>
      </c>
      <c r="D1351" s="2" t="s">
        <v>649</v>
      </c>
      <c r="E1351" s="2">
        <v>-400.0</v>
      </c>
      <c r="F1351" s="2">
        <v>0.0</v>
      </c>
      <c r="G1351" s="2">
        <f t="shared" si="1"/>
        <v>-400</v>
      </c>
      <c r="H1351" s="2" t="s">
        <v>47</v>
      </c>
      <c r="L1351" s="2" t="s">
        <v>11</v>
      </c>
    </row>
    <row r="1352" ht="12.75" customHeight="1">
      <c r="A1352" s="2">
        <v>2014.0</v>
      </c>
      <c r="B1352" s="2">
        <v>5.0</v>
      </c>
      <c r="C1352" s="2">
        <v>30.0</v>
      </c>
      <c r="D1352" s="2">
        <v>4.7516877E7</v>
      </c>
      <c r="E1352" s="2">
        <v>1000.0</v>
      </c>
      <c r="F1352" s="2">
        <v>0.0</v>
      </c>
      <c r="G1352" s="2">
        <f t="shared" si="1"/>
        <v>1000</v>
      </c>
      <c r="H1352" s="2" t="s">
        <v>18</v>
      </c>
      <c r="L1352" s="2" t="s">
        <v>11</v>
      </c>
    </row>
    <row r="1353" ht="12.75" customHeight="1">
      <c r="A1353" s="2">
        <v>2014.0</v>
      </c>
      <c r="B1353" s="2">
        <v>5.0</v>
      </c>
      <c r="C1353" s="2">
        <v>29.0</v>
      </c>
      <c r="D1353" s="2" t="s">
        <v>650</v>
      </c>
      <c r="E1353" s="2">
        <v>-79.0</v>
      </c>
      <c r="F1353" s="2">
        <v>0.0</v>
      </c>
      <c r="G1353" s="2">
        <f t="shared" si="1"/>
        <v>-79</v>
      </c>
      <c r="H1353" s="2" t="s">
        <v>47</v>
      </c>
      <c r="L1353" s="2" t="s">
        <v>11</v>
      </c>
    </row>
    <row r="1354" ht="12.75" customHeight="1">
      <c r="A1354" s="2">
        <v>2014.0</v>
      </c>
      <c r="B1354" s="2">
        <v>5.0</v>
      </c>
      <c r="C1354" s="2">
        <v>29.0</v>
      </c>
      <c r="D1354" s="2" t="s">
        <v>586</v>
      </c>
      <c r="E1354" s="2">
        <v>-4278.0</v>
      </c>
      <c r="F1354" s="2">
        <v>0.0</v>
      </c>
      <c r="G1354" s="2">
        <f t="shared" si="1"/>
        <v>-4278</v>
      </c>
      <c r="H1354" s="2" t="s">
        <v>31</v>
      </c>
      <c r="L1354" s="2" t="s">
        <v>11</v>
      </c>
    </row>
    <row r="1355" ht="12.75" customHeight="1">
      <c r="A1355" s="2">
        <v>2014.0</v>
      </c>
      <c r="B1355" s="2">
        <v>5.0</v>
      </c>
      <c r="C1355" s="2">
        <v>29.0</v>
      </c>
      <c r="D1355" s="2" t="s">
        <v>586</v>
      </c>
      <c r="E1355" s="2">
        <v>-143.0</v>
      </c>
      <c r="F1355" s="2">
        <v>0.0</v>
      </c>
      <c r="G1355" s="2">
        <f t="shared" si="1"/>
        <v>-143</v>
      </c>
      <c r="H1355" s="2" t="s">
        <v>35</v>
      </c>
      <c r="L1355" s="2" t="s">
        <v>11</v>
      </c>
    </row>
    <row r="1356" ht="12.75" customHeight="1">
      <c r="A1356" s="2">
        <v>2014.0</v>
      </c>
      <c r="B1356" s="2">
        <v>5.0</v>
      </c>
      <c r="C1356" s="2">
        <v>29.0</v>
      </c>
      <c r="D1356" s="2" t="s">
        <v>623</v>
      </c>
      <c r="E1356" s="2">
        <v>-149.5</v>
      </c>
      <c r="F1356" s="2">
        <v>0.0</v>
      </c>
      <c r="G1356" s="2">
        <f t="shared" si="1"/>
        <v>-149.5</v>
      </c>
      <c r="H1356" s="2" t="s">
        <v>35</v>
      </c>
      <c r="L1356" s="2" t="s">
        <v>11</v>
      </c>
    </row>
    <row r="1357" ht="12.75" customHeight="1">
      <c r="A1357" s="2">
        <v>2014.0</v>
      </c>
      <c r="B1357" s="2">
        <v>5.0</v>
      </c>
      <c r="C1357" s="2">
        <v>28.0</v>
      </c>
      <c r="D1357" s="2" t="s">
        <v>25</v>
      </c>
      <c r="E1357" s="2">
        <v>-100.0</v>
      </c>
      <c r="F1357" s="2">
        <v>0.0</v>
      </c>
      <c r="G1357" s="2">
        <f t="shared" si="1"/>
        <v>-100</v>
      </c>
      <c r="H1357" s="2" t="s">
        <v>26</v>
      </c>
      <c r="L1357" s="2" t="s">
        <v>11</v>
      </c>
    </row>
    <row r="1358" ht="12.75" customHeight="1">
      <c r="A1358" s="2">
        <v>2014.0</v>
      </c>
      <c r="B1358" s="2">
        <v>5.0</v>
      </c>
      <c r="C1358" s="2">
        <v>28.0</v>
      </c>
      <c r="D1358" s="2" t="s">
        <v>465</v>
      </c>
      <c r="E1358" s="2">
        <v>-60.0</v>
      </c>
      <c r="F1358" s="2">
        <v>0.0</v>
      </c>
      <c r="G1358" s="2">
        <f t="shared" si="1"/>
        <v>-60</v>
      </c>
      <c r="H1358" s="2" t="s">
        <v>47</v>
      </c>
      <c r="L1358" s="2" t="s">
        <v>11</v>
      </c>
    </row>
    <row r="1359" ht="12.75" customHeight="1">
      <c r="A1359" s="2">
        <v>2014.0</v>
      </c>
      <c r="B1359" s="2">
        <v>5.0</v>
      </c>
      <c r="C1359" s="2">
        <v>28.0</v>
      </c>
      <c r="D1359" s="2" t="s">
        <v>19</v>
      </c>
      <c r="E1359" s="2">
        <v>-320.0</v>
      </c>
      <c r="F1359" s="2">
        <v>0.0</v>
      </c>
      <c r="G1359" s="2">
        <f t="shared" si="1"/>
        <v>-320</v>
      </c>
      <c r="H1359" s="2" t="s">
        <v>20</v>
      </c>
      <c r="L1359" s="2" t="s">
        <v>11</v>
      </c>
    </row>
    <row r="1360" ht="12.75" customHeight="1">
      <c r="A1360" s="2">
        <v>2014.0</v>
      </c>
      <c r="B1360" s="2">
        <v>5.0</v>
      </c>
      <c r="C1360" s="2">
        <v>28.0</v>
      </c>
      <c r="D1360" s="2" t="s">
        <v>23</v>
      </c>
      <c r="E1360" s="2">
        <v>-285.0</v>
      </c>
      <c r="F1360" s="2">
        <v>0.0</v>
      </c>
      <c r="G1360" s="2">
        <f t="shared" si="1"/>
        <v>-285</v>
      </c>
      <c r="H1360" s="2" t="s">
        <v>24</v>
      </c>
      <c r="L1360" s="2" t="s">
        <v>11</v>
      </c>
    </row>
    <row r="1361" ht="12.75" customHeight="1">
      <c r="A1361" s="2">
        <v>2014.0</v>
      </c>
      <c r="B1361" s="2">
        <v>5.0</v>
      </c>
      <c r="C1361" s="2">
        <v>27.0</v>
      </c>
      <c r="D1361" s="2" t="s">
        <v>382</v>
      </c>
      <c r="E1361" s="2">
        <v>-299.0</v>
      </c>
      <c r="F1361" s="2">
        <v>0.0</v>
      </c>
      <c r="G1361" s="2">
        <f t="shared" si="1"/>
        <v>-299</v>
      </c>
      <c r="H1361" s="2" t="s">
        <v>22</v>
      </c>
      <c r="L1361" s="2" t="s">
        <v>11</v>
      </c>
    </row>
    <row r="1362" ht="12.75" customHeight="1">
      <c r="A1362" s="2">
        <v>2014.0</v>
      </c>
      <c r="B1362" s="2">
        <v>5.0</v>
      </c>
      <c r="C1362" s="2">
        <v>27.0</v>
      </c>
      <c r="D1362" s="2" t="s">
        <v>513</v>
      </c>
      <c r="E1362" s="2">
        <v>-49.0</v>
      </c>
      <c r="F1362" s="2">
        <v>0.0</v>
      </c>
      <c r="G1362" s="2">
        <f t="shared" si="1"/>
        <v>-49</v>
      </c>
      <c r="H1362" s="2" t="s">
        <v>47</v>
      </c>
      <c r="L1362" s="2" t="s">
        <v>11</v>
      </c>
    </row>
    <row r="1363" ht="12.75" customHeight="1">
      <c r="A1363" s="2">
        <v>2014.0</v>
      </c>
      <c r="B1363" s="2">
        <v>5.0</v>
      </c>
      <c r="C1363" s="2">
        <v>26.0</v>
      </c>
      <c r="D1363" s="2" t="s">
        <v>27</v>
      </c>
      <c r="E1363" s="2">
        <v>-5000.0</v>
      </c>
      <c r="F1363" s="2">
        <v>0.0</v>
      </c>
      <c r="G1363" s="2">
        <f t="shared" si="1"/>
        <v>-5000</v>
      </c>
      <c r="H1363" s="2" t="s">
        <v>28</v>
      </c>
      <c r="L1363" s="2" t="s">
        <v>11</v>
      </c>
    </row>
    <row r="1364" ht="12.75" customHeight="1">
      <c r="A1364" s="2">
        <v>2014.0</v>
      </c>
      <c r="B1364" s="2">
        <v>5.0</v>
      </c>
      <c r="C1364" s="2">
        <v>26.0</v>
      </c>
      <c r="D1364" s="2" t="s">
        <v>27</v>
      </c>
      <c r="E1364" s="2">
        <v>5000.0</v>
      </c>
      <c r="F1364" s="2">
        <v>0.0</v>
      </c>
      <c r="G1364" s="2">
        <f t="shared" si="1"/>
        <v>5000</v>
      </c>
      <c r="H1364" s="2" t="s">
        <v>28</v>
      </c>
      <c r="L1364" s="2" t="s">
        <v>11</v>
      </c>
    </row>
    <row r="1365" ht="12.75" customHeight="1">
      <c r="A1365" s="2">
        <v>2014.0</v>
      </c>
      <c r="B1365" s="2">
        <v>5.0</v>
      </c>
      <c r="C1365" s="2">
        <v>26.0</v>
      </c>
      <c r="D1365" s="2" t="s">
        <v>29</v>
      </c>
      <c r="E1365" s="2">
        <v>-1250.0</v>
      </c>
      <c r="F1365" s="2">
        <v>0.0</v>
      </c>
      <c r="G1365" s="2">
        <f t="shared" si="1"/>
        <v>-1250</v>
      </c>
      <c r="H1365" s="2" t="s">
        <v>18</v>
      </c>
      <c r="L1365" s="2" t="s">
        <v>11</v>
      </c>
    </row>
    <row r="1366" ht="12.75" customHeight="1">
      <c r="A1366" s="2">
        <v>2014.0</v>
      </c>
      <c r="B1366" s="2">
        <v>5.0</v>
      </c>
      <c r="C1366" s="2">
        <v>26.0</v>
      </c>
      <c r="D1366" s="2" t="s">
        <v>290</v>
      </c>
      <c r="E1366" s="2">
        <v>-225.0</v>
      </c>
      <c r="F1366" s="2">
        <v>0.0</v>
      </c>
      <c r="G1366" s="2">
        <f t="shared" si="1"/>
        <v>-225</v>
      </c>
      <c r="H1366" s="2" t="s">
        <v>651</v>
      </c>
      <c r="L1366" s="2" t="s">
        <v>11</v>
      </c>
    </row>
    <row r="1367" ht="12.75" customHeight="1">
      <c r="A1367" s="2">
        <v>2014.0</v>
      </c>
      <c r="B1367" s="2">
        <v>5.0</v>
      </c>
      <c r="C1367" s="2">
        <v>25.0</v>
      </c>
      <c r="D1367" s="2" t="s">
        <v>652</v>
      </c>
      <c r="E1367" s="2">
        <v>-20.0</v>
      </c>
      <c r="F1367" s="2">
        <v>0.0</v>
      </c>
      <c r="G1367" s="2">
        <f t="shared" si="1"/>
        <v>-20</v>
      </c>
      <c r="H1367" s="2" t="s">
        <v>47</v>
      </c>
      <c r="L1367" s="2" t="s">
        <v>11</v>
      </c>
    </row>
    <row r="1368" ht="12.75" customHeight="1">
      <c r="A1368" s="2">
        <v>2014.0</v>
      </c>
      <c r="B1368" s="2">
        <v>5.0</v>
      </c>
      <c r="C1368" s="2">
        <v>25.0</v>
      </c>
      <c r="D1368" s="2" t="s">
        <v>653</v>
      </c>
      <c r="E1368" s="2">
        <v>-400.0</v>
      </c>
      <c r="F1368" s="2">
        <v>0.0</v>
      </c>
      <c r="G1368" s="2">
        <f t="shared" si="1"/>
        <v>-400</v>
      </c>
      <c r="H1368" s="2" t="s">
        <v>47</v>
      </c>
      <c r="L1368" s="2" t="s">
        <v>11</v>
      </c>
    </row>
    <row r="1369" ht="12.75" customHeight="1">
      <c r="A1369" s="2">
        <v>2014.0</v>
      </c>
      <c r="B1369" s="2">
        <v>5.0</v>
      </c>
      <c r="C1369" s="2">
        <v>24.0</v>
      </c>
      <c r="D1369" s="2" t="s">
        <v>490</v>
      </c>
      <c r="E1369" s="2">
        <v>-102.0</v>
      </c>
      <c r="F1369" s="2">
        <v>0.0</v>
      </c>
      <c r="G1369" s="2">
        <f t="shared" si="1"/>
        <v>-102</v>
      </c>
      <c r="H1369" s="2" t="s">
        <v>47</v>
      </c>
      <c r="L1369" s="2" t="s">
        <v>11</v>
      </c>
    </row>
    <row r="1370" ht="12.75" customHeight="1">
      <c r="A1370" s="2">
        <v>2014.0</v>
      </c>
      <c r="B1370" s="2">
        <v>5.0</v>
      </c>
      <c r="C1370" s="2">
        <v>24.0</v>
      </c>
      <c r="D1370" s="2" t="s">
        <v>654</v>
      </c>
      <c r="E1370" s="2">
        <v>-100.0</v>
      </c>
      <c r="F1370" s="2">
        <v>0.0</v>
      </c>
      <c r="G1370" s="2">
        <f t="shared" si="1"/>
        <v>-100</v>
      </c>
      <c r="H1370" s="2" t="s">
        <v>31</v>
      </c>
      <c r="L1370" s="2" t="s">
        <v>11</v>
      </c>
    </row>
    <row r="1371" ht="12.75" customHeight="1">
      <c r="A1371" s="2">
        <v>2014.0</v>
      </c>
      <c r="B1371" s="2">
        <v>5.0</v>
      </c>
      <c r="C1371" s="2">
        <v>24.0</v>
      </c>
      <c r="D1371" s="2" t="s">
        <v>655</v>
      </c>
      <c r="E1371" s="2">
        <v>-91.0</v>
      </c>
      <c r="F1371" s="2">
        <v>0.0</v>
      </c>
      <c r="G1371" s="2">
        <f t="shared" si="1"/>
        <v>-91</v>
      </c>
      <c r="H1371" s="2" t="s">
        <v>31</v>
      </c>
      <c r="L1371" s="2" t="s">
        <v>11</v>
      </c>
    </row>
    <row r="1372" ht="12.75" customHeight="1">
      <c r="A1372" s="2">
        <v>2014.0</v>
      </c>
      <c r="B1372" s="2">
        <v>5.0</v>
      </c>
      <c r="C1372" s="2">
        <v>24.0</v>
      </c>
      <c r="D1372" s="2" t="s">
        <v>549</v>
      </c>
      <c r="E1372" s="2">
        <v>-51.0</v>
      </c>
      <c r="F1372" s="2">
        <v>0.0</v>
      </c>
      <c r="G1372" s="2">
        <f t="shared" si="1"/>
        <v>-51</v>
      </c>
      <c r="H1372" s="2" t="s">
        <v>42</v>
      </c>
      <c r="L1372" s="2" t="s">
        <v>11</v>
      </c>
    </row>
    <row r="1373" ht="12.75" customHeight="1">
      <c r="A1373" s="2">
        <v>2014.0</v>
      </c>
      <c r="B1373" s="2">
        <v>5.0</v>
      </c>
      <c r="C1373" s="2">
        <v>23.0</v>
      </c>
      <c r="D1373" s="2" t="s">
        <v>39</v>
      </c>
      <c r="E1373" s="2">
        <v>29051.0</v>
      </c>
      <c r="F1373" s="2">
        <v>0.0</v>
      </c>
      <c r="G1373" s="2">
        <f t="shared" si="1"/>
        <v>29051</v>
      </c>
      <c r="H1373" s="2" t="s">
        <v>40</v>
      </c>
      <c r="L1373" s="2" t="s">
        <v>11</v>
      </c>
    </row>
    <row r="1374" ht="12.75" customHeight="1">
      <c r="A1374" s="2">
        <v>2014.0</v>
      </c>
      <c r="B1374" s="2">
        <v>5.0</v>
      </c>
      <c r="C1374" s="2">
        <v>22.0</v>
      </c>
      <c r="D1374" s="2" t="s">
        <v>656</v>
      </c>
      <c r="E1374" s="2">
        <v>-79.0</v>
      </c>
      <c r="F1374" s="2">
        <v>0.0</v>
      </c>
      <c r="G1374" s="2">
        <f t="shared" si="1"/>
        <v>-79</v>
      </c>
      <c r="H1374" s="2" t="s">
        <v>38</v>
      </c>
      <c r="L1374" s="2" t="s">
        <v>11</v>
      </c>
    </row>
    <row r="1375" ht="12.75" customHeight="1">
      <c r="A1375" s="2">
        <v>2014.0</v>
      </c>
      <c r="B1375" s="2">
        <v>5.0</v>
      </c>
      <c r="C1375" s="2">
        <v>22.0</v>
      </c>
      <c r="D1375" s="2" t="s">
        <v>479</v>
      </c>
      <c r="E1375" s="2">
        <v>-51.0</v>
      </c>
      <c r="F1375" s="2">
        <v>0.0</v>
      </c>
      <c r="G1375" s="2">
        <f t="shared" si="1"/>
        <v>-51</v>
      </c>
      <c r="H1375" s="2" t="s">
        <v>42</v>
      </c>
      <c r="L1375" s="2" t="s">
        <v>11</v>
      </c>
    </row>
    <row r="1376" ht="12.75" customHeight="1">
      <c r="A1376" s="2">
        <v>2014.0</v>
      </c>
      <c r="B1376" s="2">
        <v>5.0</v>
      </c>
      <c r="C1376" s="2">
        <v>21.0</v>
      </c>
      <c r="D1376" s="2" t="s">
        <v>465</v>
      </c>
      <c r="E1376" s="2">
        <v>-60.0</v>
      </c>
      <c r="F1376" s="2">
        <v>0.0</v>
      </c>
      <c r="G1376" s="2">
        <f t="shared" si="1"/>
        <v>-60</v>
      </c>
      <c r="H1376" s="2" t="s">
        <v>47</v>
      </c>
      <c r="L1376" s="2" t="s">
        <v>11</v>
      </c>
    </row>
    <row r="1377" ht="12.75" customHeight="1">
      <c r="A1377" s="2">
        <v>2014.0</v>
      </c>
      <c r="B1377" s="2">
        <v>5.0</v>
      </c>
      <c r="C1377" s="2">
        <v>21.0</v>
      </c>
      <c r="D1377" s="2" t="s">
        <v>467</v>
      </c>
      <c r="E1377" s="2">
        <v>-800.0</v>
      </c>
      <c r="F1377" s="2">
        <v>0.0</v>
      </c>
      <c r="G1377" s="2">
        <f t="shared" si="1"/>
        <v>-800</v>
      </c>
      <c r="H1377" s="2" t="s">
        <v>38</v>
      </c>
      <c r="L1377" s="2" t="s">
        <v>11</v>
      </c>
    </row>
    <row r="1378" ht="12.75" customHeight="1">
      <c r="A1378" s="2">
        <v>2014.0</v>
      </c>
      <c r="B1378" s="2">
        <v>5.0</v>
      </c>
      <c r="C1378" s="2">
        <v>20.0</v>
      </c>
      <c r="D1378" s="2" t="s">
        <v>465</v>
      </c>
      <c r="E1378" s="2">
        <v>-60.0</v>
      </c>
      <c r="F1378" s="2">
        <v>0.0</v>
      </c>
      <c r="G1378" s="2">
        <f t="shared" si="1"/>
        <v>-60</v>
      </c>
      <c r="H1378" s="2" t="s">
        <v>47</v>
      </c>
      <c r="L1378" s="2" t="s">
        <v>11</v>
      </c>
    </row>
    <row r="1379" ht="12.75" customHeight="1">
      <c r="A1379" s="2">
        <v>2014.0</v>
      </c>
      <c r="B1379" s="2">
        <v>5.0</v>
      </c>
      <c r="C1379" s="2">
        <v>20.0</v>
      </c>
      <c r="D1379" s="2" t="s">
        <v>505</v>
      </c>
      <c r="E1379" s="2">
        <v>-102.0</v>
      </c>
      <c r="F1379" s="2">
        <v>0.0</v>
      </c>
      <c r="G1379" s="2">
        <f t="shared" si="1"/>
        <v>-102</v>
      </c>
      <c r="H1379" s="2" t="s">
        <v>42</v>
      </c>
      <c r="L1379" s="2" t="s">
        <v>11</v>
      </c>
    </row>
    <row r="1380" ht="12.75" customHeight="1">
      <c r="A1380" s="2">
        <v>2014.0</v>
      </c>
      <c r="B1380" s="2">
        <v>5.0</v>
      </c>
      <c r="C1380" s="2">
        <v>18.0</v>
      </c>
      <c r="D1380" s="2" t="s">
        <v>657</v>
      </c>
      <c r="E1380" s="2">
        <v>-121.0</v>
      </c>
      <c r="F1380" s="2">
        <v>0.0</v>
      </c>
      <c r="G1380" s="2">
        <f t="shared" si="1"/>
        <v>-121</v>
      </c>
      <c r="H1380" s="2" t="s">
        <v>47</v>
      </c>
      <c r="L1380" s="2" t="s">
        <v>11</v>
      </c>
    </row>
    <row r="1381" ht="12.75" customHeight="1">
      <c r="A1381" s="2">
        <v>2014.0</v>
      </c>
      <c r="B1381" s="2">
        <v>5.0</v>
      </c>
      <c r="C1381" s="2">
        <v>18.0</v>
      </c>
      <c r="D1381" s="2" t="s">
        <v>658</v>
      </c>
      <c r="E1381" s="2">
        <v>-100.0</v>
      </c>
      <c r="F1381" s="2">
        <v>0.0</v>
      </c>
      <c r="G1381" s="2">
        <f t="shared" si="1"/>
        <v>-100</v>
      </c>
      <c r="H1381" s="2" t="s">
        <v>47</v>
      </c>
      <c r="L1381" s="2" t="s">
        <v>11</v>
      </c>
    </row>
    <row r="1382" ht="12.75" customHeight="1">
      <c r="A1382" s="2">
        <v>2014.0</v>
      </c>
      <c r="B1382" s="2">
        <v>5.0</v>
      </c>
      <c r="C1382" s="2">
        <v>17.0</v>
      </c>
      <c r="D1382" s="2" t="s">
        <v>659</v>
      </c>
      <c r="E1382" s="2">
        <v>-340.0</v>
      </c>
      <c r="F1382" s="2">
        <v>0.0</v>
      </c>
      <c r="G1382" s="2">
        <f t="shared" si="1"/>
        <v>-340</v>
      </c>
      <c r="H1382" s="2" t="s">
        <v>47</v>
      </c>
      <c r="L1382" s="2" t="s">
        <v>11</v>
      </c>
    </row>
    <row r="1383" ht="12.75" customHeight="1">
      <c r="A1383" s="2">
        <v>2014.0</v>
      </c>
      <c r="B1383" s="2">
        <v>5.0</v>
      </c>
      <c r="C1383" s="2">
        <v>16.0</v>
      </c>
      <c r="D1383" s="2" t="s">
        <v>660</v>
      </c>
      <c r="E1383" s="2">
        <v>-120.0</v>
      </c>
      <c r="F1383" s="2">
        <v>0.0</v>
      </c>
      <c r="G1383" s="2">
        <f t="shared" si="1"/>
        <v>-120</v>
      </c>
      <c r="H1383" s="2" t="s">
        <v>35</v>
      </c>
      <c r="L1383" s="2" t="s">
        <v>11</v>
      </c>
    </row>
    <row r="1384" ht="12.75" customHeight="1">
      <c r="A1384" s="2">
        <v>2014.0</v>
      </c>
      <c r="B1384" s="2">
        <v>5.0</v>
      </c>
      <c r="C1384" s="2">
        <v>15.0</v>
      </c>
      <c r="D1384" s="2" t="s">
        <v>94</v>
      </c>
      <c r="E1384" s="2">
        <v>99.0</v>
      </c>
      <c r="F1384" s="2">
        <v>0.0</v>
      </c>
      <c r="G1384" s="2">
        <f t="shared" si="1"/>
        <v>99</v>
      </c>
      <c r="H1384" s="2" t="s">
        <v>164</v>
      </c>
      <c r="L1384" s="2" t="s">
        <v>11</v>
      </c>
    </row>
    <row r="1385" ht="12.75" customHeight="1">
      <c r="A1385" s="2">
        <v>2014.0</v>
      </c>
      <c r="B1385" s="2">
        <v>5.0</v>
      </c>
      <c r="C1385" s="2">
        <v>15.0</v>
      </c>
      <c r="D1385" s="2" t="s">
        <v>465</v>
      </c>
      <c r="E1385" s="2">
        <v>-60.0</v>
      </c>
      <c r="F1385" s="2">
        <v>0.0</v>
      </c>
      <c r="G1385" s="2">
        <f t="shared" si="1"/>
        <v>-60</v>
      </c>
      <c r="H1385" s="2" t="s">
        <v>47</v>
      </c>
      <c r="L1385" s="2" t="s">
        <v>11</v>
      </c>
    </row>
    <row r="1386" ht="12.75" customHeight="1">
      <c r="A1386" s="2">
        <v>2014.0</v>
      </c>
      <c r="B1386" s="2">
        <v>5.0</v>
      </c>
      <c r="C1386" s="2">
        <v>14.0</v>
      </c>
      <c r="D1386" s="2" t="s">
        <v>465</v>
      </c>
      <c r="E1386" s="2">
        <v>-60.0</v>
      </c>
      <c r="F1386" s="2">
        <v>0.0</v>
      </c>
      <c r="G1386" s="2">
        <f t="shared" si="1"/>
        <v>-60</v>
      </c>
      <c r="H1386" s="2" t="s">
        <v>47</v>
      </c>
      <c r="L1386" s="2" t="s">
        <v>11</v>
      </c>
    </row>
    <row r="1387" ht="12.75" customHeight="1">
      <c r="A1387" s="2">
        <v>2014.0</v>
      </c>
      <c r="B1387" s="2">
        <v>5.0</v>
      </c>
      <c r="C1387" s="2">
        <v>13.0</v>
      </c>
      <c r="D1387" s="2" t="s">
        <v>661</v>
      </c>
      <c r="E1387" s="2">
        <v>-99.0</v>
      </c>
      <c r="F1387" s="2">
        <v>0.0</v>
      </c>
      <c r="G1387" s="2">
        <f t="shared" si="1"/>
        <v>-99</v>
      </c>
      <c r="H1387" s="2" t="s">
        <v>164</v>
      </c>
      <c r="L1387" s="2" t="s">
        <v>11</v>
      </c>
    </row>
    <row r="1388" ht="12.75" customHeight="1">
      <c r="A1388" s="2">
        <v>2014.0</v>
      </c>
      <c r="B1388" s="2">
        <v>5.0</v>
      </c>
      <c r="C1388" s="2">
        <v>13.0</v>
      </c>
      <c r="D1388" s="2" t="s">
        <v>465</v>
      </c>
      <c r="E1388" s="2">
        <v>-60.0</v>
      </c>
      <c r="F1388" s="2">
        <v>0.0</v>
      </c>
      <c r="G1388" s="2">
        <f t="shared" si="1"/>
        <v>-60</v>
      </c>
      <c r="H1388" s="2" t="s">
        <v>47</v>
      </c>
      <c r="L1388" s="2" t="s">
        <v>11</v>
      </c>
    </row>
    <row r="1389" ht="12.75" customHeight="1">
      <c r="A1389" s="2">
        <v>2014.0</v>
      </c>
      <c r="B1389" s="2">
        <v>5.0</v>
      </c>
      <c r="C1389" s="2">
        <v>10.0</v>
      </c>
      <c r="D1389" s="2" t="s">
        <v>629</v>
      </c>
      <c r="E1389" s="2">
        <v>-300.0</v>
      </c>
      <c r="F1389" s="2">
        <v>0.0</v>
      </c>
      <c r="G1389" s="2">
        <f t="shared" si="1"/>
        <v>-300</v>
      </c>
      <c r="H1389" s="2" t="s">
        <v>52</v>
      </c>
      <c r="L1389" s="2" t="s">
        <v>11</v>
      </c>
    </row>
    <row r="1390" ht="12.75" customHeight="1">
      <c r="A1390" s="2">
        <v>2014.0</v>
      </c>
      <c r="B1390" s="2">
        <v>5.0</v>
      </c>
      <c r="C1390" s="2">
        <v>10.0</v>
      </c>
      <c r="D1390" s="2" t="s">
        <v>589</v>
      </c>
      <c r="E1390" s="2">
        <v>-185.0</v>
      </c>
      <c r="F1390" s="2">
        <v>0.0</v>
      </c>
      <c r="G1390" s="2">
        <f t="shared" si="1"/>
        <v>-185</v>
      </c>
      <c r="H1390" s="2" t="s">
        <v>52</v>
      </c>
      <c r="L1390" s="2" t="s">
        <v>11</v>
      </c>
    </row>
    <row r="1391" ht="12.75" customHeight="1">
      <c r="A1391" s="2">
        <v>2014.0</v>
      </c>
      <c r="B1391" s="2">
        <v>5.0</v>
      </c>
      <c r="C1391" s="2">
        <v>10.0</v>
      </c>
      <c r="D1391" s="2" t="s">
        <v>662</v>
      </c>
      <c r="E1391" s="2">
        <v>-255.5</v>
      </c>
      <c r="F1391" s="2">
        <v>0.0</v>
      </c>
      <c r="G1391" s="2">
        <f t="shared" si="1"/>
        <v>-255.5</v>
      </c>
      <c r="H1391" s="2" t="s">
        <v>52</v>
      </c>
      <c r="L1391" s="2" t="s">
        <v>11</v>
      </c>
    </row>
    <row r="1392" ht="12.75" customHeight="1">
      <c r="A1392" s="2">
        <v>2014.0</v>
      </c>
      <c r="B1392" s="2">
        <v>5.0</v>
      </c>
      <c r="C1392" s="2">
        <v>10.0</v>
      </c>
      <c r="D1392" s="2" t="s">
        <v>546</v>
      </c>
      <c r="E1392" s="2">
        <v>-46.0</v>
      </c>
      <c r="F1392" s="2">
        <v>0.0</v>
      </c>
      <c r="G1392" s="2">
        <f t="shared" si="1"/>
        <v>-46</v>
      </c>
      <c r="H1392" s="2" t="s">
        <v>52</v>
      </c>
      <c r="L1392" s="2" t="s">
        <v>11</v>
      </c>
    </row>
    <row r="1393" ht="12.75" customHeight="1">
      <c r="A1393" s="2">
        <v>2014.0</v>
      </c>
      <c r="B1393" s="2">
        <v>5.0</v>
      </c>
      <c r="C1393" s="2">
        <v>10.0</v>
      </c>
      <c r="D1393" s="2" t="s">
        <v>546</v>
      </c>
      <c r="E1393" s="2">
        <v>-230.0</v>
      </c>
      <c r="F1393" s="2">
        <v>0.0</v>
      </c>
      <c r="G1393" s="2">
        <f t="shared" si="1"/>
        <v>-230</v>
      </c>
      <c r="H1393" s="2" t="s">
        <v>52</v>
      </c>
      <c r="L1393" s="2" t="s">
        <v>11</v>
      </c>
    </row>
    <row r="1394" ht="12.75" customHeight="1">
      <c r="A1394" s="2">
        <v>2014.0</v>
      </c>
      <c r="B1394" s="2">
        <v>5.0</v>
      </c>
      <c r="C1394" s="2">
        <v>10.0</v>
      </c>
      <c r="D1394" s="2" t="s">
        <v>546</v>
      </c>
      <c r="E1394" s="2">
        <v>-184.0</v>
      </c>
      <c r="F1394" s="2">
        <v>0.0</v>
      </c>
      <c r="G1394" s="2">
        <f t="shared" si="1"/>
        <v>-184</v>
      </c>
      <c r="H1394" s="2" t="s">
        <v>52</v>
      </c>
      <c r="L1394" s="2" t="s">
        <v>11</v>
      </c>
    </row>
    <row r="1395" ht="12.75" customHeight="1">
      <c r="A1395" s="2">
        <v>2014.0</v>
      </c>
      <c r="B1395" s="2">
        <v>5.0</v>
      </c>
      <c r="C1395" s="2">
        <v>10.0</v>
      </c>
      <c r="D1395" s="2" t="s">
        <v>546</v>
      </c>
      <c r="E1395" s="2">
        <v>-128.0</v>
      </c>
      <c r="F1395" s="2">
        <v>0.0</v>
      </c>
      <c r="G1395" s="2">
        <f t="shared" si="1"/>
        <v>-128</v>
      </c>
      <c r="H1395" s="2" t="s">
        <v>52</v>
      </c>
      <c r="L1395" s="2" t="s">
        <v>11</v>
      </c>
    </row>
    <row r="1396" ht="12.75" customHeight="1">
      <c r="A1396" s="2">
        <v>2014.0</v>
      </c>
      <c r="B1396" s="2">
        <v>5.0</v>
      </c>
      <c r="C1396" s="2">
        <v>9.0</v>
      </c>
      <c r="D1396" s="2" t="s">
        <v>629</v>
      </c>
      <c r="E1396" s="2">
        <v>-148.0</v>
      </c>
      <c r="F1396" s="2">
        <v>0.0</v>
      </c>
      <c r="G1396" s="2">
        <f t="shared" si="1"/>
        <v>-148</v>
      </c>
      <c r="H1396" s="2" t="s">
        <v>52</v>
      </c>
      <c r="L1396" s="2" t="s">
        <v>11</v>
      </c>
    </row>
    <row r="1397" ht="12.75" customHeight="1">
      <c r="A1397" s="2">
        <v>2014.0</v>
      </c>
      <c r="B1397" s="2">
        <v>5.0</v>
      </c>
      <c r="C1397" s="2">
        <v>9.0</v>
      </c>
      <c r="D1397" s="2" t="s">
        <v>546</v>
      </c>
      <c r="E1397" s="2">
        <v>-46.0</v>
      </c>
      <c r="F1397" s="2">
        <v>-46.0</v>
      </c>
      <c r="G1397" s="2">
        <f t="shared" si="1"/>
        <v>-46</v>
      </c>
      <c r="H1397" s="2" t="s">
        <v>52</v>
      </c>
      <c r="L1397" s="2" t="s">
        <v>11</v>
      </c>
    </row>
    <row r="1398" ht="12.75" customHeight="1">
      <c r="A1398" s="2">
        <v>2014.0</v>
      </c>
      <c r="B1398" s="2">
        <v>5.0</v>
      </c>
      <c r="C1398" s="2">
        <v>9.0</v>
      </c>
      <c r="D1398" s="2" t="s">
        <v>546</v>
      </c>
      <c r="E1398" s="2">
        <v>-46.0</v>
      </c>
      <c r="F1398" s="2">
        <v>0.0</v>
      </c>
      <c r="G1398" s="2">
        <f t="shared" si="1"/>
        <v>-46</v>
      </c>
      <c r="H1398" s="2" t="s">
        <v>52</v>
      </c>
      <c r="L1398" s="2" t="s">
        <v>11</v>
      </c>
    </row>
    <row r="1399" ht="12.75" customHeight="1">
      <c r="A1399" s="2">
        <v>2014.0</v>
      </c>
      <c r="B1399" s="2">
        <v>5.0</v>
      </c>
      <c r="C1399" s="2">
        <v>9.0</v>
      </c>
      <c r="D1399" s="2" t="s">
        <v>546</v>
      </c>
      <c r="E1399" s="2">
        <v>-154.0</v>
      </c>
      <c r="F1399" s="2">
        <v>0.0</v>
      </c>
      <c r="G1399" s="2">
        <f t="shared" si="1"/>
        <v>-154</v>
      </c>
      <c r="H1399" s="2" t="s">
        <v>52</v>
      </c>
      <c r="L1399" s="2" t="s">
        <v>11</v>
      </c>
    </row>
    <row r="1400" ht="12.75" customHeight="1">
      <c r="A1400" s="2">
        <v>2014.0</v>
      </c>
      <c r="B1400" s="2">
        <v>5.0</v>
      </c>
      <c r="C1400" s="2">
        <v>9.0</v>
      </c>
      <c r="D1400" s="2" t="s">
        <v>546</v>
      </c>
      <c r="E1400" s="2">
        <v>-149.0</v>
      </c>
      <c r="F1400" s="2">
        <v>0.0</v>
      </c>
      <c r="G1400" s="2">
        <f t="shared" si="1"/>
        <v>-149</v>
      </c>
      <c r="H1400" s="2" t="s">
        <v>52</v>
      </c>
      <c r="L1400" s="2" t="s">
        <v>11</v>
      </c>
    </row>
    <row r="1401" ht="12.75" customHeight="1">
      <c r="A1401" s="2">
        <v>2014.0</v>
      </c>
      <c r="B1401" s="2">
        <v>5.0</v>
      </c>
      <c r="C1401" s="2">
        <v>9.0</v>
      </c>
      <c r="D1401" s="2" t="s">
        <v>663</v>
      </c>
      <c r="E1401" s="2">
        <v>-300.0</v>
      </c>
      <c r="F1401" s="2">
        <v>0.0</v>
      </c>
      <c r="G1401" s="2">
        <f t="shared" si="1"/>
        <v>-300</v>
      </c>
      <c r="H1401" s="2" t="s">
        <v>47</v>
      </c>
      <c r="L1401" s="2" t="s">
        <v>11</v>
      </c>
    </row>
    <row r="1402" ht="12.75" customHeight="1">
      <c r="A1402" s="2">
        <v>2014.0</v>
      </c>
      <c r="B1402" s="2">
        <v>5.0</v>
      </c>
      <c r="C1402" s="2">
        <v>9.0</v>
      </c>
      <c r="D1402" s="2" t="s">
        <v>664</v>
      </c>
      <c r="E1402" s="2">
        <v>-46.0</v>
      </c>
      <c r="F1402" s="2">
        <v>0.0</v>
      </c>
      <c r="G1402" s="2">
        <f t="shared" si="1"/>
        <v>-46</v>
      </c>
      <c r="H1402" s="2" t="s">
        <v>52</v>
      </c>
      <c r="L1402" s="2" t="s">
        <v>11</v>
      </c>
    </row>
    <row r="1403" ht="12.75" customHeight="1">
      <c r="A1403" s="2">
        <v>2014.0</v>
      </c>
      <c r="B1403" s="2">
        <v>5.0</v>
      </c>
      <c r="C1403" s="2">
        <v>9.0</v>
      </c>
      <c r="D1403" s="2" t="s">
        <v>665</v>
      </c>
      <c r="E1403" s="2">
        <v>-102.0</v>
      </c>
      <c r="F1403" s="2">
        <v>0.0</v>
      </c>
      <c r="G1403" s="2">
        <f t="shared" si="1"/>
        <v>-102</v>
      </c>
      <c r="H1403" s="2" t="s">
        <v>42</v>
      </c>
      <c r="L1403" s="2" t="s">
        <v>11</v>
      </c>
    </row>
    <row r="1404" ht="12.75" customHeight="1">
      <c r="A1404" s="2">
        <v>2014.0</v>
      </c>
      <c r="B1404" s="2">
        <v>5.0</v>
      </c>
      <c r="C1404" s="2">
        <v>8.0</v>
      </c>
      <c r="D1404" s="2" t="s">
        <v>465</v>
      </c>
      <c r="E1404" s="2">
        <v>-60.0</v>
      </c>
      <c r="F1404" s="2">
        <v>0.0</v>
      </c>
      <c r="G1404" s="2">
        <f t="shared" si="1"/>
        <v>-60</v>
      </c>
      <c r="H1404" s="2" t="s">
        <v>47</v>
      </c>
      <c r="L1404" s="2" t="s">
        <v>11</v>
      </c>
    </row>
    <row r="1405" ht="12.75" customHeight="1">
      <c r="A1405" s="2">
        <v>2014.0</v>
      </c>
      <c r="B1405" s="2">
        <v>5.0</v>
      </c>
      <c r="C1405" s="2">
        <v>7.0</v>
      </c>
      <c r="D1405" s="2" t="s">
        <v>465</v>
      </c>
      <c r="E1405" s="2">
        <v>-60.0</v>
      </c>
      <c r="F1405" s="2">
        <v>0.0</v>
      </c>
      <c r="G1405" s="2">
        <f t="shared" si="1"/>
        <v>-60</v>
      </c>
      <c r="H1405" s="2" t="s">
        <v>47</v>
      </c>
      <c r="L1405" s="2" t="s">
        <v>11</v>
      </c>
    </row>
    <row r="1406" ht="12.75" customHeight="1">
      <c r="A1406" s="2">
        <v>2014.0</v>
      </c>
      <c r="B1406" s="2">
        <v>5.0</v>
      </c>
      <c r="C1406" s="2">
        <v>7.0</v>
      </c>
      <c r="D1406" s="2" t="s">
        <v>102</v>
      </c>
      <c r="E1406" s="2">
        <v>-203.0</v>
      </c>
      <c r="F1406" s="2">
        <v>0.0</v>
      </c>
      <c r="G1406" s="2">
        <f t="shared" si="1"/>
        <v>-203</v>
      </c>
      <c r="H1406" s="2" t="s">
        <v>103</v>
      </c>
      <c r="L1406" s="2" t="s">
        <v>11</v>
      </c>
    </row>
    <row r="1407" ht="12.75" customHeight="1">
      <c r="A1407" s="2">
        <v>2014.0</v>
      </c>
      <c r="B1407" s="2">
        <v>5.0</v>
      </c>
      <c r="C1407" s="2">
        <v>6.0</v>
      </c>
      <c r="D1407" s="2" t="s">
        <v>465</v>
      </c>
      <c r="E1407" s="2">
        <v>-60.0</v>
      </c>
      <c r="F1407" s="2">
        <v>0.0</v>
      </c>
      <c r="G1407" s="2">
        <f t="shared" si="1"/>
        <v>-60</v>
      </c>
      <c r="H1407" s="2" t="s">
        <v>47</v>
      </c>
      <c r="L1407" s="2" t="s">
        <v>11</v>
      </c>
    </row>
    <row r="1408" ht="12.75" customHeight="1">
      <c r="A1408" s="2">
        <v>2014.0</v>
      </c>
      <c r="B1408" s="2">
        <v>5.0</v>
      </c>
      <c r="C1408" s="2">
        <v>6.0</v>
      </c>
      <c r="D1408" s="2" t="s">
        <v>77</v>
      </c>
      <c r="E1408" s="2">
        <v>5.0</v>
      </c>
      <c r="F1408" s="2">
        <v>0.0</v>
      </c>
      <c r="G1408" s="2">
        <f t="shared" si="1"/>
        <v>5</v>
      </c>
      <c r="H1408" s="2" t="s">
        <v>47</v>
      </c>
      <c r="L1408" s="2" t="s">
        <v>11</v>
      </c>
    </row>
    <row r="1409" ht="12.75" customHeight="1">
      <c r="A1409" s="2">
        <v>2014.0</v>
      </c>
      <c r="B1409" s="2">
        <v>5.0</v>
      </c>
      <c r="C1409" s="2">
        <v>5.0</v>
      </c>
      <c r="D1409" s="2" t="s">
        <v>465</v>
      </c>
      <c r="E1409" s="2">
        <v>-60.0</v>
      </c>
      <c r="F1409" s="2">
        <v>0.0</v>
      </c>
      <c r="G1409" s="2">
        <f t="shared" si="1"/>
        <v>-60</v>
      </c>
      <c r="H1409" s="2" t="s">
        <v>47</v>
      </c>
      <c r="L1409" s="2" t="s">
        <v>11</v>
      </c>
    </row>
    <row r="1410" ht="12.75" customHeight="1">
      <c r="A1410" s="2">
        <v>2014.0</v>
      </c>
      <c r="B1410" s="2">
        <v>5.0</v>
      </c>
      <c r="C1410" s="2">
        <v>5.0</v>
      </c>
      <c r="D1410" s="2" t="s">
        <v>666</v>
      </c>
      <c r="E1410" s="2">
        <v>-99.0</v>
      </c>
      <c r="F1410" s="2">
        <v>0.0</v>
      </c>
      <c r="G1410" s="2">
        <f t="shared" si="1"/>
        <v>-99</v>
      </c>
      <c r="H1410" s="2" t="s">
        <v>47</v>
      </c>
      <c r="L1410" s="2" t="s">
        <v>11</v>
      </c>
    </row>
    <row r="1411" ht="12.75" customHeight="1">
      <c r="A1411" s="2">
        <v>2014.0</v>
      </c>
      <c r="B1411" s="2">
        <v>5.0</v>
      </c>
      <c r="C1411" s="2">
        <v>5.0</v>
      </c>
      <c r="D1411" s="2" t="s">
        <v>77</v>
      </c>
      <c r="E1411" s="2">
        <v>110.0</v>
      </c>
      <c r="F1411" s="2">
        <v>0.0</v>
      </c>
      <c r="G1411" s="2">
        <f t="shared" si="1"/>
        <v>110</v>
      </c>
      <c r="H1411" s="2" t="s">
        <v>47</v>
      </c>
      <c r="L1411" s="2" t="s">
        <v>11</v>
      </c>
    </row>
    <row r="1412" ht="12.75" customHeight="1">
      <c r="A1412" s="2">
        <v>2014.0</v>
      </c>
      <c r="B1412" s="2">
        <v>5.0</v>
      </c>
      <c r="C1412" s="2">
        <v>4.0</v>
      </c>
      <c r="D1412" s="2" t="s">
        <v>496</v>
      </c>
      <c r="E1412" s="2">
        <v>-130.0</v>
      </c>
      <c r="F1412" s="2">
        <v>0.0</v>
      </c>
      <c r="G1412" s="2">
        <f t="shared" si="1"/>
        <v>-130</v>
      </c>
      <c r="H1412" s="2" t="s">
        <v>47</v>
      </c>
      <c r="L1412" s="2" t="s">
        <v>11</v>
      </c>
    </row>
    <row r="1413" ht="12.75" customHeight="1">
      <c r="A1413" s="2">
        <v>2014.0</v>
      </c>
      <c r="B1413" s="2">
        <v>5.0</v>
      </c>
      <c r="C1413" s="2">
        <v>3.0</v>
      </c>
      <c r="D1413" s="2" t="s">
        <v>577</v>
      </c>
      <c r="E1413" s="2">
        <v>-79.0</v>
      </c>
      <c r="F1413" s="2">
        <v>0.0</v>
      </c>
      <c r="G1413" s="2">
        <f t="shared" si="1"/>
        <v>-79</v>
      </c>
      <c r="H1413" s="2" t="s">
        <v>47</v>
      </c>
      <c r="L1413" s="2" t="s">
        <v>11</v>
      </c>
    </row>
    <row r="1414" ht="12.75" customHeight="1">
      <c r="A1414" s="2">
        <v>2014.0</v>
      </c>
      <c r="B1414" s="2">
        <v>5.0</v>
      </c>
      <c r="C1414" s="2">
        <v>2.0</v>
      </c>
      <c r="D1414" s="2" t="s">
        <v>427</v>
      </c>
      <c r="E1414" s="2">
        <v>-469.0</v>
      </c>
      <c r="F1414" s="2">
        <v>0.0</v>
      </c>
      <c r="G1414" s="2">
        <f t="shared" si="1"/>
        <v>-469</v>
      </c>
      <c r="H1414" s="2" t="s">
        <v>428</v>
      </c>
      <c r="L1414" s="2" t="s">
        <v>11</v>
      </c>
    </row>
    <row r="1415" ht="12.75" customHeight="1">
      <c r="A1415" s="2">
        <v>2014.0</v>
      </c>
      <c r="B1415" s="2">
        <v>5.0</v>
      </c>
      <c r="C1415" s="2">
        <v>2.0</v>
      </c>
      <c r="D1415" s="2" t="s">
        <v>157</v>
      </c>
      <c r="E1415" s="2">
        <v>-119.0</v>
      </c>
      <c r="F1415" s="2">
        <v>0.0</v>
      </c>
      <c r="G1415" s="2">
        <f t="shared" si="1"/>
        <v>-119</v>
      </c>
      <c r="H1415" s="2" t="s">
        <v>17</v>
      </c>
      <c r="L1415" s="2" t="s">
        <v>11</v>
      </c>
    </row>
    <row r="1416" ht="12.75" customHeight="1">
      <c r="A1416" s="2">
        <v>2014.0</v>
      </c>
      <c r="B1416" s="2">
        <v>5.0</v>
      </c>
      <c r="C1416" s="2">
        <v>2.0</v>
      </c>
      <c r="D1416" s="2" t="s">
        <v>73</v>
      </c>
      <c r="E1416" s="2">
        <v>-6127.0</v>
      </c>
      <c r="F1416" s="2">
        <v>0.0</v>
      </c>
      <c r="G1416" s="2">
        <f t="shared" si="1"/>
        <v>-6127</v>
      </c>
      <c r="H1416" s="2" t="s">
        <v>10</v>
      </c>
      <c r="L1416" s="2" t="s">
        <v>11</v>
      </c>
    </row>
    <row r="1417" ht="12.75" customHeight="1">
      <c r="A1417" s="2">
        <v>2014.0</v>
      </c>
      <c r="B1417" s="2">
        <v>5.0</v>
      </c>
      <c r="C1417" s="2">
        <v>1.0</v>
      </c>
      <c r="D1417" s="2" t="s">
        <v>667</v>
      </c>
      <c r="E1417" s="2">
        <v>-400.0</v>
      </c>
      <c r="F1417" s="2">
        <v>0.0</v>
      </c>
      <c r="G1417" s="2">
        <f t="shared" si="1"/>
        <v>-400</v>
      </c>
      <c r="H1417" s="2" t="s">
        <v>47</v>
      </c>
      <c r="L1417" s="2" t="s">
        <v>11</v>
      </c>
    </row>
    <row r="1418" ht="12.75" customHeight="1">
      <c r="A1418" s="2">
        <v>2014.0</v>
      </c>
      <c r="B1418" s="2">
        <v>5.0</v>
      </c>
      <c r="C1418" s="2">
        <v>1.0</v>
      </c>
      <c r="D1418" s="2" t="s">
        <v>668</v>
      </c>
      <c r="E1418" s="2">
        <v>-120.0</v>
      </c>
      <c r="F1418" s="2">
        <v>0.0</v>
      </c>
      <c r="G1418" s="2">
        <f t="shared" si="1"/>
        <v>-120</v>
      </c>
      <c r="H1418" s="2" t="s">
        <v>47</v>
      </c>
      <c r="L1418" s="2" t="s">
        <v>11</v>
      </c>
    </row>
    <row r="1419" ht="12.75" customHeight="1">
      <c r="A1419" s="2">
        <v>2014.0</v>
      </c>
      <c r="B1419" s="2">
        <v>5.0</v>
      </c>
      <c r="C1419" s="2">
        <v>1.0</v>
      </c>
      <c r="D1419" s="2" t="s">
        <v>665</v>
      </c>
      <c r="E1419" s="2">
        <v>-48.0</v>
      </c>
      <c r="F1419" s="2">
        <v>0.0</v>
      </c>
      <c r="G1419" s="2">
        <f t="shared" si="1"/>
        <v>-48</v>
      </c>
      <c r="H1419" s="2" t="s">
        <v>42</v>
      </c>
      <c r="L1419" s="2" t="s">
        <v>11</v>
      </c>
    </row>
    <row r="1420" ht="12.75" customHeight="1">
      <c r="A1420" s="2">
        <v>2014.0</v>
      </c>
      <c r="B1420" s="2">
        <v>5.0</v>
      </c>
      <c r="C1420" s="2">
        <v>1.0</v>
      </c>
      <c r="D1420" s="2" t="s">
        <v>479</v>
      </c>
      <c r="E1420" s="2">
        <v>-110.0</v>
      </c>
      <c r="F1420" s="2">
        <v>0.0</v>
      </c>
      <c r="G1420" s="2">
        <f t="shared" si="1"/>
        <v>-110</v>
      </c>
      <c r="H1420" s="2" t="s">
        <v>42</v>
      </c>
      <c r="L1420" s="2" t="s">
        <v>11</v>
      </c>
    </row>
    <row r="1421" ht="12.75" customHeight="1">
      <c r="A1421" s="2">
        <v>2014.0</v>
      </c>
      <c r="B1421" s="2">
        <v>4.0</v>
      </c>
      <c r="C1421" s="2">
        <v>30.0</v>
      </c>
      <c r="D1421" s="2" t="s">
        <v>12</v>
      </c>
      <c r="E1421" s="2">
        <v>-8206.9</v>
      </c>
      <c r="F1421" s="2">
        <v>0.0</v>
      </c>
      <c r="G1421" s="2">
        <f t="shared" si="1"/>
        <v>-8206.9</v>
      </c>
      <c r="H1421" s="2" t="s">
        <v>28</v>
      </c>
      <c r="L1421" s="2" t="s">
        <v>228</v>
      </c>
    </row>
    <row r="1422" ht="12.75" customHeight="1">
      <c r="A1422" s="2">
        <v>2014.0</v>
      </c>
      <c r="B1422" s="2">
        <v>4.0</v>
      </c>
      <c r="C1422" s="2">
        <v>30.0</v>
      </c>
      <c r="D1422" s="2" t="s">
        <v>663</v>
      </c>
      <c r="E1422" s="2">
        <v>-150.0</v>
      </c>
      <c r="F1422" s="2">
        <v>0.0</v>
      </c>
      <c r="G1422" s="2">
        <f t="shared" si="1"/>
        <v>-150</v>
      </c>
      <c r="H1422" s="2" t="s">
        <v>47</v>
      </c>
      <c r="L1422" s="2" t="s">
        <v>11</v>
      </c>
    </row>
    <row r="1423" ht="12.75" customHeight="1">
      <c r="A1423" s="2">
        <v>2014.0</v>
      </c>
      <c r="B1423" s="2">
        <v>4.0</v>
      </c>
      <c r="C1423" s="2">
        <v>30.0</v>
      </c>
      <c r="D1423" s="2" t="s">
        <v>669</v>
      </c>
      <c r="E1423" s="2">
        <v>1000.0</v>
      </c>
      <c r="F1423" s="2">
        <v>0.0</v>
      </c>
      <c r="G1423" s="2">
        <f t="shared" si="1"/>
        <v>1000</v>
      </c>
      <c r="H1423" s="2" t="s">
        <v>31</v>
      </c>
      <c r="L1423" s="2" t="s">
        <v>11</v>
      </c>
    </row>
    <row r="1424" ht="12.75" customHeight="1">
      <c r="A1424" s="2">
        <v>2014.0</v>
      </c>
      <c r="B1424" s="2">
        <v>4.0</v>
      </c>
      <c r="C1424" s="2">
        <v>30.0</v>
      </c>
      <c r="D1424" s="2" t="s">
        <v>14</v>
      </c>
      <c r="E1424" s="2">
        <v>-4007.0</v>
      </c>
      <c r="F1424" s="2">
        <v>0.0</v>
      </c>
      <c r="G1424" s="2">
        <f t="shared" si="1"/>
        <v>-4007</v>
      </c>
      <c r="H1424" s="2" t="s">
        <v>10</v>
      </c>
      <c r="L1424" s="2" t="s">
        <v>11</v>
      </c>
    </row>
    <row r="1425" ht="12.75" customHeight="1">
      <c r="A1425" s="2">
        <v>2014.0</v>
      </c>
      <c r="B1425" s="2">
        <v>4.0</v>
      </c>
      <c r="C1425" s="2">
        <v>30.0</v>
      </c>
      <c r="D1425" s="2" t="s">
        <v>15</v>
      </c>
      <c r="E1425" s="2">
        <v>-207.8</v>
      </c>
      <c r="F1425" s="2">
        <v>0.0</v>
      </c>
      <c r="G1425" s="2">
        <f t="shared" si="1"/>
        <v>-207.8</v>
      </c>
      <c r="H1425" s="2" t="s">
        <v>10</v>
      </c>
      <c r="L1425" s="2" t="s">
        <v>11</v>
      </c>
    </row>
    <row r="1426" ht="12.75" customHeight="1">
      <c r="A1426" s="2">
        <v>2014.0</v>
      </c>
      <c r="B1426" s="2">
        <v>4.0</v>
      </c>
      <c r="C1426" s="2">
        <v>30.0</v>
      </c>
      <c r="D1426" s="2" t="s">
        <v>467</v>
      </c>
      <c r="E1426" s="2">
        <v>-800.0</v>
      </c>
      <c r="F1426" s="2">
        <v>0.0</v>
      </c>
      <c r="G1426" s="2">
        <f t="shared" si="1"/>
        <v>-800</v>
      </c>
      <c r="H1426" s="2" t="s">
        <v>38</v>
      </c>
      <c r="L1426" s="2" t="s">
        <v>11</v>
      </c>
    </row>
    <row r="1427" ht="12.75" customHeight="1">
      <c r="A1427" s="2">
        <v>2014.0</v>
      </c>
      <c r="B1427" s="2">
        <v>4.0</v>
      </c>
      <c r="C1427" s="2">
        <v>30.0</v>
      </c>
      <c r="D1427" s="2" t="s">
        <v>23</v>
      </c>
      <c r="E1427" s="2">
        <v>-285.0</v>
      </c>
      <c r="F1427" s="2">
        <v>0.0</v>
      </c>
      <c r="G1427" s="2">
        <f t="shared" si="1"/>
        <v>-285</v>
      </c>
      <c r="H1427" s="2" t="s">
        <v>24</v>
      </c>
      <c r="L1427" s="2" t="s">
        <v>11</v>
      </c>
    </row>
    <row r="1428" ht="12.75" customHeight="1">
      <c r="A1428" s="2">
        <v>2014.0</v>
      </c>
      <c r="B1428" s="2">
        <v>4.0</v>
      </c>
      <c r="C1428" s="2">
        <v>30.0</v>
      </c>
      <c r="D1428" s="2">
        <v>4.7516877E7</v>
      </c>
      <c r="E1428" s="2">
        <v>1000.0</v>
      </c>
      <c r="F1428" s="2">
        <v>0.0</v>
      </c>
      <c r="G1428" s="2">
        <f t="shared" si="1"/>
        <v>1000</v>
      </c>
      <c r="H1428" s="2" t="s">
        <v>18</v>
      </c>
      <c r="L1428" s="2" t="s">
        <v>11</v>
      </c>
    </row>
    <row r="1429" ht="12.75" customHeight="1">
      <c r="A1429" s="2">
        <v>2014.0</v>
      </c>
      <c r="B1429" s="2">
        <v>4.0</v>
      </c>
      <c r="C1429" s="2">
        <v>29.0</v>
      </c>
      <c r="D1429" s="2" t="s">
        <v>94</v>
      </c>
      <c r="E1429" s="2">
        <v>204.7</v>
      </c>
      <c r="F1429" s="2">
        <v>0.0</v>
      </c>
      <c r="G1429" s="2">
        <f t="shared" si="1"/>
        <v>204.7</v>
      </c>
      <c r="H1429" s="2" t="s">
        <v>13</v>
      </c>
      <c r="L1429" s="2" t="s">
        <v>11</v>
      </c>
    </row>
    <row r="1430" ht="12.75" customHeight="1">
      <c r="A1430" s="2">
        <v>2014.0</v>
      </c>
      <c r="B1430" s="2">
        <v>4.0</v>
      </c>
      <c r="C1430" s="2">
        <v>29.0</v>
      </c>
      <c r="D1430" s="2" t="s">
        <v>465</v>
      </c>
      <c r="E1430" s="2">
        <v>-60.0</v>
      </c>
      <c r="F1430" s="2">
        <v>0.0</v>
      </c>
      <c r="G1430" s="2">
        <f t="shared" si="1"/>
        <v>-60</v>
      </c>
      <c r="H1430" s="2" t="s">
        <v>47</v>
      </c>
      <c r="L1430" s="2" t="s">
        <v>11</v>
      </c>
    </row>
    <row r="1431" ht="12.75" customHeight="1">
      <c r="A1431" s="2">
        <v>2014.0</v>
      </c>
      <c r="B1431" s="2">
        <v>4.0</v>
      </c>
      <c r="C1431" s="2">
        <v>29.0</v>
      </c>
      <c r="D1431" s="2" t="s">
        <v>670</v>
      </c>
      <c r="E1431" s="2">
        <v>150.0</v>
      </c>
      <c r="F1431" s="2">
        <v>0.0</v>
      </c>
      <c r="G1431" s="2">
        <f t="shared" si="1"/>
        <v>150</v>
      </c>
      <c r="H1431" s="2" t="s">
        <v>47</v>
      </c>
      <c r="L1431" s="2" t="s">
        <v>11</v>
      </c>
    </row>
    <row r="1432" ht="12.75" customHeight="1">
      <c r="A1432" s="2">
        <v>2014.0</v>
      </c>
      <c r="B1432" s="2">
        <v>4.0</v>
      </c>
      <c r="C1432" s="2">
        <v>29.0</v>
      </c>
      <c r="D1432" s="2" t="s">
        <v>19</v>
      </c>
      <c r="E1432" s="2">
        <v>-320.0</v>
      </c>
      <c r="F1432" s="2">
        <v>0.0</v>
      </c>
      <c r="G1432" s="2">
        <f t="shared" si="1"/>
        <v>-320</v>
      </c>
      <c r="H1432" s="2" t="s">
        <v>20</v>
      </c>
      <c r="L1432" s="2" t="s">
        <v>11</v>
      </c>
    </row>
    <row r="1433" ht="12.75" customHeight="1">
      <c r="A1433" s="2">
        <v>2014.0</v>
      </c>
      <c r="B1433" s="2">
        <v>4.0</v>
      </c>
      <c r="C1433" s="2">
        <v>29.0</v>
      </c>
      <c r="D1433" s="2" t="s">
        <v>570</v>
      </c>
      <c r="E1433" s="2">
        <v>-551.0</v>
      </c>
      <c r="F1433" s="2">
        <v>0.0</v>
      </c>
      <c r="G1433" s="2">
        <f t="shared" si="1"/>
        <v>-551</v>
      </c>
      <c r="H1433" s="2" t="s">
        <v>72</v>
      </c>
      <c r="L1433" s="2" t="s">
        <v>11</v>
      </c>
    </row>
    <row r="1434" ht="12.75" customHeight="1">
      <c r="A1434" s="2">
        <v>2014.0</v>
      </c>
      <c r="B1434" s="2">
        <v>4.0</v>
      </c>
      <c r="C1434" s="2">
        <v>29.0</v>
      </c>
      <c r="D1434" s="2" t="s">
        <v>165</v>
      </c>
      <c r="E1434" s="2">
        <v>142.0</v>
      </c>
      <c r="F1434" s="2">
        <v>0.0</v>
      </c>
      <c r="G1434" s="2">
        <f t="shared" si="1"/>
        <v>142</v>
      </c>
      <c r="H1434" s="2" t="s">
        <v>72</v>
      </c>
      <c r="L1434" s="2" t="s">
        <v>11</v>
      </c>
    </row>
    <row r="1435" ht="12.75" customHeight="1">
      <c r="A1435" s="2">
        <v>2014.0</v>
      </c>
      <c r="B1435" s="2">
        <v>4.0</v>
      </c>
      <c r="C1435" s="2">
        <v>28.0</v>
      </c>
      <c r="D1435" s="2" t="s">
        <v>25</v>
      </c>
      <c r="E1435" s="2">
        <v>-100.0</v>
      </c>
      <c r="F1435" s="2">
        <v>0.0</v>
      </c>
      <c r="G1435" s="2">
        <f t="shared" si="1"/>
        <v>-100</v>
      </c>
      <c r="H1435" s="2" t="s">
        <v>26</v>
      </c>
      <c r="L1435" s="2" t="s">
        <v>11</v>
      </c>
    </row>
    <row r="1436" ht="12.75" customHeight="1">
      <c r="A1436" s="2">
        <v>2014.0</v>
      </c>
      <c r="B1436" s="2">
        <v>4.0</v>
      </c>
      <c r="C1436" s="2">
        <v>28.0</v>
      </c>
      <c r="D1436" s="2" t="s">
        <v>465</v>
      </c>
      <c r="E1436" s="2">
        <v>-60.0</v>
      </c>
      <c r="F1436" s="2">
        <v>0.0</v>
      </c>
      <c r="G1436" s="2">
        <f t="shared" si="1"/>
        <v>-60</v>
      </c>
      <c r="H1436" s="2" t="s">
        <v>47</v>
      </c>
      <c r="L1436" s="2" t="s">
        <v>11</v>
      </c>
    </row>
    <row r="1437" ht="12.75" customHeight="1">
      <c r="A1437" s="2">
        <v>2014.0</v>
      </c>
      <c r="B1437" s="2">
        <v>4.0</v>
      </c>
      <c r="C1437" s="2">
        <v>28.0</v>
      </c>
      <c r="D1437" s="2" t="s">
        <v>29</v>
      </c>
      <c r="E1437" s="2">
        <v>-1250.0</v>
      </c>
      <c r="F1437" s="2">
        <v>0.0</v>
      </c>
      <c r="G1437" s="2">
        <f t="shared" si="1"/>
        <v>-1250</v>
      </c>
      <c r="H1437" s="2" t="s">
        <v>18</v>
      </c>
      <c r="L1437" s="2" t="s">
        <v>11</v>
      </c>
    </row>
    <row r="1438" ht="12.75" customHeight="1">
      <c r="A1438" s="2">
        <v>2014.0</v>
      </c>
      <c r="B1438" s="2">
        <v>4.0</v>
      </c>
      <c r="C1438" s="2">
        <v>27.0</v>
      </c>
      <c r="D1438" s="2" t="s">
        <v>671</v>
      </c>
      <c r="E1438" s="2">
        <v>-60.0</v>
      </c>
      <c r="F1438" s="2">
        <v>0.0</v>
      </c>
      <c r="G1438" s="2">
        <f t="shared" si="1"/>
        <v>-60</v>
      </c>
      <c r="H1438" s="2" t="s">
        <v>47</v>
      </c>
      <c r="L1438" s="2" t="s">
        <v>11</v>
      </c>
    </row>
    <row r="1439" ht="12.75" customHeight="1">
      <c r="A1439" s="2">
        <v>2014.0</v>
      </c>
      <c r="B1439" s="2">
        <v>4.0</v>
      </c>
      <c r="C1439" s="2">
        <v>27.0</v>
      </c>
      <c r="D1439" s="2" t="s">
        <v>496</v>
      </c>
      <c r="E1439" s="2">
        <v>-130.0</v>
      </c>
      <c r="F1439" s="2">
        <v>0.0</v>
      </c>
      <c r="G1439" s="2">
        <f t="shared" si="1"/>
        <v>-130</v>
      </c>
      <c r="H1439" s="2" t="s">
        <v>47</v>
      </c>
      <c r="L1439" s="2" t="s">
        <v>11</v>
      </c>
    </row>
    <row r="1440" ht="12.75" customHeight="1">
      <c r="A1440" s="2">
        <v>2014.0</v>
      </c>
      <c r="B1440" s="2">
        <v>4.0</v>
      </c>
      <c r="C1440" s="2">
        <v>26.0</v>
      </c>
      <c r="D1440" s="2" t="s">
        <v>577</v>
      </c>
      <c r="E1440" s="2">
        <v>-51.0</v>
      </c>
      <c r="F1440" s="2">
        <v>0.0</v>
      </c>
      <c r="G1440" s="2">
        <f t="shared" si="1"/>
        <v>-51</v>
      </c>
      <c r="H1440" s="2" t="s">
        <v>42</v>
      </c>
      <c r="L1440" s="2" t="s">
        <v>11</v>
      </c>
    </row>
    <row r="1441" ht="12.75" customHeight="1">
      <c r="A1441" s="2">
        <v>2014.0</v>
      </c>
      <c r="B1441" s="2">
        <v>4.0</v>
      </c>
      <c r="C1441" s="2">
        <v>26.0</v>
      </c>
      <c r="D1441" s="2" t="s">
        <v>672</v>
      </c>
      <c r="E1441" s="2">
        <v>-174.0</v>
      </c>
      <c r="F1441" s="2">
        <v>0.0</v>
      </c>
      <c r="G1441" s="2">
        <f t="shared" si="1"/>
        <v>-174</v>
      </c>
      <c r="H1441" s="2" t="s">
        <v>47</v>
      </c>
      <c r="L1441" s="2" t="s">
        <v>11</v>
      </c>
    </row>
    <row r="1442" ht="12.75" customHeight="1">
      <c r="A1442" s="2">
        <v>2014.0</v>
      </c>
      <c r="B1442" s="2">
        <v>4.0</v>
      </c>
      <c r="C1442" s="2">
        <v>25.0</v>
      </c>
      <c r="D1442" s="2" t="s">
        <v>465</v>
      </c>
      <c r="E1442" s="2">
        <v>-60.0</v>
      </c>
      <c r="F1442" s="2">
        <v>0.0</v>
      </c>
      <c r="G1442" s="2">
        <f t="shared" si="1"/>
        <v>-60</v>
      </c>
      <c r="H1442" s="2" t="s">
        <v>47</v>
      </c>
      <c r="L1442" s="2" t="s">
        <v>11</v>
      </c>
    </row>
    <row r="1443" ht="12.75" customHeight="1">
      <c r="A1443" s="2">
        <v>2014.0</v>
      </c>
      <c r="B1443" s="2">
        <v>4.0</v>
      </c>
      <c r="C1443" s="2">
        <v>25.0</v>
      </c>
      <c r="D1443" s="2" t="s">
        <v>382</v>
      </c>
      <c r="E1443" s="2">
        <v>-299.0</v>
      </c>
      <c r="F1443" s="2">
        <v>0.0</v>
      </c>
      <c r="G1443" s="2">
        <f t="shared" si="1"/>
        <v>-299</v>
      </c>
      <c r="H1443" s="2" t="s">
        <v>22</v>
      </c>
      <c r="L1443" s="2" t="s">
        <v>11</v>
      </c>
    </row>
    <row r="1444" ht="12.75" customHeight="1">
      <c r="A1444" s="2">
        <v>2014.0</v>
      </c>
      <c r="B1444" s="2">
        <v>4.0</v>
      </c>
      <c r="C1444" s="2">
        <v>25.0</v>
      </c>
      <c r="D1444" s="2" t="s">
        <v>639</v>
      </c>
      <c r="E1444" s="2">
        <v>-45.0</v>
      </c>
      <c r="F1444" s="2">
        <v>0.0</v>
      </c>
      <c r="G1444" s="2">
        <f t="shared" si="1"/>
        <v>-45</v>
      </c>
      <c r="H1444" s="2" t="s">
        <v>42</v>
      </c>
      <c r="L1444" s="2" t="s">
        <v>11</v>
      </c>
    </row>
    <row r="1445" ht="12.75" customHeight="1">
      <c r="A1445" s="2">
        <v>2014.0</v>
      </c>
      <c r="B1445" s="2">
        <v>4.0</v>
      </c>
      <c r="C1445" s="2">
        <v>25.0</v>
      </c>
      <c r="D1445" s="2" t="s">
        <v>27</v>
      </c>
      <c r="E1445" s="2">
        <v>-5000.0</v>
      </c>
      <c r="F1445" s="2">
        <v>0.0</v>
      </c>
      <c r="G1445" s="2">
        <f t="shared" si="1"/>
        <v>-5000</v>
      </c>
      <c r="H1445" s="2" t="s">
        <v>28</v>
      </c>
      <c r="L1445" s="2" t="s">
        <v>11</v>
      </c>
    </row>
    <row r="1446" ht="12.75" customHeight="1">
      <c r="A1446" s="2">
        <v>2014.0</v>
      </c>
      <c r="B1446" s="2">
        <v>4.0</v>
      </c>
      <c r="C1446" s="2">
        <v>25.0</v>
      </c>
      <c r="D1446" s="2" t="s">
        <v>27</v>
      </c>
      <c r="E1446" s="2">
        <v>5000.0</v>
      </c>
      <c r="F1446" s="2">
        <v>0.0</v>
      </c>
      <c r="G1446" s="2">
        <f t="shared" si="1"/>
        <v>5000</v>
      </c>
      <c r="H1446" s="2" t="s">
        <v>28</v>
      </c>
      <c r="L1446" s="2" t="s">
        <v>11</v>
      </c>
    </row>
    <row r="1447" ht="12.75" customHeight="1">
      <c r="A1447" s="2">
        <v>2014.0</v>
      </c>
      <c r="B1447" s="2">
        <v>4.0</v>
      </c>
      <c r="C1447" s="2">
        <v>25.0</v>
      </c>
      <c r="D1447" s="2" t="s">
        <v>673</v>
      </c>
      <c r="E1447" s="2">
        <v>930.0</v>
      </c>
      <c r="F1447" s="2">
        <v>0.0</v>
      </c>
      <c r="G1447" s="2">
        <f t="shared" si="1"/>
        <v>930</v>
      </c>
      <c r="H1447" s="2" t="s">
        <v>31</v>
      </c>
      <c r="L1447" s="2" t="s">
        <v>11</v>
      </c>
    </row>
    <row r="1448" ht="12.75" customHeight="1">
      <c r="A1448" s="2">
        <v>2014.0</v>
      </c>
      <c r="B1448" s="2">
        <v>4.0</v>
      </c>
      <c r="C1448" s="2">
        <v>24.0</v>
      </c>
      <c r="D1448" s="2" t="s">
        <v>674</v>
      </c>
      <c r="E1448" s="2">
        <v>-204.7</v>
      </c>
      <c r="F1448" s="2">
        <v>0.0</v>
      </c>
      <c r="G1448" s="2">
        <f t="shared" si="1"/>
        <v>-204.7</v>
      </c>
      <c r="H1448" s="2" t="s">
        <v>54</v>
      </c>
      <c r="L1448" s="2" t="s">
        <v>11</v>
      </c>
    </row>
    <row r="1449" ht="12.75" customHeight="1">
      <c r="A1449" s="2">
        <v>2014.0</v>
      </c>
      <c r="B1449" s="2">
        <v>4.0</v>
      </c>
      <c r="C1449" s="2">
        <v>24.0</v>
      </c>
      <c r="D1449" s="2" t="s">
        <v>465</v>
      </c>
      <c r="E1449" s="2">
        <v>-60.0</v>
      </c>
      <c r="F1449" s="2">
        <v>0.0</v>
      </c>
      <c r="G1449" s="2">
        <f t="shared" si="1"/>
        <v>-60</v>
      </c>
      <c r="H1449" s="2" t="s">
        <v>47</v>
      </c>
      <c r="L1449" s="2" t="s">
        <v>11</v>
      </c>
    </row>
    <row r="1450" ht="12.75" customHeight="1">
      <c r="A1450" s="2">
        <v>2014.0</v>
      </c>
      <c r="B1450" s="2">
        <v>4.0</v>
      </c>
      <c r="C1450" s="2">
        <v>24.0</v>
      </c>
      <c r="D1450" s="2" t="s">
        <v>39</v>
      </c>
      <c r="E1450" s="2">
        <v>28581.0</v>
      </c>
      <c r="F1450" s="2">
        <v>0.0</v>
      </c>
      <c r="G1450" s="2">
        <f t="shared" si="1"/>
        <v>28581</v>
      </c>
      <c r="H1450" s="2" t="s">
        <v>40</v>
      </c>
      <c r="L1450" s="2" t="s">
        <v>11</v>
      </c>
    </row>
    <row r="1451" ht="12.75" customHeight="1">
      <c r="A1451" s="2">
        <v>2014.0</v>
      </c>
      <c r="B1451" s="2">
        <v>4.0</v>
      </c>
      <c r="C1451" s="2">
        <v>24.0</v>
      </c>
      <c r="D1451" s="2" t="s">
        <v>675</v>
      </c>
      <c r="E1451" s="2">
        <v>-255.0</v>
      </c>
      <c r="F1451" s="2">
        <v>0.0</v>
      </c>
      <c r="G1451" s="2">
        <f t="shared" si="1"/>
        <v>-255</v>
      </c>
      <c r="H1451" s="2" t="s">
        <v>35</v>
      </c>
      <c r="L1451" s="2" t="s">
        <v>11</v>
      </c>
    </row>
    <row r="1452" ht="12.75" customHeight="1">
      <c r="A1452" s="2">
        <v>2014.0</v>
      </c>
      <c r="B1452" s="2">
        <v>4.0</v>
      </c>
      <c r="C1452" s="2">
        <v>23.0</v>
      </c>
      <c r="D1452" s="2" t="s">
        <v>465</v>
      </c>
      <c r="E1452" s="2">
        <v>-60.0</v>
      </c>
      <c r="F1452" s="2">
        <v>0.0</v>
      </c>
      <c r="G1452" s="2">
        <f t="shared" si="1"/>
        <v>-60</v>
      </c>
      <c r="H1452" s="2" t="s">
        <v>47</v>
      </c>
      <c r="L1452" s="2" t="s">
        <v>11</v>
      </c>
    </row>
    <row r="1453" ht="12.75" customHeight="1">
      <c r="A1453" s="2">
        <v>2014.0</v>
      </c>
      <c r="B1453" s="2">
        <v>4.0</v>
      </c>
      <c r="C1453" s="2">
        <v>23.0</v>
      </c>
      <c r="D1453" s="2" t="s">
        <v>639</v>
      </c>
      <c r="E1453" s="2">
        <v>-300.0</v>
      </c>
      <c r="F1453" s="2">
        <v>0.0</v>
      </c>
      <c r="G1453" s="2">
        <f t="shared" si="1"/>
        <v>-300</v>
      </c>
      <c r="H1453" s="2" t="s">
        <v>31</v>
      </c>
      <c r="L1453" s="2" t="s">
        <v>11</v>
      </c>
    </row>
    <row r="1454" ht="12.75" customHeight="1">
      <c r="A1454" s="2">
        <v>2014.0</v>
      </c>
      <c r="B1454" s="2">
        <v>4.0</v>
      </c>
      <c r="C1454" s="2">
        <v>22.0</v>
      </c>
      <c r="D1454" s="2" t="s">
        <v>676</v>
      </c>
      <c r="E1454" s="2">
        <v>950.0</v>
      </c>
      <c r="F1454" s="2">
        <v>0.0</v>
      </c>
      <c r="G1454" s="2">
        <f t="shared" si="1"/>
        <v>950</v>
      </c>
      <c r="H1454" s="2" t="s">
        <v>31</v>
      </c>
      <c r="L1454" s="2" t="s">
        <v>11</v>
      </c>
    </row>
    <row r="1455" ht="12.75" customHeight="1">
      <c r="A1455" s="2">
        <v>2014.0</v>
      </c>
      <c r="B1455" s="2">
        <v>4.0</v>
      </c>
      <c r="C1455" s="2">
        <v>22.0</v>
      </c>
      <c r="D1455" s="2" t="s">
        <v>465</v>
      </c>
      <c r="E1455" s="2">
        <v>-60.0</v>
      </c>
      <c r="F1455" s="2">
        <v>0.0</v>
      </c>
      <c r="G1455" s="2">
        <f t="shared" si="1"/>
        <v>-60</v>
      </c>
      <c r="H1455" s="2" t="s">
        <v>47</v>
      </c>
      <c r="L1455" s="2" t="s">
        <v>11</v>
      </c>
    </row>
    <row r="1456" ht="12.75" customHeight="1">
      <c r="A1456" s="2">
        <v>2014.0</v>
      </c>
      <c r="B1456" s="2">
        <v>4.0</v>
      </c>
      <c r="C1456" s="2">
        <v>21.0</v>
      </c>
      <c r="D1456" s="2" t="s">
        <v>480</v>
      </c>
      <c r="E1456" s="2">
        <v>-118.0</v>
      </c>
      <c r="F1456" s="2">
        <v>0.0</v>
      </c>
      <c r="G1456" s="2">
        <f t="shared" si="1"/>
        <v>-118</v>
      </c>
      <c r="H1456" s="2" t="s">
        <v>47</v>
      </c>
      <c r="L1456" s="2" t="s">
        <v>11</v>
      </c>
    </row>
    <row r="1457" ht="12.75" customHeight="1">
      <c r="A1457" s="2">
        <v>2014.0</v>
      </c>
      <c r="B1457" s="2">
        <v>4.0</v>
      </c>
      <c r="C1457" s="2">
        <v>20.0</v>
      </c>
      <c r="D1457" s="2" t="s">
        <v>496</v>
      </c>
      <c r="E1457" s="2">
        <v>-130.0</v>
      </c>
      <c r="F1457" s="2">
        <v>0.0</v>
      </c>
      <c r="G1457" s="2">
        <f t="shared" si="1"/>
        <v>-130</v>
      </c>
      <c r="H1457" s="2" t="s">
        <v>47</v>
      </c>
      <c r="L1457" s="2" t="s">
        <v>11</v>
      </c>
    </row>
    <row r="1458" ht="12.75" customHeight="1">
      <c r="A1458" s="2">
        <v>2014.0</v>
      </c>
      <c r="B1458" s="2">
        <v>4.0</v>
      </c>
      <c r="C1458" s="2">
        <v>19.0</v>
      </c>
      <c r="D1458" s="2" t="s">
        <v>33</v>
      </c>
      <c r="E1458" s="2">
        <v>-180.48</v>
      </c>
      <c r="F1458" s="2">
        <v>0.0</v>
      </c>
      <c r="G1458" s="2">
        <f t="shared" si="1"/>
        <v>-180.48</v>
      </c>
      <c r="H1458" s="2" t="s">
        <v>47</v>
      </c>
      <c r="L1458" s="2" t="s">
        <v>11</v>
      </c>
    </row>
    <row r="1459" ht="12.75" customHeight="1">
      <c r="A1459" s="2">
        <v>2014.0</v>
      </c>
      <c r="B1459" s="2">
        <v>4.0</v>
      </c>
      <c r="C1459" s="2">
        <v>18.0</v>
      </c>
      <c r="D1459" s="2" t="s">
        <v>589</v>
      </c>
      <c r="E1459" s="2">
        <v>-190.0</v>
      </c>
      <c r="F1459" s="2">
        <v>0.0</v>
      </c>
      <c r="G1459" s="2">
        <f t="shared" si="1"/>
        <v>-190</v>
      </c>
      <c r="H1459" s="2" t="s">
        <v>31</v>
      </c>
      <c r="L1459" s="2" t="s">
        <v>11</v>
      </c>
    </row>
    <row r="1460" ht="12.75" customHeight="1">
      <c r="A1460" s="2">
        <v>2014.0</v>
      </c>
      <c r="B1460" s="2">
        <v>4.0</v>
      </c>
      <c r="C1460" s="2">
        <v>18.0</v>
      </c>
      <c r="D1460" s="2" t="s">
        <v>577</v>
      </c>
      <c r="E1460" s="2">
        <v>-104.0</v>
      </c>
      <c r="F1460" s="2">
        <v>0.0</v>
      </c>
      <c r="G1460" s="2">
        <f t="shared" si="1"/>
        <v>-104</v>
      </c>
      <c r="H1460" s="2" t="s">
        <v>42</v>
      </c>
      <c r="L1460" s="2" t="s">
        <v>11</v>
      </c>
    </row>
    <row r="1461" ht="12.75" customHeight="1">
      <c r="A1461" s="2">
        <v>2014.0</v>
      </c>
      <c r="B1461" s="2">
        <v>4.0</v>
      </c>
      <c r="C1461" s="2">
        <v>17.0</v>
      </c>
      <c r="D1461" s="2" t="s">
        <v>639</v>
      </c>
      <c r="E1461" s="2">
        <v>-90.0</v>
      </c>
      <c r="F1461" s="2">
        <v>0.0</v>
      </c>
      <c r="G1461" s="2">
        <f t="shared" si="1"/>
        <v>-90</v>
      </c>
      <c r="H1461" s="2" t="s">
        <v>42</v>
      </c>
      <c r="L1461" s="2" t="s">
        <v>11</v>
      </c>
    </row>
    <row r="1462" ht="12.75" customHeight="1">
      <c r="A1462" s="2">
        <v>2014.0</v>
      </c>
      <c r="B1462" s="2">
        <v>4.0</v>
      </c>
      <c r="C1462" s="2">
        <v>16.0</v>
      </c>
      <c r="D1462" s="2" t="s">
        <v>465</v>
      </c>
      <c r="E1462" s="2">
        <v>-60.0</v>
      </c>
      <c r="F1462" s="2">
        <v>0.0</v>
      </c>
      <c r="G1462" s="2">
        <f t="shared" si="1"/>
        <v>-60</v>
      </c>
      <c r="H1462" s="2" t="s">
        <v>47</v>
      </c>
      <c r="L1462" s="2" t="s">
        <v>11</v>
      </c>
    </row>
    <row r="1463" ht="12.75" customHeight="1">
      <c r="A1463" s="2">
        <v>2014.0</v>
      </c>
      <c r="B1463" s="2">
        <v>4.0</v>
      </c>
      <c r="C1463" s="2">
        <v>16.0</v>
      </c>
      <c r="D1463" s="2" t="s">
        <v>570</v>
      </c>
      <c r="E1463" s="2">
        <v>-568.0</v>
      </c>
      <c r="F1463" s="2">
        <v>0.0</v>
      </c>
      <c r="G1463" s="2">
        <f t="shared" si="1"/>
        <v>-568</v>
      </c>
      <c r="H1463" s="2" t="s">
        <v>72</v>
      </c>
      <c r="L1463" s="2" t="s">
        <v>11</v>
      </c>
    </row>
    <row r="1464" ht="12.75" customHeight="1">
      <c r="A1464" s="2">
        <v>2014.0</v>
      </c>
      <c r="B1464" s="2">
        <v>4.0</v>
      </c>
      <c r="C1464" s="2">
        <v>15.0</v>
      </c>
      <c r="D1464" s="2" t="s">
        <v>465</v>
      </c>
      <c r="E1464" s="2">
        <v>-65.0</v>
      </c>
      <c r="F1464" s="2">
        <v>0.0</v>
      </c>
      <c r="G1464" s="2">
        <f t="shared" si="1"/>
        <v>-65</v>
      </c>
      <c r="H1464" s="2" t="s">
        <v>47</v>
      </c>
      <c r="L1464" s="2" t="s">
        <v>11</v>
      </c>
    </row>
    <row r="1465" ht="12.75" customHeight="1">
      <c r="A1465" s="2">
        <v>2014.0</v>
      </c>
      <c r="B1465" s="2">
        <v>4.0</v>
      </c>
      <c r="C1465" s="2">
        <v>15.0</v>
      </c>
      <c r="D1465" s="2" t="s">
        <v>677</v>
      </c>
      <c r="E1465" s="2">
        <v>-250.0</v>
      </c>
      <c r="F1465" s="2">
        <v>0.0</v>
      </c>
      <c r="G1465" s="2">
        <f t="shared" si="1"/>
        <v>-250</v>
      </c>
      <c r="H1465" s="2" t="s">
        <v>164</v>
      </c>
      <c r="L1465" s="2" t="s">
        <v>11</v>
      </c>
    </row>
    <row r="1466" ht="12.75" customHeight="1">
      <c r="A1466" s="2">
        <v>2014.0</v>
      </c>
      <c r="B1466" s="2">
        <v>4.0</v>
      </c>
      <c r="C1466" s="2">
        <v>12.0</v>
      </c>
      <c r="D1466" s="2" t="s">
        <v>678</v>
      </c>
      <c r="E1466" s="2">
        <v>-133.0</v>
      </c>
      <c r="F1466" s="2">
        <v>0.0</v>
      </c>
      <c r="G1466" s="2">
        <f t="shared" si="1"/>
        <v>-133</v>
      </c>
      <c r="H1466" s="2" t="s">
        <v>47</v>
      </c>
      <c r="L1466" s="2" t="s">
        <v>11</v>
      </c>
    </row>
    <row r="1467" ht="12.75" customHeight="1">
      <c r="A1467" s="2">
        <v>2014.0</v>
      </c>
      <c r="B1467" s="2">
        <v>4.0</v>
      </c>
      <c r="C1467" s="2">
        <v>11.0</v>
      </c>
      <c r="D1467" s="2" t="s">
        <v>467</v>
      </c>
      <c r="E1467" s="2">
        <v>-800.0</v>
      </c>
      <c r="F1467" s="2">
        <v>0.0</v>
      </c>
      <c r="G1467" s="2">
        <f t="shared" si="1"/>
        <v>-800</v>
      </c>
      <c r="H1467" s="2" t="s">
        <v>38</v>
      </c>
      <c r="L1467" s="2" t="s">
        <v>11</v>
      </c>
    </row>
    <row r="1468" ht="12.75" customHeight="1">
      <c r="A1468" s="2">
        <v>2014.0</v>
      </c>
      <c r="B1468" s="2">
        <v>4.0</v>
      </c>
      <c r="C1468" s="2">
        <v>10.0</v>
      </c>
      <c r="D1468" s="2" t="s">
        <v>465</v>
      </c>
      <c r="E1468" s="2">
        <v>-40.0</v>
      </c>
      <c r="F1468" s="2">
        <v>0.0</v>
      </c>
      <c r="G1468" s="2">
        <f t="shared" si="1"/>
        <v>-40</v>
      </c>
      <c r="H1468" s="2" t="s">
        <v>47</v>
      </c>
      <c r="L1468" s="2" t="s">
        <v>11</v>
      </c>
    </row>
    <row r="1469" ht="12.75" customHeight="1">
      <c r="A1469" s="2">
        <v>2014.0</v>
      </c>
      <c r="B1469" s="2">
        <v>4.0</v>
      </c>
      <c r="C1469" s="2">
        <v>9.0</v>
      </c>
      <c r="D1469" s="2" t="s">
        <v>479</v>
      </c>
      <c r="E1469" s="2">
        <v>-1521.0</v>
      </c>
      <c r="F1469" s="2">
        <v>0.0</v>
      </c>
      <c r="G1469" s="2">
        <f t="shared" si="1"/>
        <v>-1521</v>
      </c>
      <c r="H1469" s="2" t="s">
        <v>50</v>
      </c>
      <c r="L1469" s="2" t="s">
        <v>11</v>
      </c>
    </row>
    <row r="1470" ht="12.75" customHeight="1">
      <c r="A1470" s="2">
        <v>2014.0</v>
      </c>
      <c r="B1470" s="2">
        <v>4.0</v>
      </c>
      <c r="C1470" s="2">
        <v>8.0</v>
      </c>
      <c r="D1470" s="2" t="s">
        <v>465</v>
      </c>
      <c r="E1470" s="2">
        <v>-65.0</v>
      </c>
      <c r="F1470" s="2">
        <v>0.0</v>
      </c>
      <c r="G1470" s="2">
        <f t="shared" si="1"/>
        <v>-65</v>
      </c>
      <c r="H1470" s="2" t="s">
        <v>47</v>
      </c>
      <c r="L1470" s="2" t="s">
        <v>11</v>
      </c>
    </row>
    <row r="1471" ht="12.75" customHeight="1">
      <c r="A1471" s="2">
        <v>2014.0</v>
      </c>
      <c r="B1471" s="2">
        <v>4.0</v>
      </c>
      <c r="C1471" s="2">
        <v>6.0</v>
      </c>
      <c r="D1471" s="2" t="s">
        <v>671</v>
      </c>
      <c r="E1471" s="2">
        <v>-84.0</v>
      </c>
      <c r="F1471" s="2">
        <v>0.0</v>
      </c>
      <c r="G1471" s="2">
        <f t="shared" si="1"/>
        <v>-84</v>
      </c>
      <c r="H1471" s="2" t="s">
        <v>42</v>
      </c>
      <c r="L1471" s="2" t="s">
        <v>11</v>
      </c>
    </row>
    <row r="1472" ht="12.75" customHeight="1">
      <c r="A1472" s="2">
        <v>2014.0</v>
      </c>
      <c r="B1472" s="2">
        <v>4.0</v>
      </c>
      <c r="C1472" s="2">
        <v>5.0</v>
      </c>
      <c r="D1472" s="2" t="s">
        <v>671</v>
      </c>
      <c r="E1472" s="2">
        <v>-53.0</v>
      </c>
      <c r="F1472" s="2">
        <v>0.0</v>
      </c>
      <c r="G1472" s="2">
        <f t="shared" si="1"/>
        <v>-53</v>
      </c>
      <c r="H1472" s="2" t="s">
        <v>42</v>
      </c>
      <c r="L1472" s="2" t="s">
        <v>11</v>
      </c>
    </row>
    <row r="1473" ht="12.75" customHeight="1">
      <c r="A1473" s="2">
        <v>2014.0</v>
      </c>
      <c r="B1473" s="2">
        <v>4.0</v>
      </c>
      <c r="C1473" s="2">
        <v>5.0</v>
      </c>
      <c r="D1473" s="2" t="s">
        <v>679</v>
      </c>
      <c r="E1473" s="2">
        <v>-502.0</v>
      </c>
      <c r="F1473" s="2">
        <v>0.0</v>
      </c>
      <c r="G1473" s="2">
        <f t="shared" si="1"/>
        <v>-502</v>
      </c>
      <c r="H1473" s="2" t="s">
        <v>13</v>
      </c>
      <c r="L1473" s="2" t="s">
        <v>11</v>
      </c>
    </row>
    <row r="1474" ht="12.75" customHeight="1">
      <c r="A1474" s="2">
        <v>2014.0</v>
      </c>
      <c r="B1474" s="2">
        <v>4.0</v>
      </c>
      <c r="C1474" s="2">
        <v>5.0</v>
      </c>
      <c r="D1474" s="2" t="s">
        <v>680</v>
      </c>
      <c r="E1474" s="2">
        <v>-384.0</v>
      </c>
      <c r="F1474" s="2">
        <v>0.0</v>
      </c>
      <c r="G1474" s="2">
        <f t="shared" si="1"/>
        <v>-384</v>
      </c>
      <c r="H1474" s="2" t="s">
        <v>35</v>
      </c>
      <c r="L1474" s="2" t="s">
        <v>11</v>
      </c>
    </row>
    <row r="1475" ht="12.75" customHeight="1">
      <c r="A1475" s="2">
        <v>2014.0</v>
      </c>
      <c r="B1475" s="2">
        <v>4.0</v>
      </c>
      <c r="C1475" s="2">
        <v>4.0</v>
      </c>
      <c r="D1475" s="2" t="s">
        <v>45</v>
      </c>
      <c r="E1475" s="2">
        <v>-468.0</v>
      </c>
      <c r="F1475" s="2">
        <v>0.0</v>
      </c>
      <c r="G1475" s="2">
        <f t="shared" si="1"/>
        <v>-468</v>
      </c>
      <c r="H1475" s="2" t="s">
        <v>35</v>
      </c>
      <c r="L1475" s="2" t="s">
        <v>11</v>
      </c>
    </row>
    <row r="1476" ht="12.75" customHeight="1">
      <c r="A1476" s="2">
        <v>2014.0</v>
      </c>
      <c r="B1476" s="2">
        <v>4.0</v>
      </c>
      <c r="C1476" s="2">
        <v>4.0</v>
      </c>
      <c r="D1476" s="2" t="s">
        <v>672</v>
      </c>
      <c r="E1476" s="2">
        <v>-728.0</v>
      </c>
      <c r="F1476" s="2">
        <v>0.0</v>
      </c>
      <c r="G1476" s="2">
        <f t="shared" si="1"/>
        <v>-728</v>
      </c>
      <c r="H1476" s="2" t="s">
        <v>47</v>
      </c>
      <c r="L1476" s="2" t="s">
        <v>11</v>
      </c>
    </row>
    <row r="1477" ht="12.75" customHeight="1">
      <c r="A1477" s="2">
        <v>2014.0</v>
      </c>
      <c r="B1477" s="2">
        <v>4.0</v>
      </c>
      <c r="C1477" s="2">
        <v>4.0</v>
      </c>
      <c r="D1477" s="2" t="s">
        <v>672</v>
      </c>
      <c r="E1477" s="2">
        <v>-120.0</v>
      </c>
      <c r="F1477" s="2">
        <v>-120.0</v>
      </c>
      <c r="G1477" s="2">
        <f t="shared" si="1"/>
        <v>-120</v>
      </c>
      <c r="H1477" s="2" t="s">
        <v>35</v>
      </c>
      <c r="L1477" s="2" t="s">
        <v>11</v>
      </c>
    </row>
    <row r="1478" ht="12.75" customHeight="1">
      <c r="A1478" s="2">
        <v>2014.0</v>
      </c>
      <c r="B1478" s="2">
        <v>4.0</v>
      </c>
      <c r="C1478" s="2">
        <v>4.0</v>
      </c>
      <c r="D1478" s="2" t="s">
        <v>672</v>
      </c>
      <c r="E1478" s="2">
        <v>-120.0</v>
      </c>
      <c r="F1478" s="2">
        <v>0.0</v>
      </c>
      <c r="G1478" s="2">
        <f t="shared" si="1"/>
        <v>-120</v>
      </c>
      <c r="H1478" s="2" t="s">
        <v>47</v>
      </c>
      <c r="L1478" s="2" t="s">
        <v>11</v>
      </c>
    </row>
    <row r="1479" ht="12.75" customHeight="1">
      <c r="A1479" s="2">
        <v>2014.0</v>
      </c>
      <c r="B1479" s="2">
        <v>4.0</v>
      </c>
      <c r="C1479" s="2">
        <v>3.0</v>
      </c>
      <c r="D1479" s="2" t="s">
        <v>465</v>
      </c>
      <c r="E1479" s="2">
        <v>-60.0</v>
      </c>
      <c r="F1479" s="2">
        <v>0.0</v>
      </c>
      <c r="G1479" s="2">
        <f t="shared" si="1"/>
        <v>-60</v>
      </c>
      <c r="H1479" s="2" t="s">
        <v>47</v>
      </c>
      <c r="L1479" s="2" t="s">
        <v>11</v>
      </c>
    </row>
    <row r="1480" ht="12.75" customHeight="1">
      <c r="A1480" s="2">
        <v>2014.0</v>
      </c>
      <c r="B1480" s="2">
        <v>4.0</v>
      </c>
      <c r="C1480" s="2">
        <v>3.0</v>
      </c>
      <c r="D1480" s="2" t="s">
        <v>681</v>
      </c>
      <c r="E1480" s="2">
        <v>-299.0</v>
      </c>
      <c r="F1480" s="2">
        <v>0.0</v>
      </c>
      <c r="G1480" s="2">
        <f t="shared" si="1"/>
        <v>-299</v>
      </c>
      <c r="H1480" s="2" t="s">
        <v>35</v>
      </c>
      <c r="L1480" s="2" t="s">
        <v>11</v>
      </c>
    </row>
    <row r="1481" ht="12.75" customHeight="1">
      <c r="A1481" s="2">
        <v>2014.0</v>
      </c>
      <c r="B1481" s="2">
        <v>4.0</v>
      </c>
      <c r="C1481" s="2">
        <v>2.0</v>
      </c>
      <c r="D1481" s="2" t="s">
        <v>465</v>
      </c>
      <c r="E1481" s="2">
        <v>-65.0</v>
      </c>
      <c r="F1481" s="2">
        <v>0.0</v>
      </c>
      <c r="G1481" s="2">
        <f t="shared" si="1"/>
        <v>-65</v>
      </c>
      <c r="H1481" s="2" t="s">
        <v>47</v>
      </c>
      <c r="L1481" s="2" t="s">
        <v>11</v>
      </c>
    </row>
    <row r="1482" ht="12.75" customHeight="1">
      <c r="A1482" s="2">
        <v>2014.0</v>
      </c>
      <c r="B1482" s="2">
        <v>4.0</v>
      </c>
      <c r="C1482" s="2">
        <v>2.0</v>
      </c>
      <c r="D1482" s="2" t="s">
        <v>505</v>
      </c>
      <c r="E1482" s="2">
        <v>-45.0</v>
      </c>
      <c r="F1482" s="2">
        <v>0.0</v>
      </c>
      <c r="G1482" s="2">
        <f t="shared" si="1"/>
        <v>-45</v>
      </c>
      <c r="H1482" s="2" t="s">
        <v>42</v>
      </c>
      <c r="L1482" s="2" t="s">
        <v>11</v>
      </c>
    </row>
    <row r="1483" ht="12.75" customHeight="1">
      <c r="A1483" s="2">
        <v>2014.0</v>
      </c>
      <c r="B1483" s="2">
        <v>4.0</v>
      </c>
      <c r="C1483" s="2">
        <v>1.0</v>
      </c>
      <c r="D1483" s="2" t="s">
        <v>94</v>
      </c>
      <c r="E1483" s="2">
        <v>124.0</v>
      </c>
      <c r="F1483" s="2">
        <v>0.0</v>
      </c>
      <c r="G1483" s="2">
        <f t="shared" si="1"/>
        <v>124</v>
      </c>
      <c r="H1483" s="2" t="s">
        <v>164</v>
      </c>
      <c r="L1483" s="2" t="s">
        <v>11</v>
      </c>
    </row>
    <row r="1484" ht="12.75" customHeight="1">
      <c r="A1484" s="2">
        <v>2014.0</v>
      </c>
      <c r="B1484" s="2">
        <v>4.0</v>
      </c>
      <c r="C1484" s="2">
        <v>1.0</v>
      </c>
      <c r="D1484" s="2" t="s">
        <v>465</v>
      </c>
      <c r="E1484" s="2">
        <v>-60.0</v>
      </c>
      <c r="F1484" s="2">
        <v>0.0</v>
      </c>
      <c r="G1484" s="2">
        <f t="shared" si="1"/>
        <v>-60</v>
      </c>
      <c r="H1484" s="2" t="s">
        <v>47</v>
      </c>
      <c r="L1484" s="2" t="s">
        <v>11</v>
      </c>
    </row>
    <row r="1485" ht="12.75" customHeight="1">
      <c r="A1485" s="2">
        <v>2014.0</v>
      </c>
      <c r="B1485" s="2">
        <v>4.0</v>
      </c>
      <c r="C1485" s="2">
        <v>1.0</v>
      </c>
      <c r="D1485" s="2" t="s">
        <v>460</v>
      </c>
      <c r="E1485" s="2">
        <v>-565.0</v>
      </c>
      <c r="F1485" s="2">
        <v>0.0</v>
      </c>
      <c r="G1485" s="2">
        <f t="shared" si="1"/>
        <v>-565</v>
      </c>
      <c r="H1485" s="2" t="s">
        <v>153</v>
      </c>
      <c r="L1485" s="2" t="s">
        <v>11</v>
      </c>
    </row>
    <row r="1486" ht="12.75" customHeight="1">
      <c r="A1486" s="2">
        <v>2014.0</v>
      </c>
      <c r="B1486" s="2">
        <v>4.0</v>
      </c>
      <c r="C1486" s="2">
        <v>1.0</v>
      </c>
      <c r="D1486" s="2" t="s">
        <v>460</v>
      </c>
      <c r="E1486" s="2">
        <v>-4520.0</v>
      </c>
      <c r="F1486" s="2">
        <v>0.0</v>
      </c>
      <c r="G1486" s="2">
        <f t="shared" si="1"/>
        <v>-4520</v>
      </c>
      <c r="H1486" s="2" t="s">
        <v>153</v>
      </c>
      <c r="L1486" s="2" t="s">
        <v>11</v>
      </c>
    </row>
    <row r="1487" ht="12.75" customHeight="1">
      <c r="A1487" s="2">
        <v>2014.0</v>
      </c>
      <c r="B1487" s="2">
        <v>4.0</v>
      </c>
      <c r="C1487" s="2">
        <v>1.0</v>
      </c>
      <c r="D1487" s="2" t="s">
        <v>427</v>
      </c>
      <c r="E1487" s="2">
        <v>-469.0</v>
      </c>
      <c r="F1487" s="2">
        <v>0.0</v>
      </c>
      <c r="G1487" s="2">
        <f t="shared" si="1"/>
        <v>-469</v>
      </c>
      <c r="H1487" s="2" t="s">
        <v>428</v>
      </c>
      <c r="L1487" s="2" t="s">
        <v>11</v>
      </c>
    </row>
    <row r="1488" ht="12.75" customHeight="1">
      <c r="A1488" s="2">
        <v>2014.0</v>
      </c>
      <c r="B1488" s="2">
        <v>4.0</v>
      </c>
      <c r="C1488" s="2">
        <v>1.0</v>
      </c>
      <c r="D1488" s="2" t="s">
        <v>157</v>
      </c>
      <c r="E1488" s="2">
        <v>-119.0</v>
      </c>
      <c r="F1488" s="2">
        <v>0.0</v>
      </c>
      <c r="G1488" s="2">
        <f t="shared" si="1"/>
        <v>-119</v>
      </c>
      <c r="H1488" s="2" t="s">
        <v>17</v>
      </c>
      <c r="L1488" s="2" t="s">
        <v>11</v>
      </c>
    </row>
    <row r="1489" ht="12.75" customHeight="1">
      <c r="A1489" s="2">
        <v>2014.0</v>
      </c>
      <c r="B1489" s="2">
        <v>4.0</v>
      </c>
      <c r="C1489" s="2">
        <v>1.0</v>
      </c>
      <c r="D1489" s="2" t="s">
        <v>73</v>
      </c>
      <c r="E1489" s="2">
        <v>-6134.0</v>
      </c>
      <c r="F1489" s="2">
        <v>0.0</v>
      </c>
      <c r="G1489" s="2">
        <f t="shared" si="1"/>
        <v>-6134</v>
      </c>
      <c r="H1489" s="2" t="s">
        <v>10</v>
      </c>
      <c r="L1489" s="2" t="s">
        <v>11</v>
      </c>
    </row>
    <row r="1490" ht="12.75" customHeight="1">
      <c r="A1490" s="2">
        <v>2014.0</v>
      </c>
      <c r="B1490" s="2">
        <v>4.0</v>
      </c>
      <c r="C1490" s="2">
        <v>1.0</v>
      </c>
      <c r="D1490" s="2" t="s">
        <v>23</v>
      </c>
      <c r="E1490" s="2">
        <v>-285.0</v>
      </c>
      <c r="F1490" s="2">
        <v>0.0</v>
      </c>
      <c r="G1490" s="2">
        <f t="shared" si="1"/>
        <v>-285</v>
      </c>
      <c r="H1490" s="2" t="s">
        <v>24</v>
      </c>
      <c r="L1490" s="2" t="s">
        <v>11</v>
      </c>
    </row>
    <row r="1491" ht="12.75" customHeight="1">
      <c r="A1491" s="2">
        <v>2014.0</v>
      </c>
      <c r="B1491" s="2">
        <v>3.0</v>
      </c>
      <c r="C1491" s="2">
        <v>31.0</v>
      </c>
      <c r="D1491" s="2" t="s">
        <v>12</v>
      </c>
      <c r="E1491" s="2">
        <v>-6486.44</v>
      </c>
      <c r="F1491" s="2">
        <v>0.0</v>
      </c>
      <c r="G1491" s="2">
        <f t="shared" si="1"/>
        <v>-6486.44</v>
      </c>
      <c r="H1491" s="2" t="s">
        <v>28</v>
      </c>
      <c r="L1491" s="2" t="s">
        <v>228</v>
      </c>
    </row>
    <row r="1492" ht="12.75" customHeight="1">
      <c r="A1492" s="2">
        <v>2014.0</v>
      </c>
      <c r="B1492" s="2">
        <v>3.0</v>
      </c>
      <c r="C1492" s="2">
        <v>31.0</v>
      </c>
      <c r="D1492" s="2" t="s">
        <v>14</v>
      </c>
      <c r="E1492" s="2">
        <v>-4007.0</v>
      </c>
      <c r="F1492" s="2">
        <v>0.0</v>
      </c>
      <c r="G1492" s="2">
        <f t="shared" si="1"/>
        <v>-4007</v>
      </c>
      <c r="H1492" s="2" t="s">
        <v>10</v>
      </c>
      <c r="L1492" s="2" t="s">
        <v>11</v>
      </c>
    </row>
    <row r="1493" ht="12.75" customHeight="1">
      <c r="A1493" s="2">
        <v>2014.0</v>
      </c>
      <c r="B1493" s="2">
        <v>3.0</v>
      </c>
      <c r="C1493" s="2">
        <v>31.0</v>
      </c>
      <c r="D1493" s="2" t="s">
        <v>102</v>
      </c>
      <c r="E1493" s="2">
        <v>-244.0</v>
      </c>
      <c r="F1493" s="2">
        <v>0.0</v>
      </c>
      <c r="G1493" s="2">
        <f t="shared" si="1"/>
        <v>-244</v>
      </c>
      <c r="H1493" s="2" t="s">
        <v>103</v>
      </c>
      <c r="L1493" s="2" t="s">
        <v>11</v>
      </c>
    </row>
    <row r="1494" ht="12.75" customHeight="1">
      <c r="A1494" s="2">
        <v>2014.0</v>
      </c>
      <c r="B1494" s="2">
        <v>3.0</v>
      </c>
      <c r="C1494" s="2">
        <v>31.0</v>
      </c>
      <c r="D1494" s="2" t="s">
        <v>682</v>
      </c>
      <c r="E1494" s="2">
        <v>-60.0</v>
      </c>
      <c r="F1494" s="2">
        <v>0.0</v>
      </c>
      <c r="G1494" s="2">
        <f t="shared" si="1"/>
        <v>-60</v>
      </c>
      <c r="H1494" s="2" t="s">
        <v>47</v>
      </c>
      <c r="L1494" s="2" t="s">
        <v>11</v>
      </c>
    </row>
    <row r="1495" ht="12.75" customHeight="1">
      <c r="A1495" s="2">
        <v>2014.0</v>
      </c>
      <c r="B1495" s="2">
        <v>3.0</v>
      </c>
      <c r="C1495" s="2">
        <v>31.0</v>
      </c>
      <c r="D1495" s="2" t="s">
        <v>482</v>
      </c>
      <c r="E1495" s="2">
        <v>-85.0</v>
      </c>
      <c r="F1495" s="2">
        <v>0.0</v>
      </c>
      <c r="G1495" s="2">
        <f t="shared" si="1"/>
        <v>-85</v>
      </c>
      <c r="H1495" s="2" t="s">
        <v>38</v>
      </c>
      <c r="L1495" s="2" t="s">
        <v>11</v>
      </c>
    </row>
    <row r="1496" ht="12.75" customHeight="1">
      <c r="A1496" s="2">
        <v>2014.0</v>
      </c>
      <c r="B1496" s="2">
        <v>3.0</v>
      </c>
      <c r="C1496" s="2">
        <v>30.0</v>
      </c>
      <c r="D1496" s="2" t="s">
        <v>480</v>
      </c>
      <c r="E1496" s="2">
        <v>-111.0</v>
      </c>
      <c r="F1496" s="2">
        <v>0.0</v>
      </c>
      <c r="G1496" s="2">
        <f t="shared" si="1"/>
        <v>-111</v>
      </c>
      <c r="H1496" s="2" t="s">
        <v>47</v>
      </c>
      <c r="L1496" s="2" t="s">
        <v>11</v>
      </c>
    </row>
    <row r="1497" ht="12.75" customHeight="1">
      <c r="A1497" s="2">
        <v>2014.0</v>
      </c>
      <c r="B1497" s="2">
        <v>3.0</v>
      </c>
      <c r="C1497" s="2">
        <v>30.0</v>
      </c>
      <c r="D1497" s="2" t="s">
        <v>655</v>
      </c>
      <c r="E1497" s="2">
        <v>-180.0</v>
      </c>
      <c r="F1497" s="2">
        <v>0.0</v>
      </c>
      <c r="G1497" s="2">
        <f t="shared" si="1"/>
        <v>-180</v>
      </c>
      <c r="H1497" s="2" t="s">
        <v>54</v>
      </c>
      <c r="L1497" s="2" t="s">
        <v>11</v>
      </c>
    </row>
    <row r="1498" ht="12.75" customHeight="1">
      <c r="A1498" s="2">
        <v>2014.0</v>
      </c>
      <c r="B1498" s="2">
        <v>3.0</v>
      </c>
      <c r="C1498" s="2">
        <v>30.0</v>
      </c>
      <c r="D1498" s="2">
        <v>4.7516877E7</v>
      </c>
      <c r="E1498" s="2">
        <v>1000.0</v>
      </c>
      <c r="F1498" s="2">
        <v>0.0</v>
      </c>
      <c r="G1498" s="2">
        <f t="shared" si="1"/>
        <v>1000</v>
      </c>
      <c r="H1498" s="2" t="s">
        <v>18</v>
      </c>
      <c r="L1498" s="2" t="s">
        <v>11</v>
      </c>
    </row>
    <row r="1499" ht="12.75" customHeight="1">
      <c r="A1499" s="2">
        <v>2014.0</v>
      </c>
      <c r="B1499" s="2">
        <v>3.0</v>
      </c>
      <c r="C1499" s="2">
        <v>28.0</v>
      </c>
      <c r="D1499" s="2" t="s">
        <v>25</v>
      </c>
      <c r="E1499" s="2">
        <v>-100.0</v>
      </c>
      <c r="F1499" s="2">
        <v>0.0</v>
      </c>
      <c r="G1499" s="2">
        <f t="shared" si="1"/>
        <v>-100</v>
      </c>
      <c r="H1499" s="2" t="s">
        <v>26</v>
      </c>
      <c r="L1499" s="2" t="s">
        <v>11</v>
      </c>
    </row>
    <row r="1500" ht="12.75" customHeight="1">
      <c r="A1500" s="2">
        <v>2014.0</v>
      </c>
      <c r="B1500" s="2">
        <v>3.0</v>
      </c>
      <c r="C1500" s="2">
        <v>28.0</v>
      </c>
      <c r="D1500" s="2" t="s">
        <v>19</v>
      </c>
      <c r="E1500" s="2">
        <v>-320.0</v>
      </c>
      <c r="F1500" s="2">
        <v>0.0</v>
      </c>
      <c r="G1500" s="2">
        <f t="shared" si="1"/>
        <v>-320</v>
      </c>
      <c r="H1500" s="2" t="s">
        <v>20</v>
      </c>
      <c r="L1500" s="2" t="s">
        <v>11</v>
      </c>
    </row>
    <row r="1501" ht="12.75" customHeight="1">
      <c r="A1501" s="2">
        <v>2014.0</v>
      </c>
      <c r="B1501" s="2">
        <v>3.0</v>
      </c>
      <c r="C1501" s="2">
        <v>28.0</v>
      </c>
      <c r="D1501" s="2" t="s">
        <v>15</v>
      </c>
      <c r="E1501" s="2">
        <v>-207.8</v>
      </c>
      <c r="F1501" s="2">
        <v>0.0</v>
      </c>
      <c r="G1501" s="2">
        <f t="shared" si="1"/>
        <v>-207.8</v>
      </c>
      <c r="H1501" s="2" t="s">
        <v>10</v>
      </c>
      <c r="L1501" s="2" t="s">
        <v>11</v>
      </c>
    </row>
    <row r="1502" ht="12.75" customHeight="1">
      <c r="A1502" s="2">
        <v>2014.0</v>
      </c>
      <c r="B1502" s="2">
        <v>3.0</v>
      </c>
      <c r="C1502" s="2">
        <v>27.0</v>
      </c>
      <c r="D1502" s="2" t="s">
        <v>465</v>
      </c>
      <c r="E1502" s="2">
        <v>-60.0</v>
      </c>
      <c r="F1502" s="2">
        <v>0.0</v>
      </c>
      <c r="G1502" s="2">
        <f t="shared" si="1"/>
        <v>-60</v>
      </c>
      <c r="H1502" s="2" t="s">
        <v>47</v>
      </c>
      <c r="L1502" s="2" t="s">
        <v>11</v>
      </c>
    </row>
    <row r="1503" ht="12.75" customHeight="1">
      <c r="A1503" s="2">
        <v>2014.0</v>
      </c>
      <c r="B1503" s="2">
        <v>3.0</v>
      </c>
      <c r="C1503" s="2">
        <v>27.0</v>
      </c>
      <c r="D1503" s="2" t="s">
        <v>382</v>
      </c>
      <c r="E1503" s="2">
        <v>-299.0</v>
      </c>
      <c r="F1503" s="2">
        <v>0.0</v>
      </c>
      <c r="G1503" s="2">
        <f t="shared" si="1"/>
        <v>-299</v>
      </c>
      <c r="H1503" s="2" t="s">
        <v>22</v>
      </c>
      <c r="L1503" s="2" t="s">
        <v>11</v>
      </c>
    </row>
    <row r="1504" ht="12.75" customHeight="1">
      <c r="A1504" s="2">
        <v>2014.0</v>
      </c>
      <c r="B1504" s="2">
        <v>3.0</v>
      </c>
      <c r="C1504" s="2">
        <v>26.0</v>
      </c>
      <c r="D1504" s="2" t="s">
        <v>465</v>
      </c>
      <c r="E1504" s="2">
        <v>-60.0</v>
      </c>
      <c r="F1504" s="2">
        <v>0.0</v>
      </c>
      <c r="G1504" s="2">
        <f t="shared" si="1"/>
        <v>-60</v>
      </c>
      <c r="H1504" s="2" t="s">
        <v>47</v>
      </c>
      <c r="L1504" s="2" t="s">
        <v>11</v>
      </c>
    </row>
    <row r="1505" ht="12.75" customHeight="1">
      <c r="A1505" s="2">
        <v>2014.0</v>
      </c>
      <c r="B1505" s="2">
        <v>3.0</v>
      </c>
      <c r="C1505" s="2">
        <v>26.0</v>
      </c>
      <c r="D1505" s="2" t="s">
        <v>639</v>
      </c>
      <c r="E1505" s="2">
        <v>-45.0</v>
      </c>
      <c r="F1505" s="2">
        <v>0.0</v>
      </c>
      <c r="G1505" s="2">
        <f t="shared" si="1"/>
        <v>-45</v>
      </c>
      <c r="H1505" s="2" t="s">
        <v>42</v>
      </c>
      <c r="L1505" s="2" t="s">
        <v>11</v>
      </c>
    </row>
    <row r="1506" ht="12.75" customHeight="1">
      <c r="A1506" s="2">
        <v>2014.0</v>
      </c>
      <c r="B1506" s="2">
        <v>3.0</v>
      </c>
      <c r="C1506" s="2">
        <v>26.0</v>
      </c>
      <c r="D1506" s="2" t="s">
        <v>29</v>
      </c>
      <c r="E1506" s="2">
        <v>-1250.0</v>
      </c>
      <c r="F1506" s="2">
        <v>0.0</v>
      </c>
      <c r="G1506" s="2">
        <f t="shared" si="1"/>
        <v>-1250</v>
      </c>
      <c r="H1506" s="2" t="s">
        <v>18</v>
      </c>
      <c r="L1506" s="2" t="s">
        <v>11</v>
      </c>
    </row>
    <row r="1507" ht="12.75" customHeight="1">
      <c r="A1507" s="2">
        <v>2014.0</v>
      </c>
      <c r="B1507" s="2">
        <v>3.0</v>
      </c>
      <c r="C1507" s="2">
        <v>25.0</v>
      </c>
      <c r="D1507" s="2" t="s">
        <v>465</v>
      </c>
      <c r="E1507" s="2">
        <v>-60.0</v>
      </c>
      <c r="F1507" s="2">
        <v>0.0</v>
      </c>
      <c r="G1507" s="2">
        <f t="shared" si="1"/>
        <v>-60</v>
      </c>
      <c r="H1507" s="2" t="s">
        <v>47</v>
      </c>
      <c r="L1507" s="2" t="s">
        <v>11</v>
      </c>
    </row>
    <row r="1508" ht="12.75" customHeight="1">
      <c r="A1508" s="2">
        <v>2014.0</v>
      </c>
      <c r="B1508" s="2">
        <v>3.0</v>
      </c>
      <c r="C1508" s="2">
        <v>25.0</v>
      </c>
      <c r="D1508" s="2" t="s">
        <v>27</v>
      </c>
      <c r="E1508" s="2">
        <v>-5000.0</v>
      </c>
      <c r="F1508" s="2">
        <v>0.0</v>
      </c>
      <c r="G1508" s="2">
        <f t="shared" si="1"/>
        <v>-5000</v>
      </c>
      <c r="H1508" s="2" t="s">
        <v>28</v>
      </c>
      <c r="L1508" s="2" t="s">
        <v>11</v>
      </c>
    </row>
    <row r="1509" ht="12.75" customHeight="1">
      <c r="A1509" s="2">
        <v>2014.0</v>
      </c>
      <c r="B1509" s="2">
        <v>3.0</v>
      </c>
      <c r="C1509" s="2">
        <v>25.0</v>
      </c>
      <c r="D1509" s="2" t="s">
        <v>27</v>
      </c>
      <c r="E1509" s="2">
        <v>5000.0</v>
      </c>
      <c r="F1509" s="2">
        <v>0.0</v>
      </c>
      <c r="G1509" s="2">
        <f t="shared" si="1"/>
        <v>5000</v>
      </c>
      <c r="H1509" s="2" t="s">
        <v>28</v>
      </c>
      <c r="L1509" s="2" t="s">
        <v>11</v>
      </c>
    </row>
    <row r="1510" ht="12.75" customHeight="1">
      <c r="A1510" s="2">
        <v>2014.0</v>
      </c>
      <c r="B1510" s="2">
        <v>3.0</v>
      </c>
      <c r="C1510" s="2">
        <v>24.0</v>
      </c>
      <c r="D1510" s="2" t="s">
        <v>465</v>
      </c>
      <c r="E1510" s="2">
        <v>-59.0</v>
      </c>
      <c r="F1510" s="2">
        <v>0.0</v>
      </c>
      <c r="G1510" s="2">
        <f t="shared" si="1"/>
        <v>-59</v>
      </c>
      <c r="H1510" s="2" t="s">
        <v>47</v>
      </c>
      <c r="L1510" s="2" t="s">
        <v>11</v>
      </c>
    </row>
    <row r="1511" ht="12.75" customHeight="1">
      <c r="A1511" s="2">
        <v>2014.0</v>
      </c>
      <c r="B1511" s="2">
        <v>3.0</v>
      </c>
      <c r="C1511" s="2">
        <v>24.0</v>
      </c>
      <c r="D1511" s="2" t="s">
        <v>39</v>
      </c>
      <c r="E1511" s="2">
        <v>28581.0</v>
      </c>
      <c r="F1511" s="2">
        <v>0.0</v>
      </c>
      <c r="G1511" s="2">
        <f t="shared" si="1"/>
        <v>28581</v>
      </c>
      <c r="H1511" s="2" t="s">
        <v>40</v>
      </c>
      <c r="L1511" s="2" t="s">
        <v>11</v>
      </c>
    </row>
    <row r="1512" ht="12.75" customHeight="1">
      <c r="A1512" s="2">
        <v>2014.0</v>
      </c>
      <c r="B1512" s="2">
        <v>3.0</v>
      </c>
      <c r="C1512" s="2">
        <v>24.0</v>
      </c>
      <c r="D1512" s="2" t="s">
        <v>467</v>
      </c>
      <c r="E1512" s="2">
        <v>-80.0</v>
      </c>
      <c r="F1512" s="2">
        <v>0.0</v>
      </c>
      <c r="G1512" s="2">
        <f t="shared" si="1"/>
        <v>-80</v>
      </c>
      <c r="H1512" s="2" t="s">
        <v>38</v>
      </c>
      <c r="L1512" s="2" t="s">
        <v>11</v>
      </c>
    </row>
    <row r="1513" ht="12.75" customHeight="1">
      <c r="A1513" s="2">
        <v>2014.0</v>
      </c>
      <c r="B1513" s="2">
        <v>3.0</v>
      </c>
      <c r="C1513" s="2">
        <v>24.0</v>
      </c>
      <c r="D1513" s="2" t="s">
        <v>467</v>
      </c>
      <c r="E1513" s="2">
        <v>-720.0</v>
      </c>
      <c r="F1513" s="2">
        <v>0.0</v>
      </c>
      <c r="G1513" s="2">
        <f t="shared" si="1"/>
        <v>-720</v>
      </c>
      <c r="H1513" s="2" t="s">
        <v>38</v>
      </c>
      <c r="L1513" s="2" t="s">
        <v>11</v>
      </c>
    </row>
    <row r="1514" ht="12.75" customHeight="1">
      <c r="A1514" s="2">
        <v>2014.0</v>
      </c>
      <c r="B1514" s="2">
        <v>3.0</v>
      </c>
      <c r="C1514" s="2">
        <v>22.0</v>
      </c>
      <c r="D1514" s="2" t="s">
        <v>683</v>
      </c>
      <c r="E1514" s="2">
        <v>-45.0</v>
      </c>
      <c r="F1514" s="2">
        <v>0.0</v>
      </c>
      <c r="G1514" s="2">
        <f t="shared" si="1"/>
        <v>-45</v>
      </c>
      <c r="H1514" s="2" t="s">
        <v>42</v>
      </c>
      <c r="L1514" s="2" t="s">
        <v>11</v>
      </c>
    </row>
    <row r="1515" ht="12.75" customHeight="1">
      <c r="A1515" s="2">
        <v>2014.0</v>
      </c>
      <c r="B1515" s="2">
        <v>3.0</v>
      </c>
      <c r="C1515" s="2">
        <v>21.0</v>
      </c>
      <c r="D1515" s="2" t="s">
        <v>465</v>
      </c>
      <c r="E1515" s="2">
        <v>-60.0</v>
      </c>
      <c r="F1515" s="2">
        <v>0.0</v>
      </c>
      <c r="G1515" s="2">
        <f t="shared" si="1"/>
        <v>-60</v>
      </c>
      <c r="H1515" s="2" t="s">
        <v>47</v>
      </c>
      <c r="L1515" s="2" t="s">
        <v>11</v>
      </c>
    </row>
    <row r="1516" ht="12.75" customHeight="1">
      <c r="A1516" s="2">
        <v>2014.0</v>
      </c>
      <c r="B1516" s="2">
        <v>3.0</v>
      </c>
      <c r="C1516" s="2">
        <v>21.0</v>
      </c>
      <c r="D1516" s="2" t="s">
        <v>488</v>
      </c>
      <c r="E1516" s="2">
        <v>-68.9</v>
      </c>
      <c r="F1516" s="2">
        <v>0.0</v>
      </c>
      <c r="G1516" s="2">
        <f t="shared" si="1"/>
        <v>-68.9</v>
      </c>
      <c r="H1516" s="2" t="s">
        <v>47</v>
      </c>
      <c r="L1516" s="2" t="s">
        <v>11</v>
      </c>
    </row>
    <row r="1517" ht="12.75" customHeight="1">
      <c r="A1517" s="2">
        <v>2014.0</v>
      </c>
      <c r="B1517" s="2">
        <v>3.0</v>
      </c>
      <c r="C1517" s="2">
        <v>20.0</v>
      </c>
      <c r="D1517" s="2" t="s">
        <v>465</v>
      </c>
      <c r="E1517" s="2">
        <v>-70.0</v>
      </c>
      <c r="F1517" s="2">
        <v>0.0</v>
      </c>
      <c r="G1517" s="2">
        <f t="shared" si="1"/>
        <v>-70</v>
      </c>
      <c r="H1517" s="2" t="s">
        <v>47</v>
      </c>
      <c r="L1517" s="2" t="s">
        <v>11</v>
      </c>
    </row>
    <row r="1518" ht="12.75" customHeight="1">
      <c r="A1518" s="2">
        <v>2014.0</v>
      </c>
      <c r="B1518" s="2">
        <v>3.0</v>
      </c>
      <c r="C1518" s="2">
        <v>20.0</v>
      </c>
      <c r="D1518" s="2" t="s">
        <v>684</v>
      </c>
      <c r="E1518" s="2">
        <v>-124.0</v>
      </c>
      <c r="F1518" s="2">
        <v>0.0</v>
      </c>
      <c r="G1518" s="2">
        <f t="shared" si="1"/>
        <v>-124</v>
      </c>
      <c r="H1518" s="2" t="s">
        <v>164</v>
      </c>
      <c r="L1518" s="2" t="s">
        <v>11</v>
      </c>
    </row>
    <row r="1519" ht="12.75" customHeight="1">
      <c r="A1519" s="2">
        <v>2014.0</v>
      </c>
      <c r="B1519" s="2">
        <v>3.0</v>
      </c>
      <c r="C1519" s="2">
        <v>19.0</v>
      </c>
      <c r="D1519" s="2" t="s">
        <v>465</v>
      </c>
      <c r="E1519" s="2">
        <v>-70.0</v>
      </c>
      <c r="F1519" s="2">
        <v>0.0</v>
      </c>
      <c r="G1519" s="2">
        <f t="shared" si="1"/>
        <v>-70</v>
      </c>
      <c r="H1519" s="2" t="s">
        <v>47</v>
      </c>
      <c r="L1519" s="2" t="s">
        <v>11</v>
      </c>
    </row>
    <row r="1520" ht="12.75" customHeight="1">
      <c r="A1520" s="2">
        <v>2014.0</v>
      </c>
      <c r="B1520" s="2">
        <v>3.0</v>
      </c>
      <c r="C1520" s="2">
        <v>18.0</v>
      </c>
      <c r="D1520" s="2" t="s">
        <v>465</v>
      </c>
      <c r="E1520" s="2">
        <v>-70.0</v>
      </c>
      <c r="F1520" s="2">
        <v>0.0</v>
      </c>
      <c r="G1520" s="2">
        <f t="shared" si="1"/>
        <v>-70</v>
      </c>
      <c r="H1520" s="2" t="s">
        <v>47</v>
      </c>
      <c r="L1520" s="2" t="s">
        <v>11</v>
      </c>
    </row>
    <row r="1521" ht="12.75" customHeight="1">
      <c r="A1521" s="2">
        <v>2014.0</v>
      </c>
      <c r="B1521" s="2">
        <v>3.0</v>
      </c>
      <c r="C1521" s="2">
        <v>17.0</v>
      </c>
      <c r="D1521" s="2" t="s">
        <v>685</v>
      </c>
      <c r="E1521" s="2">
        <v>-69.0</v>
      </c>
      <c r="F1521" s="2">
        <v>0.0</v>
      </c>
      <c r="G1521" s="2">
        <f t="shared" si="1"/>
        <v>-69</v>
      </c>
      <c r="H1521" s="2" t="s">
        <v>47</v>
      </c>
      <c r="L1521" s="2" t="s">
        <v>11</v>
      </c>
    </row>
    <row r="1522" ht="12.75" customHeight="1">
      <c r="A1522" s="2">
        <v>2014.0</v>
      </c>
      <c r="B1522" s="2">
        <v>3.0</v>
      </c>
      <c r="C1522" s="2">
        <v>17.0</v>
      </c>
      <c r="D1522" s="2" t="s">
        <v>686</v>
      </c>
      <c r="E1522" s="2">
        <v>-150.0</v>
      </c>
      <c r="F1522" s="2">
        <v>0.0</v>
      </c>
      <c r="G1522" s="2">
        <f t="shared" si="1"/>
        <v>-150</v>
      </c>
      <c r="H1522" s="2" t="s">
        <v>31</v>
      </c>
      <c r="L1522" s="2" t="s">
        <v>11</v>
      </c>
    </row>
    <row r="1523" ht="12.75" customHeight="1">
      <c r="A1523" s="2">
        <v>2014.0</v>
      </c>
      <c r="B1523" s="2">
        <v>3.0</v>
      </c>
      <c r="C1523" s="2">
        <v>16.0</v>
      </c>
      <c r="D1523" s="2" t="s">
        <v>687</v>
      </c>
      <c r="E1523" s="2">
        <v>-200.0</v>
      </c>
      <c r="F1523" s="2">
        <v>0.0</v>
      </c>
      <c r="G1523" s="2">
        <f t="shared" si="1"/>
        <v>-200</v>
      </c>
      <c r="H1523" s="2" t="s">
        <v>35</v>
      </c>
      <c r="L1523" s="2" t="s">
        <v>11</v>
      </c>
    </row>
    <row r="1524" ht="12.75" customHeight="1">
      <c r="A1524" s="2">
        <v>2014.0</v>
      </c>
      <c r="B1524" s="2">
        <v>3.0</v>
      </c>
      <c r="C1524" s="2">
        <v>16.0</v>
      </c>
      <c r="D1524" s="2" t="s">
        <v>582</v>
      </c>
      <c r="E1524" s="2">
        <v>-55.0</v>
      </c>
      <c r="F1524" s="2">
        <v>0.0</v>
      </c>
      <c r="G1524" s="2">
        <f t="shared" si="1"/>
        <v>-55</v>
      </c>
      <c r="H1524" s="2" t="s">
        <v>42</v>
      </c>
      <c r="L1524" s="2" t="s">
        <v>11</v>
      </c>
    </row>
    <row r="1525" ht="12.75" customHeight="1">
      <c r="A1525" s="2">
        <v>2014.0</v>
      </c>
      <c r="B1525" s="2">
        <v>3.0</v>
      </c>
      <c r="C1525" s="2">
        <v>16.0</v>
      </c>
      <c r="D1525" s="2" t="s">
        <v>550</v>
      </c>
      <c r="E1525" s="2">
        <v>-550.0</v>
      </c>
      <c r="F1525" s="2">
        <v>0.0</v>
      </c>
      <c r="G1525" s="2">
        <f t="shared" si="1"/>
        <v>-550</v>
      </c>
      <c r="H1525" s="2" t="s">
        <v>35</v>
      </c>
      <c r="L1525" s="2" t="s">
        <v>11</v>
      </c>
    </row>
    <row r="1526" ht="12.75" customHeight="1">
      <c r="A1526" s="2">
        <v>2014.0</v>
      </c>
      <c r="B1526" s="2">
        <v>3.0</v>
      </c>
      <c r="C1526" s="2">
        <v>16.0</v>
      </c>
      <c r="D1526" s="2" t="s">
        <v>500</v>
      </c>
      <c r="E1526" s="2">
        <v>-51.0</v>
      </c>
      <c r="F1526" s="2">
        <v>0.0</v>
      </c>
      <c r="G1526" s="2">
        <f t="shared" si="1"/>
        <v>-51</v>
      </c>
      <c r="H1526" s="2" t="s">
        <v>42</v>
      </c>
      <c r="L1526" s="2" t="s">
        <v>11</v>
      </c>
    </row>
    <row r="1527" ht="12.75" customHeight="1">
      <c r="A1527" s="2">
        <v>2014.0</v>
      </c>
      <c r="B1527" s="2">
        <v>3.0</v>
      </c>
      <c r="C1527" s="2">
        <v>16.0</v>
      </c>
      <c r="D1527" s="2" t="s">
        <v>496</v>
      </c>
      <c r="E1527" s="2">
        <v>-112.0</v>
      </c>
      <c r="F1527" s="2">
        <v>0.0</v>
      </c>
      <c r="G1527" s="2">
        <f t="shared" si="1"/>
        <v>-112</v>
      </c>
      <c r="H1527" s="2" t="s">
        <v>47</v>
      </c>
      <c r="L1527" s="2" t="s">
        <v>11</v>
      </c>
    </row>
    <row r="1528" ht="12.75" customHeight="1">
      <c r="A1528" s="2">
        <v>2014.0</v>
      </c>
      <c r="B1528" s="2">
        <v>3.0</v>
      </c>
      <c r="C1528" s="2">
        <v>15.0</v>
      </c>
      <c r="D1528" s="2" t="s">
        <v>688</v>
      </c>
      <c r="E1528" s="2">
        <v>-83.0</v>
      </c>
      <c r="F1528" s="2">
        <v>0.0</v>
      </c>
      <c r="G1528" s="2">
        <f t="shared" si="1"/>
        <v>-83</v>
      </c>
      <c r="H1528" s="2" t="s">
        <v>47</v>
      </c>
      <c r="L1528" s="2" t="s">
        <v>11</v>
      </c>
    </row>
    <row r="1529" ht="12.75" customHeight="1">
      <c r="A1529" s="2">
        <v>2014.0</v>
      </c>
      <c r="B1529" s="2">
        <v>3.0</v>
      </c>
      <c r="C1529" s="2">
        <v>15.0</v>
      </c>
      <c r="D1529" s="2" t="s">
        <v>550</v>
      </c>
      <c r="E1529" s="2">
        <v>-220.0</v>
      </c>
      <c r="F1529" s="2">
        <v>0.0</v>
      </c>
      <c r="G1529" s="2">
        <f t="shared" si="1"/>
        <v>-220</v>
      </c>
      <c r="H1529" s="2" t="s">
        <v>47</v>
      </c>
      <c r="L1529" s="2" t="s">
        <v>11</v>
      </c>
    </row>
    <row r="1530" ht="12.75" customHeight="1">
      <c r="A1530" s="2">
        <v>2014.0</v>
      </c>
      <c r="B1530" s="2">
        <v>3.0</v>
      </c>
      <c r="C1530" s="2">
        <v>13.0</v>
      </c>
      <c r="D1530" s="2" t="s">
        <v>94</v>
      </c>
      <c r="E1530" s="2">
        <v>124.0</v>
      </c>
      <c r="F1530" s="2">
        <v>0.0</v>
      </c>
      <c r="G1530" s="2">
        <f t="shared" si="1"/>
        <v>124</v>
      </c>
      <c r="H1530" s="2" t="s">
        <v>164</v>
      </c>
      <c r="L1530" s="2" t="s">
        <v>11</v>
      </c>
    </row>
    <row r="1531" ht="12.75" customHeight="1">
      <c r="A1531" s="2">
        <v>2014.0</v>
      </c>
      <c r="B1531" s="2">
        <v>3.0</v>
      </c>
      <c r="C1531" s="2">
        <v>12.0</v>
      </c>
      <c r="D1531" s="2" t="s">
        <v>563</v>
      </c>
      <c r="E1531" s="2">
        <v>-70.0</v>
      </c>
      <c r="F1531" s="2">
        <v>0.0</v>
      </c>
      <c r="G1531" s="2">
        <f t="shared" si="1"/>
        <v>-70</v>
      </c>
      <c r="H1531" s="2" t="s">
        <v>38</v>
      </c>
      <c r="L1531" s="2" t="s">
        <v>11</v>
      </c>
    </row>
    <row r="1532" ht="12.75" customHeight="1">
      <c r="A1532" s="2">
        <v>2014.0</v>
      </c>
      <c r="B1532" s="2">
        <v>3.0</v>
      </c>
      <c r="C1532" s="2">
        <v>12.0</v>
      </c>
      <c r="D1532" s="2" t="s">
        <v>465</v>
      </c>
      <c r="E1532" s="2">
        <v>-70.0</v>
      </c>
      <c r="F1532" s="2">
        <v>0.0</v>
      </c>
      <c r="G1532" s="2">
        <f t="shared" si="1"/>
        <v>-70</v>
      </c>
      <c r="H1532" s="2" t="s">
        <v>47</v>
      </c>
      <c r="L1532" s="2" t="s">
        <v>11</v>
      </c>
    </row>
    <row r="1533" ht="12.75" customHeight="1">
      <c r="A1533" s="2">
        <v>2014.0</v>
      </c>
      <c r="B1533" s="2">
        <v>3.0</v>
      </c>
      <c r="C1533" s="2">
        <v>11.0</v>
      </c>
      <c r="D1533" s="2" t="s">
        <v>465</v>
      </c>
      <c r="E1533" s="2">
        <v>-70.0</v>
      </c>
      <c r="F1533" s="2">
        <v>0.0</v>
      </c>
      <c r="G1533" s="2">
        <f t="shared" si="1"/>
        <v>-70</v>
      </c>
      <c r="H1533" s="2" t="s">
        <v>47</v>
      </c>
      <c r="L1533" s="2" t="s">
        <v>11</v>
      </c>
    </row>
    <row r="1534" ht="12.75" customHeight="1">
      <c r="A1534" s="2">
        <v>2014.0</v>
      </c>
      <c r="B1534" s="2">
        <v>3.0</v>
      </c>
      <c r="C1534" s="2">
        <v>10.0</v>
      </c>
      <c r="D1534" s="2" t="s">
        <v>465</v>
      </c>
      <c r="E1534" s="2">
        <v>-70.0</v>
      </c>
      <c r="F1534" s="2">
        <v>0.0</v>
      </c>
      <c r="G1534" s="2">
        <f t="shared" si="1"/>
        <v>-70</v>
      </c>
      <c r="H1534" s="2" t="s">
        <v>47</v>
      </c>
      <c r="L1534" s="2" t="s">
        <v>11</v>
      </c>
    </row>
    <row r="1535" ht="12.75" customHeight="1">
      <c r="A1535" s="2">
        <v>2014.0</v>
      </c>
      <c r="B1535" s="2">
        <v>3.0</v>
      </c>
      <c r="C1535" s="2">
        <v>10.0</v>
      </c>
      <c r="D1535" s="2" t="s">
        <v>67</v>
      </c>
      <c r="E1535" s="2">
        <v>-500.0</v>
      </c>
      <c r="F1535" s="2">
        <v>0.0</v>
      </c>
      <c r="G1535" s="2">
        <f t="shared" si="1"/>
        <v>-500</v>
      </c>
      <c r="H1535" s="2" t="s">
        <v>54</v>
      </c>
      <c r="L1535" s="2" t="s">
        <v>11</v>
      </c>
    </row>
    <row r="1536" ht="12.75" customHeight="1">
      <c r="A1536" s="2">
        <v>2014.0</v>
      </c>
      <c r="B1536" s="2">
        <v>3.0</v>
      </c>
      <c r="C1536" s="2">
        <v>8.0</v>
      </c>
      <c r="D1536" s="2" t="s">
        <v>689</v>
      </c>
      <c r="E1536" s="2">
        <v>-241.44</v>
      </c>
      <c r="F1536" s="2">
        <v>0.0</v>
      </c>
      <c r="G1536" s="2">
        <f t="shared" si="1"/>
        <v>-241.44</v>
      </c>
      <c r="H1536" s="2" t="s">
        <v>47</v>
      </c>
      <c r="L1536" s="2" t="s">
        <v>11</v>
      </c>
    </row>
    <row r="1537" ht="12.75" customHeight="1">
      <c r="A1537" s="2">
        <v>2014.0</v>
      </c>
      <c r="B1537" s="2">
        <v>3.0</v>
      </c>
      <c r="C1537" s="2">
        <v>8.0</v>
      </c>
      <c r="D1537" s="2" t="s">
        <v>690</v>
      </c>
      <c r="E1537" s="2">
        <v>-111.0</v>
      </c>
      <c r="F1537" s="2">
        <v>0.0</v>
      </c>
      <c r="G1537" s="2">
        <f t="shared" si="1"/>
        <v>-111</v>
      </c>
      <c r="H1537" s="2" t="s">
        <v>42</v>
      </c>
      <c r="L1537" s="2" t="s">
        <v>11</v>
      </c>
    </row>
    <row r="1538" ht="12.75" customHeight="1">
      <c r="A1538" s="2">
        <v>2014.0</v>
      </c>
      <c r="B1538" s="2">
        <v>3.0</v>
      </c>
      <c r="C1538" s="2">
        <v>8.0</v>
      </c>
      <c r="D1538" s="2" t="s">
        <v>691</v>
      </c>
      <c r="E1538" s="2">
        <v>-24.0</v>
      </c>
      <c r="F1538" s="2">
        <v>0.0</v>
      </c>
      <c r="G1538" s="2">
        <f t="shared" si="1"/>
        <v>-24</v>
      </c>
      <c r="H1538" s="2" t="s">
        <v>47</v>
      </c>
      <c r="L1538" s="2" t="s">
        <v>11</v>
      </c>
    </row>
    <row r="1539" ht="12.75" customHeight="1">
      <c r="A1539" s="2">
        <v>2014.0</v>
      </c>
      <c r="B1539" s="2">
        <v>3.0</v>
      </c>
      <c r="C1539" s="2">
        <v>8.0</v>
      </c>
      <c r="D1539" s="2" t="s">
        <v>691</v>
      </c>
      <c r="E1539" s="2">
        <v>-197.0</v>
      </c>
      <c r="F1539" s="2">
        <v>0.0</v>
      </c>
      <c r="G1539" s="2">
        <f t="shared" si="1"/>
        <v>-197</v>
      </c>
      <c r="H1539" s="2" t="s">
        <v>47</v>
      </c>
      <c r="L1539" s="2" t="s">
        <v>11</v>
      </c>
    </row>
    <row r="1540" ht="12.75" customHeight="1">
      <c r="A1540" s="2">
        <v>2014.0</v>
      </c>
      <c r="B1540" s="2">
        <v>3.0</v>
      </c>
      <c r="C1540" s="2">
        <v>7.0</v>
      </c>
      <c r="D1540" s="2" t="s">
        <v>692</v>
      </c>
      <c r="E1540" s="2">
        <v>-300.0</v>
      </c>
      <c r="F1540" s="2">
        <v>0.0</v>
      </c>
      <c r="G1540" s="2">
        <f t="shared" si="1"/>
        <v>-300</v>
      </c>
      <c r="H1540" s="2" t="s">
        <v>28</v>
      </c>
      <c r="L1540" s="2" t="s">
        <v>11</v>
      </c>
    </row>
    <row r="1541" ht="12.75" customHeight="1">
      <c r="A1541" s="2">
        <v>2014.0</v>
      </c>
      <c r="B1541" s="2">
        <v>3.0</v>
      </c>
      <c r="C1541" s="2">
        <v>7.0</v>
      </c>
      <c r="D1541" s="2" t="s">
        <v>693</v>
      </c>
      <c r="E1541" s="2">
        <v>-30000.0</v>
      </c>
      <c r="F1541" s="2">
        <v>0.0</v>
      </c>
      <c r="G1541" s="2">
        <f t="shared" si="1"/>
        <v>-30000</v>
      </c>
      <c r="H1541" s="2" t="s">
        <v>28</v>
      </c>
      <c r="L1541" s="2" t="s">
        <v>11</v>
      </c>
    </row>
    <row r="1542" ht="12.75" customHeight="1">
      <c r="A1542" s="2">
        <v>2014.0</v>
      </c>
      <c r="B1542" s="2">
        <v>3.0</v>
      </c>
      <c r="C1542" s="2">
        <v>7.0</v>
      </c>
      <c r="D1542" s="2" t="s">
        <v>693</v>
      </c>
      <c r="E1542" s="2">
        <v>30000.0</v>
      </c>
      <c r="F1542" s="2">
        <v>0.0</v>
      </c>
      <c r="G1542" s="2">
        <f t="shared" si="1"/>
        <v>30000</v>
      </c>
      <c r="H1542" s="2" t="s">
        <v>28</v>
      </c>
      <c r="L1542" s="2" t="s">
        <v>11</v>
      </c>
    </row>
    <row r="1543" ht="12.75" customHeight="1">
      <c r="A1543" s="2">
        <v>2014.0</v>
      </c>
      <c r="B1543" s="2">
        <v>3.0</v>
      </c>
      <c r="C1543" s="2">
        <v>6.0</v>
      </c>
      <c r="D1543" s="2" t="s">
        <v>102</v>
      </c>
      <c r="E1543" s="2">
        <v>-169.0</v>
      </c>
      <c r="F1543" s="2">
        <v>0.0</v>
      </c>
      <c r="G1543" s="2">
        <f t="shared" si="1"/>
        <v>-169</v>
      </c>
      <c r="H1543" s="2" t="s">
        <v>103</v>
      </c>
      <c r="L1543" s="2" t="s">
        <v>11</v>
      </c>
    </row>
    <row r="1544" ht="12.75" customHeight="1">
      <c r="A1544" s="2">
        <v>2014.0</v>
      </c>
      <c r="B1544" s="2">
        <v>3.0</v>
      </c>
      <c r="C1544" s="2">
        <v>6.0</v>
      </c>
      <c r="D1544" s="2" t="s">
        <v>467</v>
      </c>
      <c r="E1544" s="2">
        <v>-800.0</v>
      </c>
      <c r="F1544" s="2">
        <v>0.0</v>
      </c>
      <c r="G1544" s="2">
        <f t="shared" si="1"/>
        <v>-800</v>
      </c>
      <c r="H1544" s="2" t="s">
        <v>38</v>
      </c>
      <c r="L1544" s="2" t="s">
        <v>11</v>
      </c>
    </row>
    <row r="1545" ht="12.75" customHeight="1">
      <c r="A1545" s="2">
        <v>2014.0</v>
      </c>
      <c r="B1545" s="2">
        <v>3.0</v>
      </c>
      <c r="C1545" s="2">
        <v>5.0</v>
      </c>
      <c r="D1545" s="2" t="s">
        <v>465</v>
      </c>
      <c r="E1545" s="2">
        <v>-75.0</v>
      </c>
      <c r="F1545" s="2">
        <v>0.0</v>
      </c>
      <c r="G1545" s="2">
        <f t="shared" si="1"/>
        <v>-75</v>
      </c>
      <c r="H1545" s="2" t="s">
        <v>47</v>
      </c>
      <c r="L1545" s="2" t="s">
        <v>11</v>
      </c>
    </row>
    <row r="1546" ht="12.75" customHeight="1">
      <c r="A1546" s="2">
        <v>2014.0</v>
      </c>
      <c r="B1546" s="2">
        <v>3.0</v>
      </c>
      <c r="C1546" s="2">
        <v>5.0</v>
      </c>
      <c r="D1546" s="2" t="s">
        <v>694</v>
      </c>
      <c r="E1546" s="2">
        <v>300.0</v>
      </c>
      <c r="F1546" s="2">
        <v>0.0</v>
      </c>
      <c r="G1546" s="2">
        <f t="shared" si="1"/>
        <v>300</v>
      </c>
      <c r="H1546" s="2" t="s">
        <v>28</v>
      </c>
      <c r="L1546" s="2" t="s">
        <v>11</v>
      </c>
    </row>
    <row r="1547" ht="12.75" customHeight="1">
      <c r="A1547" s="2">
        <v>2014.0</v>
      </c>
      <c r="B1547" s="2">
        <v>3.0</v>
      </c>
      <c r="C1547" s="2">
        <v>4.0</v>
      </c>
      <c r="D1547" s="2" t="s">
        <v>465</v>
      </c>
      <c r="E1547" s="2">
        <v>-75.0</v>
      </c>
      <c r="F1547" s="2">
        <v>0.0</v>
      </c>
      <c r="G1547" s="2">
        <f t="shared" si="1"/>
        <v>-75</v>
      </c>
      <c r="H1547" s="2" t="s">
        <v>47</v>
      </c>
      <c r="L1547" s="2" t="s">
        <v>11</v>
      </c>
    </row>
    <row r="1548" ht="12.75" customHeight="1">
      <c r="A1548" s="2">
        <v>2014.0</v>
      </c>
      <c r="B1548" s="2">
        <v>3.0</v>
      </c>
      <c r="C1548" s="2">
        <v>4.0</v>
      </c>
      <c r="D1548" s="2" t="s">
        <v>427</v>
      </c>
      <c r="E1548" s="2">
        <v>-475.0</v>
      </c>
      <c r="F1548" s="2">
        <v>0.0</v>
      </c>
      <c r="G1548" s="2">
        <f t="shared" si="1"/>
        <v>-475</v>
      </c>
      <c r="H1548" s="2" t="s">
        <v>428</v>
      </c>
      <c r="L1548" s="2" t="s">
        <v>11</v>
      </c>
    </row>
    <row r="1549" ht="12.75" customHeight="1">
      <c r="A1549" s="2">
        <v>2014.0</v>
      </c>
      <c r="B1549" s="2">
        <v>3.0</v>
      </c>
      <c r="C1549" s="2">
        <v>3.0</v>
      </c>
      <c r="D1549" s="2" t="s">
        <v>465</v>
      </c>
      <c r="E1549" s="2">
        <v>-55.0</v>
      </c>
      <c r="F1549" s="2">
        <v>0.0</v>
      </c>
      <c r="G1549" s="2">
        <f t="shared" si="1"/>
        <v>-55</v>
      </c>
      <c r="H1549" s="2" t="s">
        <v>47</v>
      </c>
      <c r="L1549" s="2" t="s">
        <v>11</v>
      </c>
    </row>
    <row r="1550" ht="12.75" customHeight="1">
      <c r="A1550" s="2">
        <v>2014.0</v>
      </c>
      <c r="B1550" s="2">
        <v>3.0</v>
      </c>
      <c r="C1550" s="2">
        <v>3.0</v>
      </c>
      <c r="D1550" s="2" t="s">
        <v>67</v>
      </c>
      <c r="E1550" s="2">
        <v>-1000.0</v>
      </c>
      <c r="F1550" s="2">
        <v>0.0</v>
      </c>
      <c r="G1550" s="2">
        <f t="shared" si="1"/>
        <v>-1000</v>
      </c>
      <c r="H1550" s="2" t="s">
        <v>54</v>
      </c>
      <c r="L1550" s="2" t="s">
        <v>11</v>
      </c>
    </row>
    <row r="1551" ht="12.75" customHeight="1">
      <c r="A1551" s="2">
        <v>2014.0</v>
      </c>
      <c r="B1551" s="2">
        <v>3.0</v>
      </c>
      <c r="C1551" s="2">
        <v>3.0</v>
      </c>
      <c r="D1551" s="2" t="s">
        <v>157</v>
      </c>
      <c r="E1551" s="2">
        <v>-119.0</v>
      </c>
      <c r="F1551" s="2">
        <v>0.0</v>
      </c>
      <c r="G1551" s="2">
        <f t="shared" si="1"/>
        <v>-119</v>
      </c>
      <c r="H1551" s="2" t="s">
        <v>17</v>
      </c>
      <c r="L1551" s="2" t="s">
        <v>11</v>
      </c>
    </row>
    <row r="1552" ht="12.75" customHeight="1">
      <c r="A1552" s="2">
        <v>2014.0</v>
      </c>
      <c r="B1552" s="2">
        <v>3.0</v>
      </c>
      <c r="C1552" s="2">
        <v>3.0</v>
      </c>
      <c r="D1552" s="2" t="s">
        <v>73</v>
      </c>
      <c r="E1552" s="2">
        <v>-6156.0</v>
      </c>
      <c r="F1552" s="2">
        <v>0.0</v>
      </c>
      <c r="G1552" s="2">
        <f t="shared" si="1"/>
        <v>-6156</v>
      </c>
      <c r="H1552" s="2" t="s">
        <v>10</v>
      </c>
      <c r="L1552" s="2" t="s">
        <v>11</v>
      </c>
    </row>
    <row r="1553" ht="12.75" customHeight="1">
      <c r="A1553" s="2">
        <v>2014.0</v>
      </c>
      <c r="B1553" s="2">
        <v>3.0</v>
      </c>
      <c r="C1553" s="2">
        <v>1.0</v>
      </c>
      <c r="D1553" s="2" t="s">
        <v>695</v>
      </c>
      <c r="E1553" s="2">
        <v>-99.0</v>
      </c>
      <c r="F1553" s="2">
        <v>0.0</v>
      </c>
      <c r="G1553" s="2">
        <f t="shared" si="1"/>
        <v>-99</v>
      </c>
      <c r="H1553" s="2" t="s">
        <v>35</v>
      </c>
      <c r="L1553" s="2" t="s">
        <v>11</v>
      </c>
    </row>
    <row r="1554" ht="12.75" customHeight="1">
      <c r="A1554" s="2">
        <v>2014.0</v>
      </c>
      <c r="B1554" s="2">
        <v>3.0</v>
      </c>
      <c r="C1554" s="2">
        <v>1.0</v>
      </c>
      <c r="D1554" s="2" t="s">
        <v>579</v>
      </c>
      <c r="E1554" s="2">
        <v>-51.0</v>
      </c>
      <c r="F1554" s="2">
        <v>0.0</v>
      </c>
      <c r="G1554" s="2">
        <f t="shared" si="1"/>
        <v>-51</v>
      </c>
      <c r="H1554" s="2" t="s">
        <v>42</v>
      </c>
      <c r="L1554" s="2" t="s">
        <v>11</v>
      </c>
    </row>
    <row r="1555" ht="12.75" customHeight="1">
      <c r="A1555" s="2">
        <v>2014.0</v>
      </c>
      <c r="B1555" s="2">
        <v>3.0</v>
      </c>
      <c r="C1555" s="2">
        <v>1.0</v>
      </c>
      <c r="D1555" s="2" t="s">
        <v>668</v>
      </c>
      <c r="E1555" s="2">
        <v>-55.0</v>
      </c>
      <c r="F1555" s="2">
        <v>0.0</v>
      </c>
      <c r="G1555" s="2">
        <f t="shared" si="1"/>
        <v>-55</v>
      </c>
      <c r="H1555" s="2" t="s">
        <v>47</v>
      </c>
      <c r="L1555" s="2" t="s">
        <v>11</v>
      </c>
    </row>
    <row r="1556" ht="12.75" customHeight="1">
      <c r="A1556" s="2">
        <v>2014.0</v>
      </c>
      <c r="B1556" s="2">
        <v>2.0</v>
      </c>
      <c r="C1556" s="2">
        <v>28.0</v>
      </c>
      <c r="D1556" s="2" t="s">
        <v>25</v>
      </c>
      <c r="E1556" s="2">
        <v>-100.0</v>
      </c>
      <c r="F1556" s="2">
        <v>0.0</v>
      </c>
      <c r="G1556" s="2">
        <f t="shared" si="1"/>
        <v>-100</v>
      </c>
      <c r="H1556" s="2" t="s">
        <v>26</v>
      </c>
      <c r="L1556" s="2" t="s">
        <v>11</v>
      </c>
    </row>
    <row r="1557" ht="12.75" customHeight="1">
      <c r="A1557" s="2">
        <v>2014.0</v>
      </c>
      <c r="B1557" s="2">
        <v>2.0</v>
      </c>
      <c r="C1557" s="2">
        <v>28.0</v>
      </c>
      <c r="D1557" s="2" t="s">
        <v>480</v>
      </c>
      <c r="E1557" s="2">
        <v>-486.0</v>
      </c>
      <c r="F1557" s="2">
        <v>0.0</v>
      </c>
      <c r="G1557" s="2">
        <f t="shared" si="1"/>
        <v>-486</v>
      </c>
      <c r="H1557" s="2" t="s">
        <v>47</v>
      </c>
      <c r="L1557" s="2" t="s">
        <v>11</v>
      </c>
    </row>
    <row r="1558" ht="12.75" customHeight="1">
      <c r="A1558" s="2">
        <v>2014.0</v>
      </c>
      <c r="B1558" s="2">
        <v>2.0</v>
      </c>
      <c r="C1558" s="2">
        <v>28.0</v>
      </c>
      <c r="D1558" s="2" t="s">
        <v>12</v>
      </c>
      <c r="E1558" s="2">
        <v>-5564.0</v>
      </c>
      <c r="F1558" s="2">
        <v>0.0</v>
      </c>
      <c r="G1558" s="2">
        <f t="shared" si="1"/>
        <v>-5564</v>
      </c>
      <c r="H1558" s="2" t="s">
        <v>28</v>
      </c>
      <c r="L1558" s="2" t="s">
        <v>228</v>
      </c>
    </row>
    <row r="1559" ht="12.75" customHeight="1">
      <c r="A1559" s="2">
        <v>2014.0</v>
      </c>
      <c r="B1559" s="2">
        <v>2.0</v>
      </c>
      <c r="C1559" s="2">
        <v>28.0</v>
      </c>
      <c r="D1559" s="2" t="s">
        <v>14</v>
      </c>
      <c r="E1559" s="2">
        <v>-4007.0</v>
      </c>
      <c r="F1559" s="2">
        <v>0.0</v>
      </c>
      <c r="G1559" s="2">
        <f t="shared" si="1"/>
        <v>-4007</v>
      </c>
      <c r="H1559" s="2" t="s">
        <v>10</v>
      </c>
      <c r="L1559" s="2" t="s">
        <v>11</v>
      </c>
    </row>
    <row r="1560" ht="12.75" customHeight="1">
      <c r="A1560" s="2">
        <v>2014.0</v>
      </c>
      <c r="B1560" s="2">
        <v>2.0</v>
      </c>
      <c r="C1560" s="2">
        <v>28.0</v>
      </c>
      <c r="D1560" s="2" t="s">
        <v>15</v>
      </c>
      <c r="E1560" s="2">
        <v>-207.8</v>
      </c>
      <c r="F1560" s="2">
        <v>0.0</v>
      </c>
      <c r="G1560" s="2">
        <f t="shared" si="1"/>
        <v>-207.8</v>
      </c>
      <c r="H1560" s="2" t="s">
        <v>10</v>
      </c>
      <c r="L1560" s="2" t="s">
        <v>11</v>
      </c>
    </row>
    <row r="1561" ht="12.75" customHeight="1">
      <c r="A1561" s="2">
        <v>2014.0</v>
      </c>
      <c r="B1561" s="2">
        <v>2.0</v>
      </c>
      <c r="C1561" s="2">
        <v>28.0</v>
      </c>
      <c r="D1561" s="2" t="s">
        <v>75</v>
      </c>
      <c r="E1561" s="2">
        <v>-3032.0</v>
      </c>
      <c r="F1561" s="2">
        <v>0.0</v>
      </c>
      <c r="G1561" s="2">
        <f t="shared" si="1"/>
        <v>-3032</v>
      </c>
      <c r="H1561" s="2" t="s">
        <v>76</v>
      </c>
      <c r="L1561" s="2" t="s">
        <v>11</v>
      </c>
    </row>
    <row r="1562" ht="12.75" customHeight="1">
      <c r="A1562" s="2">
        <v>2014.0</v>
      </c>
      <c r="B1562" s="2">
        <v>2.0</v>
      </c>
      <c r="C1562" s="2">
        <v>28.0</v>
      </c>
      <c r="D1562" s="2" t="s">
        <v>23</v>
      </c>
      <c r="E1562" s="2">
        <v>-285.0</v>
      </c>
      <c r="F1562" s="2">
        <v>0.0</v>
      </c>
      <c r="G1562" s="2">
        <f t="shared" si="1"/>
        <v>-285</v>
      </c>
      <c r="H1562" s="2" t="s">
        <v>24</v>
      </c>
      <c r="L1562" s="2" t="s">
        <v>11</v>
      </c>
    </row>
    <row r="1563" ht="12.75" customHeight="1">
      <c r="A1563" s="2">
        <v>2014.0</v>
      </c>
      <c r="B1563" s="2">
        <v>2.0</v>
      </c>
      <c r="C1563" s="2">
        <v>28.0</v>
      </c>
      <c r="D1563" s="2">
        <v>4.7516877E7</v>
      </c>
      <c r="E1563" s="2">
        <v>1000.0</v>
      </c>
      <c r="F1563" s="2">
        <v>0.0</v>
      </c>
      <c r="G1563" s="2">
        <f t="shared" si="1"/>
        <v>1000</v>
      </c>
      <c r="H1563" s="2" t="s">
        <v>18</v>
      </c>
      <c r="L1563" s="2" t="s">
        <v>11</v>
      </c>
    </row>
    <row r="1564" ht="12.75" customHeight="1">
      <c r="A1564" s="2">
        <v>2014.0</v>
      </c>
      <c r="B1564" s="2">
        <v>2.0</v>
      </c>
      <c r="C1564" s="2">
        <v>27.0</v>
      </c>
      <c r="D1564" s="2" t="s">
        <v>465</v>
      </c>
      <c r="E1564" s="2">
        <v>-60.0</v>
      </c>
      <c r="F1564" s="2">
        <v>0.0</v>
      </c>
      <c r="G1564" s="2">
        <f t="shared" si="1"/>
        <v>-60</v>
      </c>
      <c r="H1564" s="2" t="s">
        <v>47</v>
      </c>
      <c r="L1564" s="2" t="s">
        <v>11</v>
      </c>
    </row>
    <row r="1565" ht="12.75" customHeight="1">
      <c r="A1565" s="2">
        <v>2014.0</v>
      </c>
      <c r="B1565" s="2">
        <v>2.0</v>
      </c>
      <c r="C1565" s="2">
        <v>27.0</v>
      </c>
      <c r="D1565" s="2" t="s">
        <v>382</v>
      </c>
      <c r="E1565" s="2">
        <v>-299.0</v>
      </c>
      <c r="F1565" s="2">
        <v>0.0</v>
      </c>
      <c r="G1565" s="2">
        <f t="shared" si="1"/>
        <v>-299</v>
      </c>
      <c r="H1565" s="2" t="s">
        <v>22</v>
      </c>
      <c r="L1565" s="2" t="s">
        <v>11</v>
      </c>
    </row>
    <row r="1566" ht="12.75" customHeight="1">
      <c r="A1566" s="2">
        <v>2014.0</v>
      </c>
      <c r="B1566" s="2">
        <v>2.0</v>
      </c>
      <c r="C1566" s="2">
        <v>27.0</v>
      </c>
      <c r="D1566" s="2" t="s">
        <v>19</v>
      </c>
      <c r="E1566" s="2">
        <v>-320.0</v>
      </c>
      <c r="F1566" s="2">
        <v>0.0</v>
      </c>
      <c r="G1566" s="2">
        <f t="shared" si="1"/>
        <v>-320</v>
      </c>
      <c r="H1566" s="2" t="s">
        <v>20</v>
      </c>
      <c r="L1566" s="2" t="s">
        <v>11</v>
      </c>
    </row>
    <row r="1567" ht="12.75" customHeight="1">
      <c r="A1567" s="2">
        <v>2014.0</v>
      </c>
      <c r="B1567" s="2">
        <v>2.0</v>
      </c>
      <c r="C1567" s="2">
        <v>27.0</v>
      </c>
      <c r="D1567" s="2" t="s">
        <v>684</v>
      </c>
      <c r="E1567" s="2">
        <v>-124.0</v>
      </c>
      <c r="F1567" s="2">
        <v>0.0</v>
      </c>
      <c r="G1567" s="2">
        <f t="shared" si="1"/>
        <v>-124</v>
      </c>
      <c r="H1567" s="2" t="s">
        <v>164</v>
      </c>
      <c r="L1567" s="2" t="s">
        <v>11</v>
      </c>
    </row>
    <row r="1568" ht="12.75" customHeight="1">
      <c r="A1568" s="2">
        <v>2014.0</v>
      </c>
      <c r="B1568" s="2">
        <v>2.0</v>
      </c>
      <c r="C1568" s="2">
        <v>26.0</v>
      </c>
      <c r="D1568" s="2" t="s">
        <v>465</v>
      </c>
      <c r="E1568" s="2">
        <v>-75.0</v>
      </c>
      <c r="F1568" s="2">
        <v>0.0</v>
      </c>
      <c r="G1568" s="2">
        <f t="shared" si="1"/>
        <v>-75</v>
      </c>
      <c r="H1568" s="2" t="s">
        <v>47</v>
      </c>
      <c r="L1568" s="2" t="s">
        <v>11</v>
      </c>
    </row>
    <row r="1569" ht="12.75" customHeight="1">
      <c r="A1569" s="2">
        <v>2014.0</v>
      </c>
      <c r="B1569" s="2">
        <v>2.0</v>
      </c>
      <c r="C1569" s="2">
        <v>26.0</v>
      </c>
      <c r="D1569" s="2" t="s">
        <v>29</v>
      </c>
      <c r="E1569" s="2">
        <v>-1250.0</v>
      </c>
      <c r="F1569" s="2">
        <v>0.0</v>
      </c>
      <c r="G1569" s="2">
        <f t="shared" si="1"/>
        <v>-1250</v>
      </c>
      <c r="H1569" s="2" t="s">
        <v>18</v>
      </c>
      <c r="L1569" s="2" t="s">
        <v>11</v>
      </c>
    </row>
    <row r="1570" ht="12.75" customHeight="1">
      <c r="A1570" s="2">
        <v>2014.0</v>
      </c>
      <c r="B1570" s="2">
        <v>2.0</v>
      </c>
      <c r="C1570" s="2">
        <v>25.0</v>
      </c>
      <c r="D1570" s="2" t="s">
        <v>27</v>
      </c>
      <c r="E1570" s="2">
        <v>-5000.0</v>
      </c>
      <c r="F1570" s="2">
        <v>0.0</v>
      </c>
      <c r="G1570" s="2">
        <f t="shared" si="1"/>
        <v>-5000</v>
      </c>
      <c r="H1570" s="2" t="s">
        <v>28</v>
      </c>
      <c r="L1570" s="2" t="s">
        <v>11</v>
      </c>
    </row>
    <row r="1571" ht="12.75" customHeight="1">
      <c r="A1571" s="2">
        <v>2014.0</v>
      </c>
      <c r="B1571" s="2">
        <v>2.0</v>
      </c>
      <c r="C1571" s="2">
        <v>25.0</v>
      </c>
      <c r="D1571" s="2" t="s">
        <v>27</v>
      </c>
      <c r="E1571" s="2">
        <v>5000.0</v>
      </c>
      <c r="F1571" s="2">
        <v>0.0</v>
      </c>
      <c r="G1571" s="2">
        <f t="shared" si="1"/>
        <v>5000</v>
      </c>
      <c r="H1571" s="2" t="s">
        <v>28</v>
      </c>
      <c r="L1571" s="2" t="s">
        <v>11</v>
      </c>
    </row>
    <row r="1572" ht="12.75" customHeight="1">
      <c r="A1572" s="2">
        <v>2014.0</v>
      </c>
      <c r="B1572" s="2">
        <v>2.0</v>
      </c>
      <c r="C1572" s="2">
        <v>25.0</v>
      </c>
      <c r="D1572" s="2" t="s">
        <v>693</v>
      </c>
      <c r="E1572" s="2">
        <v>-50000.0</v>
      </c>
      <c r="F1572" s="2">
        <v>0.0</v>
      </c>
      <c r="G1572" s="2">
        <f t="shared" si="1"/>
        <v>-50000</v>
      </c>
      <c r="H1572" s="2" t="s">
        <v>28</v>
      </c>
      <c r="L1572" s="2" t="s">
        <v>11</v>
      </c>
    </row>
    <row r="1573" ht="12.75" customHeight="1">
      <c r="A1573" s="2">
        <v>2014.0</v>
      </c>
      <c r="B1573" s="2">
        <v>2.0</v>
      </c>
      <c r="C1573" s="2">
        <v>25.0</v>
      </c>
      <c r="D1573" s="2" t="s">
        <v>693</v>
      </c>
      <c r="E1573" s="2">
        <v>50000.0</v>
      </c>
      <c r="F1573" s="2">
        <v>0.0</v>
      </c>
      <c r="G1573" s="2">
        <f t="shared" si="1"/>
        <v>50000</v>
      </c>
      <c r="H1573" s="2" t="s">
        <v>28</v>
      </c>
      <c r="L1573" s="2" t="s">
        <v>11</v>
      </c>
    </row>
    <row r="1574" ht="12.75" customHeight="1">
      <c r="A1574" s="2">
        <v>2014.0</v>
      </c>
      <c r="B1574" s="2">
        <v>2.0</v>
      </c>
      <c r="C1574" s="2">
        <v>24.0</v>
      </c>
      <c r="D1574" s="2" t="s">
        <v>465</v>
      </c>
      <c r="E1574" s="2">
        <v>-45.0</v>
      </c>
      <c r="F1574" s="2">
        <v>0.0</v>
      </c>
      <c r="G1574" s="2">
        <f t="shared" si="1"/>
        <v>-45</v>
      </c>
      <c r="H1574" s="2" t="s">
        <v>47</v>
      </c>
      <c r="L1574" s="2" t="s">
        <v>11</v>
      </c>
    </row>
    <row r="1575" ht="12.75" customHeight="1">
      <c r="A1575" s="2">
        <v>2014.0</v>
      </c>
      <c r="B1575" s="2">
        <v>2.0</v>
      </c>
      <c r="C1575" s="2">
        <v>24.0</v>
      </c>
      <c r="D1575" s="2" t="s">
        <v>39</v>
      </c>
      <c r="E1575" s="2">
        <v>29521.0</v>
      </c>
      <c r="F1575" s="2">
        <v>0.0</v>
      </c>
      <c r="G1575" s="2">
        <f t="shared" si="1"/>
        <v>29521</v>
      </c>
      <c r="H1575" s="2" t="s">
        <v>40</v>
      </c>
      <c r="L1575" s="2" t="s">
        <v>11</v>
      </c>
    </row>
    <row r="1576" ht="12.75" customHeight="1">
      <c r="A1576" s="2">
        <v>2014.0</v>
      </c>
      <c r="B1576" s="2">
        <v>2.0</v>
      </c>
      <c r="C1576" s="2">
        <v>22.0</v>
      </c>
      <c r="D1576" s="2" t="s">
        <v>552</v>
      </c>
      <c r="E1576" s="2">
        <v>-178.0</v>
      </c>
      <c r="F1576" s="2">
        <v>0.0</v>
      </c>
      <c r="G1576" s="2">
        <f t="shared" si="1"/>
        <v>-178</v>
      </c>
      <c r="H1576" s="2" t="s">
        <v>42</v>
      </c>
      <c r="L1576" s="2" t="s">
        <v>11</v>
      </c>
    </row>
    <row r="1577" ht="12.75" customHeight="1">
      <c r="A1577" s="2">
        <v>2014.0</v>
      </c>
      <c r="B1577" s="2">
        <v>2.0</v>
      </c>
      <c r="C1577" s="2">
        <v>22.0</v>
      </c>
      <c r="D1577" s="2" t="s">
        <v>588</v>
      </c>
      <c r="E1577" s="2">
        <v>-1242.0</v>
      </c>
      <c r="F1577" s="2">
        <v>0.0</v>
      </c>
      <c r="G1577" s="2">
        <f t="shared" si="1"/>
        <v>-1242</v>
      </c>
      <c r="H1577" s="2" t="s">
        <v>47</v>
      </c>
      <c r="L1577" s="2" t="s">
        <v>11</v>
      </c>
    </row>
    <row r="1578" ht="12.75" customHeight="1">
      <c r="A1578" s="2">
        <v>2014.0</v>
      </c>
      <c r="B1578" s="2">
        <v>2.0</v>
      </c>
      <c r="C1578" s="2">
        <v>21.0</v>
      </c>
      <c r="D1578" s="2" t="s">
        <v>663</v>
      </c>
      <c r="E1578" s="2">
        <v>-320.0</v>
      </c>
      <c r="F1578" s="2">
        <v>0.0</v>
      </c>
      <c r="G1578" s="2">
        <f t="shared" si="1"/>
        <v>-320</v>
      </c>
      <c r="H1578" s="2" t="s">
        <v>42</v>
      </c>
      <c r="L1578" s="2" t="s">
        <v>11</v>
      </c>
    </row>
    <row r="1579" ht="12.75" customHeight="1">
      <c r="A1579" s="2">
        <v>2014.0</v>
      </c>
      <c r="B1579" s="2">
        <v>2.0</v>
      </c>
      <c r="C1579" s="2">
        <v>21.0</v>
      </c>
      <c r="D1579" s="2" t="s">
        <v>696</v>
      </c>
      <c r="E1579" s="2">
        <v>-50.0</v>
      </c>
      <c r="F1579" s="2">
        <v>0.0</v>
      </c>
      <c r="G1579" s="2">
        <f t="shared" si="1"/>
        <v>-50</v>
      </c>
      <c r="H1579" s="2" t="s">
        <v>42</v>
      </c>
      <c r="L1579" s="2" t="s">
        <v>11</v>
      </c>
    </row>
    <row r="1580" ht="12.75" customHeight="1">
      <c r="A1580" s="2">
        <v>2014.0</v>
      </c>
      <c r="B1580" s="2">
        <v>2.0</v>
      </c>
      <c r="C1580" s="2">
        <v>19.0</v>
      </c>
      <c r="D1580" s="2" t="s">
        <v>465</v>
      </c>
      <c r="E1580" s="2">
        <v>-70.0</v>
      </c>
      <c r="F1580" s="2">
        <v>0.0</v>
      </c>
      <c r="G1580" s="2">
        <f t="shared" si="1"/>
        <v>-70</v>
      </c>
      <c r="H1580" s="2" t="s">
        <v>47</v>
      </c>
      <c r="L1580" s="2" t="s">
        <v>11</v>
      </c>
    </row>
    <row r="1581" ht="12.75" customHeight="1">
      <c r="A1581" s="2">
        <v>2014.0</v>
      </c>
      <c r="B1581" s="2">
        <v>2.0</v>
      </c>
      <c r="C1581" s="2">
        <v>18.0</v>
      </c>
      <c r="D1581" s="2" t="s">
        <v>465</v>
      </c>
      <c r="E1581" s="2">
        <v>-65.0</v>
      </c>
      <c r="F1581" s="2">
        <v>0.0</v>
      </c>
      <c r="G1581" s="2">
        <f t="shared" si="1"/>
        <v>-65</v>
      </c>
      <c r="H1581" s="2" t="s">
        <v>47</v>
      </c>
      <c r="L1581" s="2" t="s">
        <v>11</v>
      </c>
    </row>
    <row r="1582" ht="12.75" customHeight="1">
      <c r="A1582" s="2">
        <v>2014.0</v>
      </c>
      <c r="B1582" s="2">
        <v>2.0</v>
      </c>
      <c r="C1582" s="2">
        <v>18.0</v>
      </c>
      <c r="D1582" s="2" t="s">
        <v>693</v>
      </c>
      <c r="E1582" s="2">
        <v>-50000.0</v>
      </c>
      <c r="F1582" s="2">
        <v>0.0</v>
      </c>
      <c r="G1582" s="2">
        <f t="shared" si="1"/>
        <v>-50000</v>
      </c>
      <c r="H1582" s="2" t="s">
        <v>28</v>
      </c>
      <c r="L1582" s="2" t="s">
        <v>11</v>
      </c>
    </row>
    <row r="1583" ht="12.75" customHeight="1">
      <c r="A1583" s="2">
        <v>2014.0</v>
      </c>
      <c r="B1583" s="2">
        <v>2.0</v>
      </c>
      <c r="C1583" s="2">
        <v>18.0</v>
      </c>
      <c r="D1583" s="2" t="s">
        <v>693</v>
      </c>
      <c r="E1583" s="2">
        <v>50000.0</v>
      </c>
      <c r="F1583" s="2">
        <v>0.0</v>
      </c>
      <c r="G1583" s="2">
        <f t="shared" si="1"/>
        <v>50000</v>
      </c>
      <c r="H1583" s="2" t="s">
        <v>28</v>
      </c>
      <c r="L1583" s="2" t="s">
        <v>11</v>
      </c>
    </row>
    <row r="1584" ht="12.75" customHeight="1">
      <c r="A1584" s="2">
        <v>2014.0</v>
      </c>
      <c r="B1584" s="2">
        <v>2.0</v>
      </c>
      <c r="C1584" s="2">
        <v>18.0</v>
      </c>
      <c r="D1584" s="2" t="s">
        <v>467</v>
      </c>
      <c r="E1584" s="2">
        <v>-800.0</v>
      </c>
      <c r="F1584" s="2">
        <v>0.0</v>
      </c>
      <c r="G1584" s="2">
        <f t="shared" si="1"/>
        <v>-800</v>
      </c>
      <c r="H1584" s="2" t="s">
        <v>38</v>
      </c>
      <c r="L1584" s="2" t="s">
        <v>11</v>
      </c>
    </row>
    <row r="1585" ht="12.75" customHeight="1">
      <c r="A1585" s="2">
        <v>2014.0</v>
      </c>
      <c r="B1585" s="2">
        <v>2.0</v>
      </c>
      <c r="C1585" s="2">
        <v>15.0</v>
      </c>
      <c r="D1585" s="2" t="s">
        <v>697</v>
      </c>
      <c r="E1585" s="2">
        <v>-40.0</v>
      </c>
      <c r="F1585" s="2">
        <v>0.0</v>
      </c>
      <c r="G1585" s="2">
        <f t="shared" si="1"/>
        <v>-40</v>
      </c>
      <c r="H1585" s="2" t="s">
        <v>47</v>
      </c>
      <c r="L1585" s="2" t="s">
        <v>11</v>
      </c>
    </row>
    <row r="1586" ht="12.75" customHeight="1">
      <c r="A1586" s="2">
        <v>2014.0</v>
      </c>
      <c r="B1586" s="2">
        <v>2.0</v>
      </c>
      <c r="C1586" s="2">
        <v>15.0</v>
      </c>
      <c r="D1586" s="2" t="s">
        <v>698</v>
      </c>
      <c r="E1586" s="2">
        <v>-25.0</v>
      </c>
      <c r="F1586" s="2">
        <v>0.0</v>
      </c>
      <c r="G1586" s="2">
        <f t="shared" si="1"/>
        <v>-25</v>
      </c>
      <c r="H1586" s="2" t="s">
        <v>47</v>
      </c>
      <c r="L1586" s="2" t="s">
        <v>11</v>
      </c>
    </row>
    <row r="1587" ht="12.75" customHeight="1">
      <c r="A1587" s="2">
        <v>2014.0</v>
      </c>
      <c r="B1587" s="2">
        <v>2.0</v>
      </c>
      <c r="C1587" s="2">
        <v>15.0</v>
      </c>
      <c r="D1587" s="2" t="s">
        <v>699</v>
      </c>
      <c r="E1587" s="2">
        <v>-120.0</v>
      </c>
      <c r="F1587" s="2">
        <v>0.0</v>
      </c>
      <c r="G1587" s="2">
        <f t="shared" si="1"/>
        <v>-120</v>
      </c>
      <c r="H1587" s="2" t="s">
        <v>35</v>
      </c>
      <c r="L1587" s="2" t="s">
        <v>11</v>
      </c>
    </row>
    <row r="1588" ht="12.75" customHeight="1">
      <c r="A1588" s="2">
        <v>2014.0</v>
      </c>
      <c r="B1588" s="2">
        <v>2.0</v>
      </c>
      <c r="C1588" s="2">
        <v>14.0</v>
      </c>
      <c r="D1588" s="2" t="s">
        <v>465</v>
      </c>
      <c r="E1588" s="2">
        <v>-60.0</v>
      </c>
      <c r="F1588" s="2">
        <v>0.0</v>
      </c>
      <c r="G1588" s="2">
        <f t="shared" si="1"/>
        <v>-60</v>
      </c>
      <c r="H1588" s="2" t="s">
        <v>47</v>
      </c>
      <c r="L1588" s="2" t="s">
        <v>11</v>
      </c>
    </row>
    <row r="1589" ht="12.75" customHeight="1">
      <c r="A1589" s="2">
        <v>2014.0</v>
      </c>
      <c r="B1589" s="2">
        <v>2.0</v>
      </c>
      <c r="C1589" s="2">
        <v>14.0</v>
      </c>
      <c r="D1589" s="2" t="s">
        <v>490</v>
      </c>
      <c r="E1589" s="2">
        <v>-75.0</v>
      </c>
      <c r="F1589" s="2">
        <v>0.0</v>
      </c>
      <c r="G1589" s="2">
        <f t="shared" si="1"/>
        <v>-75</v>
      </c>
      <c r="H1589" s="2" t="s">
        <v>47</v>
      </c>
      <c r="L1589" s="2" t="s">
        <v>11</v>
      </c>
    </row>
    <row r="1590" ht="12.75" customHeight="1">
      <c r="A1590" s="2">
        <v>2014.0</v>
      </c>
      <c r="B1590" s="2">
        <v>2.0</v>
      </c>
      <c r="C1590" s="2">
        <v>13.0</v>
      </c>
      <c r="D1590" s="2" t="s">
        <v>465</v>
      </c>
      <c r="E1590" s="2">
        <v>-60.0</v>
      </c>
      <c r="F1590" s="2">
        <v>0.0</v>
      </c>
      <c r="G1590" s="2">
        <f t="shared" si="1"/>
        <v>-60</v>
      </c>
      <c r="H1590" s="2" t="s">
        <v>47</v>
      </c>
      <c r="L1590" s="2" t="s">
        <v>11</v>
      </c>
    </row>
    <row r="1591" ht="12.75" customHeight="1">
      <c r="A1591" s="2">
        <v>2014.0</v>
      </c>
      <c r="B1591" s="2">
        <v>2.0</v>
      </c>
      <c r="C1591" s="2">
        <v>12.0</v>
      </c>
      <c r="D1591" s="2" t="s">
        <v>700</v>
      </c>
      <c r="E1591" s="2">
        <v>-150.3</v>
      </c>
      <c r="F1591" s="2">
        <v>0.0</v>
      </c>
      <c r="G1591" s="2">
        <f t="shared" si="1"/>
        <v>-150.3</v>
      </c>
      <c r="H1591" s="2" t="s">
        <v>47</v>
      </c>
      <c r="L1591" s="2" t="s">
        <v>11</v>
      </c>
    </row>
    <row r="1592" ht="12.75" customHeight="1">
      <c r="A1592" s="2">
        <v>2014.0</v>
      </c>
      <c r="B1592" s="2">
        <v>2.0</v>
      </c>
      <c r="C1592" s="2">
        <v>11.0</v>
      </c>
      <c r="D1592" s="2" t="s">
        <v>465</v>
      </c>
      <c r="E1592" s="2">
        <v>-60.0</v>
      </c>
      <c r="F1592" s="2">
        <v>0.0</v>
      </c>
      <c r="G1592" s="2">
        <f t="shared" si="1"/>
        <v>-60</v>
      </c>
      <c r="H1592" s="2" t="s">
        <v>47</v>
      </c>
      <c r="L1592" s="2" t="s">
        <v>11</v>
      </c>
    </row>
    <row r="1593" ht="12.75" customHeight="1">
      <c r="A1593" s="2">
        <v>2014.0</v>
      </c>
      <c r="B1593" s="2">
        <v>2.0</v>
      </c>
      <c r="C1593" s="2">
        <v>8.0</v>
      </c>
      <c r="D1593" s="2" t="s">
        <v>701</v>
      </c>
      <c r="E1593" s="2">
        <v>-129.0</v>
      </c>
      <c r="F1593" s="2">
        <v>0.0</v>
      </c>
      <c r="G1593" s="2">
        <f t="shared" si="1"/>
        <v>-129</v>
      </c>
      <c r="H1593" s="2" t="s">
        <v>13</v>
      </c>
      <c r="L1593" s="2" t="s">
        <v>11</v>
      </c>
    </row>
    <row r="1594" ht="12.75" customHeight="1">
      <c r="A1594" s="2">
        <v>2014.0</v>
      </c>
      <c r="B1594" s="2">
        <v>2.0</v>
      </c>
      <c r="C1594" s="2">
        <v>8.0</v>
      </c>
      <c r="D1594" s="2" t="s">
        <v>701</v>
      </c>
      <c r="E1594" s="2">
        <v>-1099.0</v>
      </c>
      <c r="F1594" s="2">
        <v>0.0</v>
      </c>
      <c r="G1594" s="2">
        <f t="shared" si="1"/>
        <v>-1099</v>
      </c>
      <c r="H1594" s="2" t="s">
        <v>35</v>
      </c>
      <c r="L1594" s="2" t="s">
        <v>11</v>
      </c>
    </row>
    <row r="1595" ht="12.75" customHeight="1">
      <c r="A1595" s="2">
        <v>2014.0</v>
      </c>
      <c r="B1595" s="2">
        <v>2.0</v>
      </c>
      <c r="C1595" s="2">
        <v>8.0</v>
      </c>
      <c r="D1595" s="2" t="s">
        <v>668</v>
      </c>
      <c r="E1595" s="2">
        <v>-135.0</v>
      </c>
      <c r="F1595" s="2">
        <v>0.0</v>
      </c>
      <c r="G1595" s="2">
        <f t="shared" si="1"/>
        <v>-135</v>
      </c>
      <c r="H1595" s="2" t="s">
        <v>35</v>
      </c>
      <c r="L1595" s="2" t="s">
        <v>11</v>
      </c>
    </row>
    <row r="1596" ht="12.75" customHeight="1">
      <c r="A1596" s="2">
        <v>2014.0</v>
      </c>
      <c r="B1596" s="2">
        <v>2.0</v>
      </c>
      <c r="C1596" s="2">
        <v>7.0</v>
      </c>
      <c r="D1596" s="2" t="s">
        <v>465</v>
      </c>
      <c r="E1596" s="2">
        <v>-75.0</v>
      </c>
      <c r="F1596" s="2">
        <v>0.0</v>
      </c>
      <c r="G1596" s="2">
        <f t="shared" si="1"/>
        <v>-75</v>
      </c>
      <c r="H1596" s="2" t="s">
        <v>47</v>
      </c>
      <c r="L1596" s="2" t="s">
        <v>11</v>
      </c>
    </row>
    <row r="1597" ht="12.75" customHeight="1">
      <c r="A1597" s="2">
        <v>2014.0</v>
      </c>
      <c r="B1597" s="2">
        <v>2.0</v>
      </c>
      <c r="C1597" s="2">
        <v>6.0</v>
      </c>
      <c r="D1597" s="2" t="s">
        <v>465</v>
      </c>
      <c r="E1597" s="2">
        <v>-55.0</v>
      </c>
      <c r="F1597" s="2">
        <v>0.0</v>
      </c>
      <c r="G1597" s="2">
        <f t="shared" si="1"/>
        <v>-55</v>
      </c>
      <c r="H1597" s="2" t="s">
        <v>47</v>
      </c>
      <c r="L1597" s="2" t="s">
        <v>11</v>
      </c>
    </row>
    <row r="1598" ht="12.75" customHeight="1">
      <c r="A1598" s="2">
        <v>2014.0</v>
      </c>
      <c r="B1598" s="2">
        <v>2.0</v>
      </c>
      <c r="C1598" s="2">
        <v>5.0</v>
      </c>
      <c r="D1598" s="2" t="s">
        <v>465</v>
      </c>
      <c r="E1598" s="2">
        <v>-60.0</v>
      </c>
      <c r="F1598" s="2">
        <v>0.0</v>
      </c>
      <c r="G1598" s="2">
        <f t="shared" si="1"/>
        <v>-60</v>
      </c>
      <c r="H1598" s="2" t="s">
        <v>47</v>
      </c>
      <c r="L1598" s="2" t="s">
        <v>11</v>
      </c>
    </row>
    <row r="1599" ht="12.75" customHeight="1">
      <c r="A1599" s="2">
        <v>2014.0</v>
      </c>
      <c r="B1599" s="2">
        <v>2.0</v>
      </c>
      <c r="C1599" s="2">
        <v>4.0</v>
      </c>
      <c r="D1599" s="2" t="s">
        <v>465</v>
      </c>
      <c r="E1599" s="2">
        <v>-125.0</v>
      </c>
      <c r="F1599" s="2">
        <v>0.0</v>
      </c>
      <c r="G1599" s="2">
        <f t="shared" si="1"/>
        <v>-125</v>
      </c>
      <c r="H1599" s="2" t="s">
        <v>47</v>
      </c>
      <c r="L1599" s="2" t="s">
        <v>11</v>
      </c>
    </row>
    <row r="1600" ht="12.75" customHeight="1">
      <c r="A1600" s="2">
        <v>2014.0</v>
      </c>
      <c r="B1600" s="2">
        <v>2.0</v>
      </c>
      <c r="C1600" s="2">
        <v>3.0</v>
      </c>
      <c r="D1600" s="2" t="s">
        <v>465</v>
      </c>
      <c r="E1600" s="2">
        <v>-65.0</v>
      </c>
      <c r="F1600" s="2">
        <v>0.0</v>
      </c>
      <c r="G1600" s="2">
        <f t="shared" si="1"/>
        <v>-65</v>
      </c>
      <c r="H1600" s="2" t="s">
        <v>47</v>
      </c>
      <c r="L1600" s="2" t="s">
        <v>11</v>
      </c>
    </row>
    <row r="1601" ht="12.75" customHeight="1">
      <c r="A1601" s="2">
        <v>2014.0</v>
      </c>
      <c r="B1601" s="2">
        <v>2.0</v>
      </c>
      <c r="C1601" s="2">
        <v>3.0</v>
      </c>
      <c r="D1601" s="2" t="s">
        <v>157</v>
      </c>
      <c r="E1601" s="2">
        <v>-119.0</v>
      </c>
      <c r="F1601" s="2">
        <v>0.0</v>
      </c>
      <c r="G1601" s="2">
        <f t="shared" si="1"/>
        <v>-119</v>
      </c>
      <c r="H1601" s="2" t="s">
        <v>17</v>
      </c>
      <c r="L1601" s="2" t="s">
        <v>11</v>
      </c>
    </row>
    <row r="1602" ht="12.75" customHeight="1">
      <c r="A1602" s="2">
        <v>2014.0</v>
      </c>
      <c r="B1602" s="2">
        <v>2.0</v>
      </c>
      <c r="C1602" s="2">
        <v>3.0</v>
      </c>
      <c r="D1602" s="2" t="s">
        <v>73</v>
      </c>
      <c r="E1602" s="2">
        <v>-6231.0</v>
      </c>
      <c r="F1602" s="2">
        <v>0.0</v>
      </c>
      <c r="G1602" s="2">
        <f t="shared" si="1"/>
        <v>-6231</v>
      </c>
      <c r="H1602" s="2" t="s">
        <v>10</v>
      </c>
      <c r="L1602" s="2" t="s">
        <v>11</v>
      </c>
    </row>
    <row r="1603" ht="12.75" customHeight="1">
      <c r="A1603" s="2">
        <v>2014.0</v>
      </c>
      <c r="B1603" s="2">
        <v>2.0</v>
      </c>
      <c r="C1603" s="2">
        <v>2.0</v>
      </c>
      <c r="D1603" s="2" t="s">
        <v>496</v>
      </c>
      <c r="E1603" s="2">
        <v>-82.0</v>
      </c>
      <c r="F1603" s="2">
        <v>0.0</v>
      </c>
      <c r="G1603" s="2">
        <f t="shared" si="1"/>
        <v>-82</v>
      </c>
      <c r="H1603" s="2" t="s">
        <v>47</v>
      </c>
      <c r="L1603" s="2" t="s">
        <v>11</v>
      </c>
    </row>
    <row r="1604" ht="12.75" customHeight="1">
      <c r="A1604" s="2">
        <v>2014.0</v>
      </c>
      <c r="B1604" s="2">
        <v>2.0</v>
      </c>
      <c r="C1604" s="2">
        <v>1.0</v>
      </c>
      <c r="D1604" s="2" t="s">
        <v>702</v>
      </c>
      <c r="E1604" s="2">
        <v>-358.74</v>
      </c>
      <c r="F1604" s="2">
        <v>0.0</v>
      </c>
      <c r="G1604" s="2">
        <f t="shared" si="1"/>
        <v>-358.74</v>
      </c>
      <c r="H1604" s="2" t="s">
        <v>35</v>
      </c>
      <c r="L1604" s="2" t="s">
        <v>11</v>
      </c>
    </row>
    <row r="1605" ht="12.75" customHeight="1">
      <c r="A1605" s="2">
        <v>2014.0</v>
      </c>
      <c r="B1605" s="2">
        <v>1.0</v>
      </c>
      <c r="C1605" s="2">
        <v>31.0</v>
      </c>
      <c r="D1605" s="2" t="s">
        <v>427</v>
      </c>
      <c r="E1605" s="2">
        <v>-472.0</v>
      </c>
      <c r="F1605" s="2">
        <v>0.0</v>
      </c>
      <c r="G1605" s="2">
        <f t="shared" si="1"/>
        <v>-472</v>
      </c>
      <c r="H1605" s="2" t="s">
        <v>428</v>
      </c>
      <c r="L1605" s="2" t="s">
        <v>11</v>
      </c>
    </row>
    <row r="1606" ht="12.75" customHeight="1">
      <c r="A1606" s="2">
        <v>2014.0</v>
      </c>
      <c r="B1606" s="2">
        <v>1.0</v>
      </c>
      <c r="C1606" s="2">
        <v>31.0</v>
      </c>
      <c r="D1606" s="2" t="s">
        <v>12</v>
      </c>
      <c r="E1606" s="2">
        <v>-12257.06</v>
      </c>
      <c r="F1606" s="2">
        <v>0.0</v>
      </c>
      <c r="G1606" s="2">
        <f t="shared" si="1"/>
        <v>-12257.06</v>
      </c>
      <c r="H1606" s="2" t="s">
        <v>28</v>
      </c>
      <c r="L1606" s="2" t="s">
        <v>228</v>
      </c>
    </row>
    <row r="1607" ht="12.75" customHeight="1">
      <c r="A1607" s="2">
        <v>2014.0</v>
      </c>
      <c r="B1607" s="2">
        <v>1.0</v>
      </c>
      <c r="C1607" s="2">
        <v>31.0</v>
      </c>
      <c r="D1607" s="2" t="s">
        <v>14</v>
      </c>
      <c r="E1607" s="2">
        <v>-4007.0</v>
      </c>
      <c r="F1607" s="2">
        <v>0.0</v>
      </c>
      <c r="G1607" s="2">
        <f t="shared" si="1"/>
        <v>-4007</v>
      </c>
      <c r="H1607" s="2" t="s">
        <v>10</v>
      </c>
      <c r="L1607" s="2" t="s">
        <v>11</v>
      </c>
    </row>
    <row r="1608" ht="12.75" customHeight="1">
      <c r="A1608" s="2">
        <v>2014.0</v>
      </c>
      <c r="B1608" s="2">
        <v>1.0</v>
      </c>
      <c r="C1608" s="2">
        <v>31.0</v>
      </c>
      <c r="D1608" s="2" t="s">
        <v>15</v>
      </c>
      <c r="E1608" s="2">
        <v>-207.8</v>
      </c>
      <c r="F1608" s="2">
        <v>0.0</v>
      </c>
      <c r="G1608" s="2">
        <f t="shared" si="1"/>
        <v>-207.8</v>
      </c>
      <c r="H1608" s="2" t="s">
        <v>10</v>
      </c>
      <c r="L1608" s="2" t="s">
        <v>11</v>
      </c>
    </row>
    <row r="1609" ht="12.75" customHeight="1">
      <c r="A1609" s="2">
        <v>2014.0</v>
      </c>
      <c r="B1609" s="2">
        <v>1.0</v>
      </c>
      <c r="C1609" s="2">
        <v>31.0</v>
      </c>
      <c r="D1609" s="2" t="s">
        <v>23</v>
      </c>
      <c r="E1609" s="2">
        <v>-285.0</v>
      </c>
      <c r="F1609" s="2">
        <v>0.0</v>
      </c>
      <c r="G1609" s="2">
        <f t="shared" si="1"/>
        <v>-285</v>
      </c>
      <c r="H1609" s="2" t="s">
        <v>24</v>
      </c>
      <c r="L1609" s="2" t="s">
        <v>11</v>
      </c>
    </row>
    <row r="1610" ht="12.75" customHeight="1">
      <c r="A1610" s="2">
        <v>2014.0</v>
      </c>
      <c r="B1610" s="2">
        <v>1.0</v>
      </c>
      <c r="C1610" s="2">
        <v>30.0</v>
      </c>
      <c r="D1610" s="2" t="s">
        <v>465</v>
      </c>
      <c r="E1610" s="2">
        <v>-55.0</v>
      </c>
      <c r="F1610" s="2">
        <v>0.0</v>
      </c>
      <c r="G1610" s="2">
        <f t="shared" si="1"/>
        <v>-55</v>
      </c>
      <c r="H1610" s="2" t="s">
        <v>47</v>
      </c>
      <c r="L1610" s="2" t="s">
        <v>11</v>
      </c>
    </row>
    <row r="1611" ht="12.75" customHeight="1">
      <c r="A1611" s="2">
        <v>2014.0</v>
      </c>
      <c r="B1611" s="2">
        <v>1.0</v>
      </c>
      <c r="C1611" s="2">
        <v>30.0</v>
      </c>
      <c r="D1611" s="2" t="s">
        <v>19</v>
      </c>
      <c r="E1611" s="2">
        <v>-320.0</v>
      </c>
      <c r="F1611" s="2">
        <v>0.0</v>
      </c>
      <c r="G1611" s="2">
        <f t="shared" si="1"/>
        <v>-320</v>
      </c>
      <c r="H1611" s="2" t="s">
        <v>20</v>
      </c>
      <c r="L1611" s="2" t="s">
        <v>11</v>
      </c>
    </row>
    <row r="1612" ht="12.75" customHeight="1">
      <c r="A1612" s="2">
        <v>2014.0</v>
      </c>
      <c r="B1612" s="2">
        <v>1.0</v>
      </c>
      <c r="C1612" s="2">
        <v>30.0</v>
      </c>
      <c r="D1612" s="2" t="s">
        <v>703</v>
      </c>
      <c r="E1612" s="2">
        <v>-90.0</v>
      </c>
      <c r="F1612" s="2">
        <v>0.0</v>
      </c>
      <c r="G1612" s="2">
        <f t="shared" si="1"/>
        <v>-90</v>
      </c>
      <c r="H1612" s="2" t="s">
        <v>47</v>
      </c>
      <c r="L1612" s="2" t="s">
        <v>11</v>
      </c>
    </row>
    <row r="1613" ht="12.75" customHeight="1">
      <c r="A1613" s="2">
        <v>2014.0</v>
      </c>
      <c r="B1613" s="2">
        <v>1.0</v>
      </c>
      <c r="C1613" s="2">
        <v>30.0</v>
      </c>
      <c r="D1613" s="2">
        <v>4.7516877E7</v>
      </c>
      <c r="E1613" s="2">
        <v>1000.0</v>
      </c>
      <c r="F1613" s="2">
        <v>0.0</v>
      </c>
      <c r="G1613" s="2">
        <f t="shared" si="1"/>
        <v>1000</v>
      </c>
      <c r="H1613" s="2" t="s">
        <v>18</v>
      </c>
      <c r="L1613" s="2" t="s">
        <v>11</v>
      </c>
    </row>
    <row r="1614" ht="12.75" customHeight="1">
      <c r="A1614" s="2">
        <v>2014.0</v>
      </c>
      <c r="B1614" s="2">
        <v>1.0</v>
      </c>
      <c r="C1614" s="2">
        <v>29.0</v>
      </c>
      <c r="D1614" s="2" t="s">
        <v>465</v>
      </c>
      <c r="E1614" s="2">
        <v>-55.0</v>
      </c>
      <c r="F1614" s="2">
        <v>0.0</v>
      </c>
      <c r="G1614" s="2">
        <f t="shared" si="1"/>
        <v>-55</v>
      </c>
      <c r="H1614" s="2" t="s">
        <v>47</v>
      </c>
      <c r="L1614" s="2" t="s">
        <v>11</v>
      </c>
    </row>
    <row r="1615" ht="12.75" customHeight="1">
      <c r="A1615" s="2">
        <v>2014.0</v>
      </c>
      <c r="B1615" s="2">
        <v>1.0</v>
      </c>
      <c r="C1615" s="2">
        <v>29.0</v>
      </c>
      <c r="D1615" s="2" t="s">
        <v>467</v>
      </c>
      <c r="E1615" s="2">
        <v>-800.0</v>
      </c>
      <c r="F1615" s="2">
        <v>0.0</v>
      </c>
      <c r="G1615" s="2">
        <f t="shared" si="1"/>
        <v>-800</v>
      </c>
      <c r="H1615" s="2" t="s">
        <v>38</v>
      </c>
      <c r="L1615" s="2" t="s">
        <v>11</v>
      </c>
    </row>
    <row r="1616" ht="12.75" customHeight="1">
      <c r="A1616" s="2">
        <v>2014.0</v>
      </c>
      <c r="B1616" s="2">
        <v>1.0</v>
      </c>
      <c r="C1616" s="2">
        <v>28.0</v>
      </c>
      <c r="D1616" s="2" t="s">
        <v>25</v>
      </c>
      <c r="E1616" s="2">
        <v>-100.0</v>
      </c>
      <c r="F1616" s="2">
        <v>0.0</v>
      </c>
      <c r="G1616" s="2">
        <f t="shared" si="1"/>
        <v>-100</v>
      </c>
      <c r="H1616" s="2" t="s">
        <v>26</v>
      </c>
      <c r="L1616" s="2" t="s">
        <v>11</v>
      </c>
    </row>
    <row r="1617" ht="12.75" customHeight="1">
      <c r="A1617" s="2">
        <v>2014.0</v>
      </c>
      <c r="B1617" s="2">
        <v>1.0</v>
      </c>
      <c r="C1617" s="2">
        <v>28.0</v>
      </c>
      <c r="D1617" s="2" t="s">
        <v>465</v>
      </c>
      <c r="E1617" s="2">
        <v>-65.0</v>
      </c>
      <c r="F1617" s="2">
        <v>0.0</v>
      </c>
      <c r="G1617" s="2">
        <f t="shared" si="1"/>
        <v>-65</v>
      </c>
      <c r="H1617" s="2" t="s">
        <v>47</v>
      </c>
      <c r="L1617" s="2" t="s">
        <v>11</v>
      </c>
    </row>
    <row r="1618" ht="12.75" customHeight="1">
      <c r="A1618" s="2">
        <v>2014.0</v>
      </c>
      <c r="B1618" s="2">
        <v>1.0</v>
      </c>
      <c r="C1618" s="2">
        <v>27.0</v>
      </c>
      <c r="D1618" s="2" t="s">
        <v>465</v>
      </c>
      <c r="E1618" s="2">
        <v>-45.0</v>
      </c>
      <c r="F1618" s="2">
        <v>0.0</v>
      </c>
      <c r="G1618" s="2">
        <f t="shared" si="1"/>
        <v>-45</v>
      </c>
      <c r="H1618" s="2" t="s">
        <v>47</v>
      </c>
      <c r="L1618" s="2" t="s">
        <v>11</v>
      </c>
    </row>
    <row r="1619" ht="12.75" customHeight="1">
      <c r="A1619" s="2">
        <v>2014.0</v>
      </c>
      <c r="B1619" s="2">
        <v>1.0</v>
      </c>
      <c r="C1619" s="2">
        <v>27.0</v>
      </c>
      <c r="D1619" s="2" t="s">
        <v>382</v>
      </c>
      <c r="E1619" s="2">
        <v>-299.0</v>
      </c>
      <c r="F1619" s="2">
        <v>0.0</v>
      </c>
      <c r="G1619" s="2">
        <f t="shared" si="1"/>
        <v>-299</v>
      </c>
      <c r="H1619" s="2" t="s">
        <v>22</v>
      </c>
      <c r="L1619" s="2" t="s">
        <v>11</v>
      </c>
    </row>
    <row r="1620" ht="12.75" customHeight="1">
      <c r="A1620" s="2">
        <v>2014.0</v>
      </c>
      <c r="B1620" s="2">
        <v>1.0</v>
      </c>
      <c r="C1620" s="2">
        <v>27.0</v>
      </c>
      <c r="D1620" s="2" t="s">
        <v>27</v>
      </c>
      <c r="E1620" s="2">
        <v>-5000.0</v>
      </c>
      <c r="F1620" s="2">
        <v>0.0</v>
      </c>
      <c r="G1620" s="2">
        <f t="shared" si="1"/>
        <v>-5000</v>
      </c>
      <c r="H1620" s="2" t="s">
        <v>28</v>
      </c>
      <c r="L1620" s="2" t="s">
        <v>11</v>
      </c>
    </row>
    <row r="1621" ht="12.75" customHeight="1">
      <c r="A1621" s="2">
        <v>2014.0</v>
      </c>
      <c r="B1621" s="2">
        <v>1.0</v>
      </c>
      <c r="C1621" s="2">
        <v>27.0</v>
      </c>
      <c r="D1621" s="2" t="s">
        <v>27</v>
      </c>
      <c r="E1621" s="2">
        <v>5000.0</v>
      </c>
      <c r="F1621" s="2">
        <v>0.0</v>
      </c>
      <c r="G1621" s="2">
        <f t="shared" si="1"/>
        <v>5000</v>
      </c>
      <c r="H1621" s="2" t="s">
        <v>28</v>
      </c>
      <c r="L1621" s="2" t="s">
        <v>11</v>
      </c>
    </row>
    <row r="1622" ht="12.75" customHeight="1">
      <c r="A1622" s="2">
        <v>2014.0</v>
      </c>
      <c r="B1622" s="2">
        <v>1.0</v>
      </c>
      <c r="C1622" s="2">
        <v>27.0</v>
      </c>
      <c r="D1622" s="2" t="s">
        <v>29</v>
      </c>
      <c r="E1622" s="2">
        <v>-1250.0</v>
      </c>
      <c r="F1622" s="2">
        <v>0.0</v>
      </c>
      <c r="G1622" s="2">
        <f t="shared" si="1"/>
        <v>-1250</v>
      </c>
      <c r="H1622" s="2" t="s">
        <v>18</v>
      </c>
      <c r="L1622" s="2" t="s">
        <v>11</v>
      </c>
    </row>
    <row r="1623" ht="12.75" customHeight="1">
      <c r="A1623" s="2">
        <v>2014.0</v>
      </c>
      <c r="B1623" s="2">
        <v>1.0</v>
      </c>
      <c r="C1623" s="2">
        <v>25.0</v>
      </c>
      <c r="D1623" s="2" t="s">
        <v>704</v>
      </c>
      <c r="E1623" s="2">
        <v>2561.0</v>
      </c>
      <c r="F1623" s="2">
        <v>0.0</v>
      </c>
      <c r="G1623" s="2">
        <f t="shared" si="1"/>
        <v>2561</v>
      </c>
      <c r="H1623" s="2" t="s">
        <v>35</v>
      </c>
      <c r="L1623" s="2" t="s">
        <v>11</v>
      </c>
    </row>
    <row r="1624" ht="12.75" customHeight="1">
      <c r="A1624" s="2">
        <v>2014.0</v>
      </c>
      <c r="B1624" s="2">
        <v>1.0</v>
      </c>
      <c r="C1624" s="2">
        <v>25.0</v>
      </c>
      <c r="D1624" s="2" t="s">
        <v>705</v>
      </c>
      <c r="E1624" s="2">
        <v>-133.6</v>
      </c>
      <c r="F1624" s="2">
        <v>0.0</v>
      </c>
      <c r="G1624" s="2">
        <f t="shared" si="1"/>
        <v>-133.6</v>
      </c>
      <c r="H1624" s="2" t="s">
        <v>47</v>
      </c>
      <c r="L1624" s="2" t="s">
        <v>11</v>
      </c>
    </row>
    <row r="1625" ht="12.75" customHeight="1">
      <c r="A1625" s="2">
        <v>2014.0</v>
      </c>
      <c r="B1625" s="2">
        <v>1.0</v>
      </c>
      <c r="C1625" s="2">
        <v>24.0</v>
      </c>
      <c r="D1625" s="2" t="s">
        <v>465</v>
      </c>
      <c r="E1625" s="2">
        <v>-45.0</v>
      </c>
      <c r="F1625" s="2">
        <v>0.0</v>
      </c>
      <c r="G1625" s="2">
        <f t="shared" si="1"/>
        <v>-45</v>
      </c>
      <c r="H1625" s="2" t="s">
        <v>47</v>
      </c>
      <c r="L1625" s="2" t="s">
        <v>11</v>
      </c>
    </row>
    <row r="1626" ht="12.75" customHeight="1">
      <c r="A1626" s="2">
        <v>2014.0</v>
      </c>
      <c r="B1626" s="2">
        <v>1.0</v>
      </c>
      <c r="C1626" s="2">
        <v>23.0</v>
      </c>
      <c r="D1626" s="2" t="s">
        <v>465</v>
      </c>
      <c r="E1626" s="2">
        <v>-45.0</v>
      </c>
      <c r="F1626" s="2">
        <v>0.0</v>
      </c>
      <c r="G1626" s="2">
        <f t="shared" si="1"/>
        <v>-45</v>
      </c>
      <c r="H1626" s="2" t="s">
        <v>47</v>
      </c>
      <c r="L1626" s="2" t="s">
        <v>11</v>
      </c>
    </row>
    <row r="1627" ht="12.75" customHeight="1">
      <c r="A1627" s="2">
        <v>2014.0</v>
      </c>
      <c r="B1627" s="2">
        <v>1.0</v>
      </c>
      <c r="C1627" s="2">
        <v>23.0</v>
      </c>
      <c r="D1627" s="2" t="s">
        <v>39</v>
      </c>
      <c r="E1627" s="2">
        <v>28581.0</v>
      </c>
      <c r="F1627" s="2">
        <v>0.0</v>
      </c>
      <c r="G1627" s="2">
        <f t="shared" si="1"/>
        <v>28581</v>
      </c>
      <c r="H1627" s="2" t="s">
        <v>40</v>
      </c>
      <c r="L1627" s="2" t="s">
        <v>11</v>
      </c>
    </row>
    <row r="1628" ht="12.75" customHeight="1">
      <c r="A1628" s="2">
        <v>2014.0</v>
      </c>
      <c r="B1628" s="2">
        <v>1.0</v>
      </c>
      <c r="C1628" s="2">
        <v>22.0</v>
      </c>
      <c r="D1628" s="2" t="s">
        <v>465</v>
      </c>
      <c r="E1628" s="2">
        <v>-45.0</v>
      </c>
      <c r="F1628" s="2">
        <v>0.0</v>
      </c>
      <c r="G1628" s="2">
        <f t="shared" si="1"/>
        <v>-45</v>
      </c>
      <c r="H1628" s="2" t="s">
        <v>47</v>
      </c>
      <c r="L1628" s="2" t="s">
        <v>11</v>
      </c>
    </row>
    <row r="1629" ht="12.75" customHeight="1">
      <c r="A1629" s="2">
        <v>2014.0</v>
      </c>
      <c r="B1629" s="2">
        <v>1.0</v>
      </c>
      <c r="C1629" s="2">
        <v>22.0</v>
      </c>
      <c r="D1629" s="2" t="s">
        <v>495</v>
      </c>
      <c r="E1629" s="2">
        <v>-95.0</v>
      </c>
      <c r="F1629" s="2">
        <v>0.0</v>
      </c>
      <c r="G1629" s="2">
        <f t="shared" si="1"/>
        <v>-95</v>
      </c>
      <c r="H1629" s="2" t="s">
        <v>38</v>
      </c>
      <c r="L1629" s="2" t="s">
        <v>11</v>
      </c>
    </row>
    <row r="1630" ht="12.75" customHeight="1">
      <c r="A1630" s="2">
        <v>2014.0</v>
      </c>
      <c r="B1630" s="2">
        <v>1.0</v>
      </c>
      <c r="C1630" s="2">
        <v>21.0</v>
      </c>
      <c r="D1630" s="2" t="s">
        <v>465</v>
      </c>
      <c r="E1630" s="2">
        <v>-75.0</v>
      </c>
      <c r="F1630" s="2">
        <v>0.0</v>
      </c>
      <c r="G1630" s="2">
        <f t="shared" si="1"/>
        <v>-75</v>
      </c>
      <c r="H1630" s="2" t="s">
        <v>47</v>
      </c>
      <c r="L1630" s="2" t="s">
        <v>11</v>
      </c>
    </row>
    <row r="1631" ht="12.75" customHeight="1">
      <c r="A1631" s="2">
        <v>2014.0</v>
      </c>
      <c r="B1631" s="2">
        <v>1.0</v>
      </c>
      <c r="C1631" s="2">
        <v>19.0</v>
      </c>
      <c r="D1631" s="2" t="s">
        <v>706</v>
      </c>
      <c r="E1631" s="2">
        <v>-15.0</v>
      </c>
      <c r="F1631" s="2">
        <v>0.0</v>
      </c>
      <c r="G1631" s="2">
        <f t="shared" si="1"/>
        <v>-15</v>
      </c>
      <c r="H1631" s="2" t="s">
        <v>31</v>
      </c>
      <c r="L1631" s="2" t="s">
        <v>11</v>
      </c>
    </row>
    <row r="1632" ht="12.75" customHeight="1">
      <c r="A1632" s="2">
        <v>2014.0</v>
      </c>
      <c r="B1632" s="2">
        <v>1.0</v>
      </c>
      <c r="C1632" s="2">
        <v>19.0</v>
      </c>
      <c r="D1632" s="2" t="s">
        <v>707</v>
      </c>
      <c r="E1632" s="2">
        <v>-38.0</v>
      </c>
      <c r="F1632" s="2">
        <v>0.0</v>
      </c>
      <c r="G1632" s="2">
        <f t="shared" si="1"/>
        <v>-38</v>
      </c>
      <c r="H1632" s="2" t="s">
        <v>47</v>
      </c>
      <c r="L1632" s="2" t="s">
        <v>11</v>
      </c>
    </row>
    <row r="1633" ht="12.75" customHeight="1">
      <c r="A1633" s="2">
        <v>2014.0</v>
      </c>
      <c r="B1633" s="2">
        <v>1.0</v>
      </c>
      <c r="C1633" s="2">
        <v>19.0</v>
      </c>
      <c r="D1633" s="2" t="s">
        <v>708</v>
      </c>
      <c r="E1633" s="2">
        <v>-399.0</v>
      </c>
      <c r="F1633" s="2">
        <v>0.0</v>
      </c>
      <c r="G1633" s="2">
        <f t="shared" si="1"/>
        <v>-399</v>
      </c>
      <c r="H1633" s="2" t="s">
        <v>123</v>
      </c>
      <c r="L1633" s="2" t="s">
        <v>11</v>
      </c>
    </row>
    <row r="1634" ht="12.75" customHeight="1">
      <c r="A1634" s="2">
        <v>2014.0</v>
      </c>
      <c r="B1634" s="2">
        <v>1.0</v>
      </c>
      <c r="C1634" s="2">
        <v>18.0</v>
      </c>
      <c r="D1634" s="2" t="s">
        <v>709</v>
      </c>
      <c r="E1634" s="2">
        <v>-332.0</v>
      </c>
      <c r="F1634" s="2">
        <v>0.0</v>
      </c>
      <c r="G1634" s="2">
        <f t="shared" si="1"/>
        <v>-332</v>
      </c>
      <c r="H1634" s="2" t="s">
        <v>47</v>
      </c>
      <c r="L1634" s="2" t="s">
        <v>11</v>
      </c>
    </row>
    <row r="1635" ht="12.75" customHeight="1">
      <c r="A1635" s="2">
        <v>2014.0</v>
      </c>
      <c r="B1635" s="2">
        <v>1.0</v>
      </c>
      <c r="C1635" s="2">
        <v>18.0</v>
      </c>
      <c r="D1635" s="2" t="s">
        <v>710</v>
      </c>
      <c r="E1635" s="2">
        <v>-169.11</v>
      </c>
      <c r="F1635" s="2">
        <v>0.0</v>
      </c>
      <c r="G1635" s="2">
        <f t="shared" si="1"/>
        <v>-169.11</v>
      </c>
      <c r="H1635" s="2" t="s">
        <v>47</v>
      </c>
      <c r="L1635" s="2" t="s">
        <v>11</v>
      </c>
    </row>
    <row r="1636" ht="12.75" customHeight="1">
      <c r="A1636" s="2">
        <v>2014.0</v>
      </c>
      <c r="B1636" s="2">
        <v>1.0</v>
      </c>
      <c r="C1636" s="2">
        <v>17.0</v>
      </c>
      <c r="D1636" s="2" t="s">
        <v>705</v>
      </c>
      <c r="E1636" s="2">
        <v>-219.25</v>
      </c>
      <c r="F1636" s="2">
        <v>0.0</v>
      </c>
      <c r="G1636" s="2">
        <f t="shared" si="1"/>
        <v>-219.25</v>
      </c>
      <c r="H1636" s="2" t="s">
        <v>47</v>
      </c>
      <c r="L1636" s="2" t="s">
        <v>11</v>
      </c>
    </row>
    <row r="1637" ht="12.75" customHeight="1">
      <c r="A1637" s="2">
        <v>2014.0</v>
      </c>
      <c r="B1637" s="2">
        <v>1.0</v>
      </c>
      <c r="C1637" s="2">
        <v>15.0</v>
      </c>
      <c r="D1637" s="2" t="s">
        <v>711</v>
      </c>
      <c r="E1637" s="2">
        <v>-84.0</v>
      </c>
      <c r="F1637" s="2">
        <v>0.0</v>
      </c>
      <c r="G1637" s="2">
        <f t="shared" si="1"/>
        <v>-84</v>
      </c>
      <c r="H1637" s="2" t="s">
        <v>47</v>
      </c>
      <c r="L1637" s="2" t="s">
        <v>11</v>
      </c>
    </row>
    <row r="1638" ht="12.75" customHeight="1">
      <c r="A1638" s="2">
        <v>2014.0</v>
      </c>
      <c r="B1638" s="2">
        <v>1.0</v>
      </c>
      <c r="C1638" s="2">
        <v>10.0</v>
      </c>
      <c r="D1638" s="2" t="s">
        <v>15</v>
      </c>
      <c r="E1638" s="2">
        <v>-207.8</v>
      </c>
      <c r="F1638" s="2">
        <v>0.0</v>
      </c>
      <c r="G1638" s="2">
        <f t="shared" si="1"/>
        <v>-207.8</v>
      </c>
      <c r="H1638" s="2" t="s">
        <v>10</v>
      </c>
      <c r="L1638" s="2" t="s">
        <v>11</v>
      </c>
    </row>
    <row r="1639" ht="12.75" customHeight="1">
      <c r="A1639" s="2">
        <v>2014.0</v>
      </c>
      <c r="B1639" s="2">
        <v>1.0</v>
      </c>
      <c r="C1639" s="2">
        <v>10.0</v>
      </c>
      <c r="D1639" s="2" t="s">
        <v>467</v>
      </c>
      <c r="E1639" s="2">
        <v>-800.0</v>
      </c>
      <c r="F1639" s="2">
        <v>0.0</v>
      </c>
      <c r="G1639" s="2">
        <f t="shared" si="1"/>
        <v>-800</v>
      </c>
      <c r="H1639" s="2" t="s">
        <v>38</v>
      </c>
      <c r="L1639" s="2" t="s">
        <v>11</v>
      </c>
    </row>
    <row r="1640" ht="12.75" customHeight="1">
      <c r="A1640" s="2">
        <v>2014.0</v>
      </c>
      <c r="B1640" s="2">
        <v>1.0</v>
      </c>
      <c r="C1640" s="2">
        <v>8.0</v>
      </c>
      <c r="D1640" s="2" t="s">
        <v>712</v>
      </c>
      <c r="E1640" s="2">
        <v>-70.0</v>
      </c>
      <c r="F1640" s="2">
        <v>0.0</v>
      </c>
      <c r="G1640" s="2">
        <f t="shared" si="1"/>
        <v>-70</v>
      </c>
      <c r="H1640" s="2" t="s">
        <v>47</v>
      </c>
      <c r="L1640" s="2" t="s">
        <v>11</v>
      </c>
    </row>
    <row r="1641" ht="12.75" customHeight="1">
      <c r="A1641" s="2">
        <v>2014.0</v>
      </c>
      <c r="B1641" s="2">
        <v>1.0</v>
      </c>
      <c r="C1641" s="2">
        <v>8.0</v>
      </c>
      <c r="D1641" s="2" t="s">
        <v>639</v>
      </c>
      <c r="E1641" s="2">
        <v>-1470.0</v>
      </c>
      <c r="F1641" s="2">
        <v>0.0</v>
      </c>
      <c r="G1641" s="2">
        <f t="shared" si="1"/>
        <v>-1470</v>
      </c>
      <c r="H1641" s="2" t="s">
        <v>50</v>
      </c>
      <c r="L1641" s="2" t="s">
        <v>11</v>
      </c>
    </row>
    <row r="1642" ht="12.75" customHeight="1">
      <c r="A1642" s="2">
        <v>2014.0</v>
      </c>
      <c r="B1642" s="2">
        <v>1.0</v>
      </c>
      <c r="C1642" s="2">
        <v>7.0</v>
      </c>
      <c r="D1642" s="2" t="s">
        <v>712</v>
      </c>
      <c r="E1642" s="2">
        <v>-95.0</v>
      </c>
      <c r="F1642" s="2">
        <v>0.0</v>
      </c>
      <c r="G1642" s="2">
        <f t="shared" si="1"/>
        <v>-95</v>
      </c>
      <c r="H1642" s="2" t="s">
        <v>47</v>
      </c>
      <c r="L1642" s="2" t="s">
        <v>11</v>
      </c>
    </row>
    <row r="1643" ht="12.75" customHeight="1">
      <c r="A1643" s="2">
        <v>2014.0</v>
      </c>
      <c r="B1643" s="2">
        <v>1.0</v>
      </c>
      <c r="C1643" s="2">
        <v>5.0</v>
      </c>
      <c r="D1643" s="2" t="s">
        <v>669</v>
      </c>
      <c r="E1643" s="2">
        <v>700.0</v>
      </c>
      <c r="F1643" s="2">
        <v>0.0</v>
      </c>
      <c r="G1643" s="2">
        <f t="shared" si="1"/>
        <v>700</v>
      </c>
      <c r="H1643" s="2" t="s">
        <v>31</v>
      </c>
      <c r="L1643" s="2" t="s">
        <v>11</v>
      </c>
    </row>
    <row r="1644" ht="12.75" customHeight="1">
      <c r="A1644" s="2">
        <v>2014.0</v>
      </c>
      <c r="B1644" s="2">
        <v>1.0</v>
      </c>
      <c r="C1644" s="2">
        <v>3.0</v>
      </c>
      <c r="D1644" s="2" t="s">
        <v>674</v>
      </c>
      <c r="E1644" s="2">
        <v>-97.2</v>
      </c>
      <c r="F1644" s="2">
        <v>0.0</v>
      </c>
      <c r="G1644" s="2">
        <f t="shared" si="1"/>
        <v>-97.2</v>
      </c>
      <c r="H1644" s="2" t="s">
        <v>54</v>
      </c>
      <c r="L1644" s="2" t="s">
        <v>11</v>
      </c>
    </row>
    <row r="1645" ht="12.75" customHeight="1">
      <c r="A1645" s="2">
        <v>2014.0</v>
      </c>
      <c r="B1645" s="2">
        <v>1.0</v>
      </c>
      <c r="C1645" s="2">
        <v>3.0</v>
      </c>
      <c r="D1645" s="2" t="s">
        <v>674</v>
      </c>
      <c r="E1645" s="2">
        <v>-51.0</v>
      </c>
      <c r="F1645" s="2">
        <v>0.0</v>
      </c>
      <c r="G1645" s="2">
        <f t="shared" si="1"/>
        <v>-51</v>
      </c>
      <c r="H1645" s="2" t="s">
        <v>54</v>
      </c>
      <c r="L1645" s="2" t="s">
        <v>11</v>
      </c>
    </row>
    <row r="1646" ht="12.75" customHeight="1">
      <c r="A1646" s="2">
        <v>2014.0</v>
      </c>
      <c r="B1646" s="2">
        <v>1.0</v>
      </c>
      <c r="C1646" s="2">
        <v>3.0</v>
      </c>
      <c r="D1646" s="2" t="s">
        <v>495</v>
      </c>
      <c r="E1646" s="2">
        <v>-95.0</v>
      </c>
      <c r="F1646" s="2">
        <v>0.0</v>
      </c>
      <c r="G1646" s="2">
        <f t="shared" si="1"/>
        <v>-95</v>
      </c>
      <c r="H1646" s="2" t="s">
        <v>38</v>
      </c>
      <c r="L1646" s="2" t="s">
        <v>11</v>
      </c>
    </row>
    <row r="1647" ht="12.75" customHeight="1">
      <c r="A1647" s="2">
        <v>2014.0</v>
      </c>
      <c r="B1647" s="2">
        <v>1.0</v>
      </c>
      <c r="C1647" s="2">
        <v>3.0</v>
      </c>
      <c r="D1647" s="2" t="s">
        <v>102</v>
      </c>
      <c r="E1647" s="2">
        <v>-192.0</v>
      </c>
      <c r="F1647" s="2">
        <v>0.0</v>
      </c>
      <c r="G1647" s="2">
        <f t="shared" si="1"/>
        <v>-192</v>
      </c>
      <c r="H1647" s="2" t="s">
        <v>103</v>
      </c>
      <c r="L1647" s="2" t="s">
        <v>11</v>
      </c>
    </row>
    <row r="1648" ht="12.75" customHeight="1">
      <c r="A1648" s="2">
        <v>2014.0</v>
      </c>
      <c r="B1648" s="2">
        <v>1.0</v>
      </c>
      <c r="C1648" s="2">
        <v>3.0</v>
      </c>
      <c r="D1648" s="2" t="s">
        <v>713</v>
      </c>
      <c r="E1648" s="2">
        <v>-50.0</v>
      </c>
      <c r="F1648" s="2">
        <v>0.0</v>
      </c>
      <c r="G1648" s="2">
        <f t="shared" si="1"/>
        <v>-50</v>
      </c>
      <c r="H1648" s="2" t="s">
        <v>31</v>
      </c>
      <c r="L1648" s="2" t="s">
        <v>11</v>
      </c>
    </row>
    <row r="1649" ht="12.75" customHeight="1">
      <c r="A1649" s="2">
        <v>2014.0</v>
      </c>
      <c r="B1649" s="2">
        <v>1.0</v>
      </c>
      <c r="C1649" s="2">
        <v>2.0</v>
      </c>
      <c r="D1649" s="2" t="s">
        <v>495</v>
      </c>
      <c r="E1649" s="2">
        <v>-95.0</v>
      </c>
      <c r="F1649" s="2">
        <v>0.0</v>
      </c>
      <c r="G1649" s="2">
        <f t="shared" si="1"/>
        <v>-95</v>
      </c>
      <c r="H1649" s="2" t="s">
        <v>38</v>
      </c>
      <c r="L1649" s="2" t="s">
        <v>11</v>
      </c>
    </row>
    <row r="1650" ht="12.75" customHeight="1">
      <c r="A1650" s="2">
        <v>2014.0</v>
      </c>
      <c r="B1650" s="2">
        <v>1.0</v>
      </c>
      <c r="C1650" s="2">
        <v>2.0</v>
      </c>
      <c r="D1650" s="2" t="s">
        <v>157</v>
      </c>
      <c r="E1650" s="2">
        <v>-119.0</v>
      </c>
      <c r="F1650" s="2">
        <v>0.0</v>
      </c>
      <c r="G1650" s="2">
        <f t="shared" si="1"/>
        <v>-119</v>
      </c>
      <c r="H1650" s="2" t="s">
        <v>17</v>
      </c>
      <c r="L1650" s="2" t="s">
        <v>11</v>
      </c>
    </row>
    <row r="1651" ht="12.75" customHeight="1">
      <c r="A1651" s="2">
        <v>2014.0</v>
      </c>
      <c r="B1651" s="2">
        <v>1.0</v>
      </c>
      <c r="C1651" s="2">
        <v>2.0</v>
      </c>
      <c r="D1651" s="2" t="s">
        <v>73</v>
      </c>
      <c r="E1651" s="2">
        <v>-6239.0</v>
      </c>
      <c r="F1651" s="2">
        <v>0.0</v>
      </c>
      <c r="G1651" s="2">
        <f t="shared" si="1"/>
        <v>-6239</v>
      </c>
      <c r="H1651" s="2" t="s">
        <v>10</v>
      </c>
      <c r="L1651" s="2" t="s">
        <v>11</v>
      </c>
    </row>
    <row r="1652" ht="12.75" customHeight="1">
      <c r="A1652" s="2">
        <v>2014.0</v>
      </c>
      <c r="B1652" s="2">
        <v>1.0</v>
      </c>
      <c r="C1652" s="2">
        <v>2.0</v>
      </c>
      <c r="D1652" s="2" t="s">
        <v>102</v>
      </c>
      <c r="E1652" s="2">
        <v>-241.0</v>
      </c>
      <c r="F1652" s="2">
        <v>0.0</v>
      </c>
      <c r="G1652" s="2">
        <f t="shared" si="1"/>
        <v>-241</v>
      </c>
      <c r="H1652" s="2" t="s">
        <v>103</v>
      </c>
      <c r="L1652" s="2" t="s">
        <v>11</v>
      </c>
    </row>
    <row r="1653" ht="12.75" customHeight="1">
      <c r="A1653" s="2">
        <v>2014.0</v>
      </c>
      <c r="B1653" s="2">
        <v>1.0</v>
      </c>
      <c r="C1653" s="2">
        <v>1.0</v>
      </c>
      <c r="D1653" s="2" t="s">
        <v>714</v>
      </c>
      <c r="E1653" s="2">
        <v>-500.0</v>
      </c>
      <c r="F1653" s="2">
        <v>0.0</v>
      </c>
      <c r="G1653" s="2">
        <f t="shared" si="1"/>
        <v>-500</v>
      </c>
      <c r="H1653" s="2" t="s">
        <v>50</v>
      </c>
      <c r="L1653" s="2" t="s">
        <v>11</v>
      </c>
    </row>
    <row r="1654" ht="12.75" customHeight="1">
      <c r="A1654" s="2">
        <v>2014.0</v>
      </c>
      <c r="B1654" s="2">
        <v>1.0</v>
      </c>
      <c r="C1654" s="2">
        <v>1.0</v>
      </c>
      <c r="D1654" s="2" t="s">
        <v>715</v>
      </c>
      <c r="E1654" s="2">
        <v>-87.0</v>
      </c>
      <c r="F1654" s="2">
        <v>0.0</v>
      </c>
      <c r="G1654" s="2">
        <f t="shared" si="1"/>
        <v>-87</v>
      </c>
      <c r="H1654" s="2" t="s">
        <v>47</v>
      </c>
      <c r="L1654" s="2" t="s">
        <v>11</v>
      </c>
    </row>
    <row r="1655" ht="12.75" customHeight="1">
      <c r="A1655" s="2">
        <v>2014.0</v>
      </c>
      <c r="B1655" s="2">
        <v>1.0</v>
      </c>
      <c r="C1655" s="2">
        <v>1.0</v>
      </c>
      <c r="D1655" s="2" t="s">
        <v>496</v>
      </c>
      <c r="E1655" s="2">
        <v>-80.0</v>
      </c>
      <c r="F1655" s="2">
        <v>0.0</v>
      </c>
      <c r="G1655" s="2">
        <f t="shared" si="1"/>
        <v>-80</v>
      </c>
      <c r="H1655" s="2" t="s">
        <v>47</v>
      </c>
      <c r="L1655" s="2" t="s">
        <v>11</v>
      </c>
    </row>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2.63" defaultRowHeight="15.0"/>
  <cols>
    <col customWidth="1" min="1" max="1" width="2.13"/>
    <col customWidth="1" min="2" max="2" width="21.75"/>
    <col customWidth="1" min="3" max="4" width="10.88"/>
    <col customWidth="1" min="5" max="5" width="13.13"/>
    <col customWidth="1" min="6" max="6" width="16.63"/>
    <col customWidth="1" min="7" max="7" width="14.13"/>
    <col customWidth="1" min="8" max="8" width="9.38"/>
    <col customWidth="1" min="9" max="9" width="10.38"/>
    <col customWidth="1" min="10" max="10" width="10.75"/>
    <col customWidth="1" min="11" max="11" width="10.25"/>
    <col customWidth="1" min="12" max="12" width="9.38"/>
    <col customWidth="1" min="13" max="13" width="9.75"/>
    <col customWidth="1" min="14" max="14" width="9.25"/>
    <col customWidth="1" min="15" max="15" width="12.0"/>
    <col customWidth="1" min="16" max="16" width="11.13"/>
    <col customWidth="1" min="17" max="17" width="9.25"/>
    <col customWidth="1" min="18" max="18" width="9.63"/>
    <col customWidth="1" min="19" max="19" width="10.63"/>
    <col customWidth="1" min="20" max="20" width="10.25"/>
    <col customWidth="1" min="21" max="21" width="10.0"/>
    <col customWidth="1" min="22" max="22" width="17.25"/>
    <col customWidth="1" min="23" max="23" width="12.25"/>
    <col customWidth="1" min="24" max="24" width="11.38"/>
    <col customWidth="1" min="25" max="25" width="9.75"/>
    <col customWidth="1" min="26" max="41" width="8.63"/>
  </cols>
  <sheetData>
    <row r="1" ht="8.25" customHeight="1">
      <c r="B1" s="2" t="s">
        <v>716</v>
      </c>
      <c r="C1" s="3" t="s">
        <v>717</v>
      </c>
      <c r="F1" s="2" t="s">
        <v>718</v>
      </c>
      <c r="G1" s="2" t="s">
        <v>719</v>
      </c>
      <c r="H1" s="4" t="s">
        <v>720</v>
      </c>
      <c r="J1" s="2" t="s">
        <v>721</v>
      </c>
      <c r="K1" s="5" t="s">
        <v>722</v>
      </c>
      <c r="S1" s="6"/>
      <c r="T1" s="6"/>
    </row>
    <row r="2" ht="12.75" customHeight="1">
      <c r="B2" s="2" t="s">
        <v>723</v>
      </c>
      <c r="C2" s="7" t="s">
        <v>724</v>
      </c>
      <c r="D2" s="8" t="s">
        <v>725</v>
      </c>
      <c r="E2" s="8"/>
      <c r="F2" s="2" t="str">
        <f>CONCATENATE(G8," ",F8)</f>
        <v>Kontoutdrag FEL! 81545,8099999998</v>
      </c>
      <c r="G2" s="9"/>
      <c r="H2" s="8" t="s">
        <v>726</v>
      </c>
      <c r="I2" s="10">
        <v>38201.0</v>
      </c>
      <c r="S2" s="6"/>
      <c r="T2" s="6"/>
      <c r="X2" s="11" t="s">
        <v>0</v>
      </c>
      <c r="Y2" s="7" t="s">
        <v>1</v>
      </c>
      <c r="Z2" s="9" t="s">
        <v>2</v>
      </c>
      <c r="AA2" s="7" t="s">
        <v>3</v>
      </c>
      <c r="AB2" s="6" t="s">
        <v>4</v>
      </c>
      <c r="AC2" s="7" t="s">
        <v>5</v>
      </c>
      <c r="AD2" s="7" t="s">
        <v>6</v>
      </c>
      <c r="AE2" s="7" t="s">
        <v>7</v>
      </c>
      <c r="AF2" s="7"/>
      <c r="AG2" s="7"/>
      <c r="AH2" s="7"/>
      <c r="AI2" s="7" t="s">
        <v>8</v>
      </c>
    </row>
    <row r="3" ht="12.75" customHeight="1">
      <c r="B3" s="9">
        <v>42270.0</v>
      </c>
      <c r="C3" s="9">
        <f>TODAY()</f>
        <v>46136</v>
      </c>
      <c r="D3" s="10" t="s">
        <v>727</v>
      </c>
      <c r="E3" s="10"/>
      <c r="F3" s="12" t="str">
        <f>F12</f>
        <v>FEL!</v>
      </c>
      <c r="G3" s="13">
        <f>G13</f>
        <v>81111.81</v>
      </c>
      <c r="H3" s="13" t="str">
        <f>F12</f>
        <v>FEL!</v>
      </c>
      <c r="I3" s="13" t="str">
        <f>F12</f>
        <v>FEL!</v>
      </c>
      <c r="J3" s="13" t="str">
        <f>F12</f>
        <v>FEL!</v>
      </c>
      <c r="K3" s="13" t="str">
        <f>F12</f>
        <v>FEL!</v>
      </c>
      <c r="L3" s="13" t="str">
        <f>F12</f>
        <v>FEL!</v>
      </c>
      <c r="M3" s="13" t="str">
        <f>F12</f>
        <v>FEL!</v>
      </c>
      <c r="N3" s="13" t="str">
        <f>F12</f>
        <v>FEL!</v>
      </c>
      <c r="O3" s="13" t="str">
        <f>F12</f>
        <v>FEL!</v>
      </c>
      <c r="P3" s="13" t="str">
        <f>F12</f>
        <v>FEL!</v>
      </c>
      <c r="Q3" s="13" t="str">
        <f>F12</f>
        <v>FEL!</v>
      </c>
      <c r="R3" s="13" t="str">
        <f>F12</f>
        <v>FEL!</v>
      </c>
      <c r="S3" s="6"/>
      <c r="T3" s="6"/>
      <c r="AI3" s="7" t="s">
        <v>11</v>
      </c>
    </row>
    <row r="4" ht="12.75" customHeight="1">
      <c r="B4" s="14" t="s">
        <v>728</v>
      </c>
      <c r="C4" s="15">
        <f>D17</f>
        <v>-2798.077273</v>
      </c>
      <c r="D4" s="16">
        <f>D15</f>
        <v>-2798.077273</v>
      </c>
      <c r="E4" s="17"/>
      <c r="G4" s="12">
        <f>IF(NOT(ROUND(G13,0)=0),G13,"")</f>
        <v>81111.81</v>
      </c>
      <c r="H4" s="2" t="str">
        <f>IF(G4="","",H13)</f>
        <v> &lt;= detta felar</v>
      </c>
      <c r="S4" s="6"/>
      <c r="T4" s="6"/>
      <c r="U4" s="6"/>
    </row>
    <row r="5" ht="4.5" customHeight="1">
      <c r="C5" s="7"/>
      <c r="S5" s="6"/>
      <c r="T5" s="6"/>
    </row>
    <row r="6" ht="12.75" customHeight="1">
      <c r="A6" s="7"/>
      <c r="B6" s="7"/>
      <c r="C6" s="7" t="s">
        <v>729</v>
      </c>
      <c r="D6" s="7" t="str">
        <f>VALUE(LEFT(RIGHT(sheetname(B1),LEN(sheetname(B1))-SEARCH("(",sheetname(B1),1)),SEARCH(")",sheetname(B1),1)-(1+SEARCH("(",sheetname(B1),1))))</f>
        <v>#NAME?</v>
      </c>
      <c r="E6" s="7" t="s">
        <v>730</v>
      </c>
      <c r="F6" s="7" t="s">
        <v>731</v>
      </c>
      <c r="G6" s="14" t="s">
        <v>732</v>
      </c>
      <c r="H6" s="14" t="s">
        <v>733</v>
      </c>
      <c r="I6" s="14" t="s">
        <v>734</v>
      </c>
      <c r="J6" s="14" t="s">
        <v>735</v>
      </c>
      <c r="K6" s="14" t="s">
        <v>736</v>
      </c>
      <c r="L6" s="14" t="s">
        <v>737</v>
      </c>
      <c r="M6" s="14" t="s">
        <v>738</v>
      </c>
      <c r="N6" s="14" t="s">
        <v>739</v>
      </c>
      <c r="O6" s="14" t="s">
        <v>740</v>
      </c>
      <c r="P6" s="14" t="s">
        <v>741</v>
      </c>
      <c r="Q6" s="14" t="s">
        <v>742</v>
      </c>
      <c r="R6" s="14" t="s">
        <v>743</v>
      </c>
      <c r="S6" s="6" t="s">
        <v>744</v>
      </c>
      <c r="T6" s="6"/>
      <c r="U6" s="7"/>
      <c r="V6" s="7"/>
      <c r="W6" s="7"/>
      <c r="X6" s="7"/>
    </row>
    <row r="7" ht="12.75" customHeight="1">
      <c r="A7" s="7"/>
      <c r="B7" s="7" t="s">
        <v>745</v>
      </c>
      <c r="C7" s="7">
        <v>0.0</v>
      </c>
      <c r="D7" s="12"/>
      <c r="E7" s="12"/>
      <c r="F7" s="7" t="s">
        <v>746</v>
      </c>
      <c r="G7" s="6">
        <f>0</f>
        <v>0</v>
      </c>
      <c r="H7" s="7" t="s">
        <v>747</v>
      </c>
      <c r="I7" s="7" t="s">
        <v>748</v>
      </c>
      <c r="J7" s="6">
        <f>Kontoutdrag_officiella!N1+0</f>
        <v>0</v>
      </c>
      <c r="K7" s="7" t="s">
        <v>749</v>
      </c>
      <c r="L7" s="7"/>
      <c r="M7" s="6"/>
      <c r="N7" s="6"/>
      <c r="O7" s="7"/>
      <c r="P7" s="7"/>
      <c r="Q7" s="7"/>
      <c r="R7" s="7" t="s">
        <v>750</v>
      </c>
      <c r="S7" s="6">
        <f>Kontoutdrag_officiella!M1+0</f>
        <v>0</v>
      </c>
      <c r="T7" s="6"/>
      <c r="U7" s="7" t="s">
        <v>751</v>
      </c>
      <c r="V7" s="7"/>
      <c r="W7" s="7"/>
      <c r="X7" s="7"/>
    </row>
    <row r="8" ht="12.75" customHeight="1">
      <c r="A8" s="7"/>
      <c r="B8" s="7" t="s">
        <v>752</v>
      </c>
      <c r="C8" s="6">
        <f>J7+C7+S8</f>
        <v>-2500</v>
      </c>
      <c r="D8" s="18" t="s">
        <v>753</v>
      </c>
      <c r="E8" s="18"/>
      <c r="F8" s="18">
        <f>C8-C9-J12</f>
        <v>81545.81</v>
      </c>
      <c r="G8" s="19" t="str">
        <f>IF((ROUND((F8),2))=0,"Kontoutdrag Stämmer","Kontoutdrag FEL!")</f>
        <v>Kontoutdrag FEL!</v>
      </c>
      <c r="H8" s="6"/>
      <c r="I8" s="7" t="s">
        <v>754</v>
      </c>
      <c r="J8" s="6">
        <f>Kontoutdrag_officiella!O1+0</f>
        <v>0</v>
      </c>
      <c r="K8" s="7" t="s">
        <v>749</v>
      </c>
      <c r="L8" s="7"/>
      <c r="M8" s="7"/>
      <c r="N8" s="6"/>
      <c r="O8" s="7"/>
      <c r="P8" s="7"/>
      <c r="Q8" s="7"/>
      <c r="R8" s="7" t="s">
        <v>749</v>
      </c>
      <c r="S8" s="6">
        <f>S7-2500</f>
        <v>-2500</v>
      </c>
      <c r="T8" s="6"/>
      <c r="U8" s="7"/>
      <c r="V8" s="7"/>
      <c r="W8" s="7"/>
      <c r="X8" s="7"/>
    </row>
    <row r="9" ht="12.75" customHeight="1">
      <c r="A9" s="7"/>
      <c r="B9" s="7" t="s">
        <v>755</v>
      </c>
      <c r="C9" s="20">
        <f>DSUM(Kontoutdrag_officiella!$A:$L,"t",X2:AI3)</f>
        <v>-84045.81</v>
      </c>
      <c r="D9" s="21">
        <f t="shared" ref="D9:D10" si="1">C8-C9</f>
        <v>81545.81</v>
      </c>
      <c r="E9" s="21"/>
      <c r="F9" s="7" t="s">
        <v>756</v>
      </c>
      <c r="G9" s="7"/>
      <c r="H9" s="6"/>
      <c r="I9" s="7" t="s">
        <v>757</v>
      </c>
      <c r="J9" s="6">
        <f>Kontoutdrag_officiella!P1+0</f>
        <v>0</v>
      </c>
      <c r="K9" s="7"/>
      <c r="L9" s="6"/>
      <c r="M9" s="7"/>
      <c r="N9" s="7"/>
      <c r="O9" s="7"/>
      <c r="P9" s="7"/>
      <c r="Q9" s="7"/>
      <c r="R9" s="7"/>
      <c r="S9" s="6"/>
      <c r="T9" s="6"/>
      <c r="U9" s="7"/>
      <c r="V9" s="7"/>
      <c r="W9" s="7"/>
      <c r="X9" s="7"/>
    </row>
    <row r="10" ht="12.75" customHeight="1">
      <c r="A10" s="7"/>
      <c r="B10" s="7" t="s">
        <v>758</v>
      </c>
      <c r="C10" s="22">
        <f>S144+1000</f>
        <v>-83611.81</v>
      </c>
      <c r="D10" s="18">
        <f t="shared" si="1"/>
        <v>-434</v>
      </c>
      <c r="E10" s="18"/>
      <c r="F10" s="7" t="str">
        <f>#REF!</f>
        <v>#REF!</v>
      </c>
      <c r="G10" s="12" t="s">
        <v>759</v>
      </c>
      <c r="H10" s="7"/>
      <c r="I10" s="7" t="s">
        <v>760</v>
      </c>
      <c r="J10" s="7">
        <v>0.0</v>
      </c>
      <c r="K10" s="7" t="s">
        <v>761</v>
      </c>
      <c r="L10" s="6"/>
      <c r="M10" s="6"/>
      <c r="N10" s="7"/>
      <c r="O10" s="7"/>
      <c r="P10" s="7"/>
      <c r="Q10" s="7"/>
      <c r="R10" s="7"/>
      <c r="S10" s="6"/>
      <c r="T10" s="6"/>
      <c r="U10" s="7"/>
      <c r="V10" s="7"/>
      <c r="W10" s="7"/>
      <c r="X10" s="7"/>
    </row>
    <row r="11" ht="12.75" customHeight="1">
      <c r="A11" s="7"/>
      <c r="B11" s="7"/>
      <c r="C11" s="7" t="s">
        <v>762</v>
      </c>
      <c r="D11" s="13">
        <f>D9-J12+G7</f>
        <v>81545.81</v>
      </c>
      <c r="E11" s="13"/>
      <c r="F11" s="12"/>
      <c r="G11" s="7" t="s">
        <v>763</v>
      </c>
      <c r="H11" s="7"/>
      <c r="I11" s="7" t="s">
        <v>764</v>
      </c>
      <c r="J11" s="7">
        <v>0.0</v>
      </c>
      <c r="K11" s="7" t="s">
        <v>749</v>
      </c>
      <c r="L11" s="12"/>
      <c r="M11" s="7"/>
      <c r="N11" s="7"/>
      <c r="O11" s="7"/>
      <c r="P11" s="7"/>
      <c r="Q11" s="7"/>
      <c r="R11" s="7"/>
      <c r="S11" s="6"/>
      <c r="T11" s="6"/>
      <c r="U11" s="7"/>
      <c r="V11" s="7"/>
      <c r="W11" s="7"/>
      <c r="X11" s="7"/>
    </row>
    <row r="12" ht="12.75" customHeight="1">
      <c r="A12" s="7"/>
      <c r="B12" s="8" t="s">
        <v>765</v>
      </c>
      <c r="C12" s="18">
        <f>C8-C10</f>
        <v>81111.81</v>
      </c>
      <c r="D12" s="19" t="s">
        <v>766</v>
      </c>
      <c r="E12" s="19"/>
      <c r="F12" s="23" t="str">
        <f>IF((ROUND((G12-C12),2))=0,"Stämmer","FEL!")</f>
        <v>FEL!</v>
      </c>
      <c r="G12" s="7">
        <f>J12</f>
        <v>0</v>
      </c>
      <c r="H12" s="7" t="s">
        <v>767</v>
      </c>
      <c r="I12" s="19" t="str">
        <f>IF((ROUND((G12-C12),2))=0,"Stämmer","FEL!")</f>
        <v>FEL!</v>
      </c>
      <c r="J12" s="7">
        <f>-1*SUM(J8:J11)</f>
        <v>0</v>
      </c>
      <c r="K12" s="12"/>
      <c r="L12" s="7"/>
      <c r="M12" s="7"/>
      <c r="N12" s="7"/>
      <c r="O12" s="7"/>
      <c r="P12" s="7"/>
      <c r="Q12" s="7"/>
      <c r="R12" s="7"/>
      <c r="S12" s="6"/>
      <c r="T12" s="6"/>
      <c r="U12" s="7"/>
      <c r="V12" s="7"/>
      <c r="W12" s="7"/>
      <c r="X12" s="7"/>
    </row>
    <row r="13" ht="12.75" customHeight="1">
      <c r="A13" s="7"/>
      <c r="B13" s="8"/>
      <c r="C13" s="24">
        <f>C8-G12</f>
        <v>-2500</v>
      </c>
      <c r="D13" s="8" t="s">
        <v>768</v>
      </c>
      <c r="E13" s="7"/>
      <c r="F13" s="12"/>
      <c r="G13" s="25">
        <f>C12-G12</f>
        <v>81111.81</v>
      </c>
      <c r="H13" s="7" t="s">
        <v>769</v>
      </c>
      <c r="I13" s="7"/>
      <c r="J13" s="7"/>
      <c r="K13" s="7"/>
      <c r="L13" s="7"/>
      <c r="M13" s="7"/>
      <c r="N13" s="7"/>
      <c r="O13" s="7"/>
      <c r="P13" s="7"/>
      <c r="Q13" s="7"/>
      <c r="R13" s="7"/>
      <c r="S13" s="6"/>
      <c r="T13" s="6"/>
      <c r="U13" s="7"/>
      <c r="V13" s="7"/>
      <c r="W13" s="7"/>
      <c r="X13" s="7"/>
    </row>
    <row r="14" ht="12.75" customHeight="1">
      <c r="A14" s="7"/>
      <c r="B14" s="7"/>
      <c r="C14" s="14" t="s">
        <v>770</v>
      </c>
      <c r="D14" s="14" t="s">
        <v>771</v>
      </c>
      <c r="E14" s="14"/>
      <c r="F14" s="12"/>
      <c r="G14" s="12"/>
      <c r="H14" s="7"/>
      <c r="I14" s="7"/>
      <c r="J14" s="7"/>
      <c r="K14" s="7"/>
      <c r="L14" s="7"/>
      <c r="M14" s="7"/>
      <c r="N14" s="7"/>
      <c r="O14" s="7"/>
      <c r="P14" s="7"/>
      <c r="Q14" s="7"/>
      <c r="R14" s="7"/>
      <c r="S14" s="6"/>
      <c r="T14" s="6"/>
      <c r="U14" s="7"/>
      <c r="V14" s="7"/>
      <c r="W14" s="7"/>
      <c r="X14" s="7"/>
    </row>
    <row r="15" ht="12.75" customHeight="1">
      <c r="A15" s="7"/>
      <c r="B15" s="26" t="s">
        <v>772</v>
      </c>
      <c r="C15" s="15">
        <f>V160</f>
        <v>-7027.317273</v>
      </c>
      <c r="D15" s="15">
        <f>V142</f>
        <v>-2798.077273</v>
      </c>
      <c r="E15" s="15"/>
      <c r="F15" s="7"/>
      <c r="G15" s="7" t="s">
        <v>773</v>
      </c>
      <c r="H15" s="9">
        <v>38985.0</v>
      </c>
      <c r="I15" s="9">
        <v>39015.0</v>
      </c>
      <c r="J15" s="9">
        <v>39045.0</v>
      </c>
      <c r="K15" s="9">
        <v>39073.0</v>
      </c>
      <c r="L15" s="7"/>
      <c r="M15" s="9">
        <v>39136.0</v>
      </c>
      <c r="N15" s="9">
        <v>38799.0</v>
      </c>
      <c r="O15" s="9">
        <v>38832.0</v>
      </c>
      <c r="P15" s="9">
        <v>38862.0</v>
      </c>
      <c r="Q15" s="7"/>
      <c r="R15" s="7"/>
      <c r="S15" s="6"/>
      <c r="T15" s="6"/>
      <c r="U15" s="7"/>
      <c r="V15" s="7"/>
      <c r="W15" s="7" t="s">
        <v>774</v>
      </c>
      <c r="X15" s="7"/>
    </row>
    <row r="16" ht="12.75" customHeight="1">
      <c r="A16" s="7"/>
      <c r="B16" s="7" t="s">
        <v>775</v>
      </c>
      <c r="C16" s="6">
        <f t="shared" ref="C16:D16" si="2">C15</f>
        <v>-7027.317273</v>
      </c>
      <c r="D16" s="6">
        <f t="shared" si="2"/>
        <v>-2798.077273</v>
      </c>
      <c r="E16" s="6"/>
      <c r="F16" s="7" t="s">
        <v>724</v>
      </c>
      <c r="G16" s="7" t="s">
        <v>776</v>
      </c>
      <c r="H16" s="19" t="s">
        <v>777</v>
      </c>
      <c r="I16" s="7" t="s">
        <v>778</v>
      </c>
      <c r="J16" s="7" t="s">
        <v>779</v>
      </c>
      <c r="K16" s="7"/>
      <c r="L16" s="7" t="s">
        <v>780</v>
      </c>
      <c r="M16" s="7"/>
      <c r="N16" s="7" t="s">
        <v>781</v>
      </c>
      <c r="O16" s="8"/>
      <c r="P16" s="14" t="s">
        <v>782</v>
      </c>
      <c r="Q16" s="7"/>
      <c r="R16" s="7"/>
      <c r="S16" s="6" t="s">
        <v>783</v>
      </c>
      <c r="T16" s="6"/>
      <c r="U16" s="7" t="s">
        <v>784</v>
      </c>
      <c r="V16" s="7" t="s">
        <v>785</v>
      </c>
      <c r="W16" s="12">
        <f>S17-500*2</f>
        <v>131.72</v>
      </c>
      <c r="X16" s="7"/>
    </row>
    <row r="17" ht="12.75" customHeight="1">
      <c r="A17" s="7"/>
      <c r="B17" s="14" t="s">
        <v>728</v>
      </c>
      <c r="C17" s="19">
        <f>C15/J17</f>
        <v>-7027.317273</v>
      </c>
      <c r="D17" s="6">
        <f>D15/J17</f>
        <v>-2798.077273</v>
      </c>
      <c r="E17" s="6"/>
      <c r="F17" s="7">
        <f>DAY(TODAY())</f>
        <v>24</v>
      </c>
      <c r="G17" s="7">
        <v>25.0</v>
      </c>
      <c r="H17" s="19">
        <f>G17-(IF((G17-F17)&lt;1,IF(F17-G17,F17-P17,F17-P17),F17))</f>
        <v>1</v>
      </c>
      <c r="I17" s="7">
        <f>H17/7</f>
        <v>0.1428571429</v>
      </c>
      <c r="J17" s="7">
        <f>ROUNDUP(I17,0)</f>
        <v>1</v>
      </c>
      <c r="K17" s="7"/>
      <c r="L17" s="7">
        <v>5.0</v>
      </c>
      <c r="M17" s="19">
        <f>D15/L17</f>
        <v>-559.6154545</v>
      </c>
      <c r="N17" s="7">
        <f>1850/4</f>
        <v>462.5</v>
      </c>
      <c r="O17" s="8"/>
      <c r="P17" s="14">
        <v>31.0</v>
      </c>
      <c r="Q17" s="7"/>
      <c r="R17" s="7"/>
      <c r="S17" s="6">
        <f>C48</f>
        <v>1131.72</v>
      </c>
      <c r="T17" s="6"/>
      <c r="U17" s="7">
        <v>4.5</v>
      </c>
      <c r="V17" s="7">
        <f>S17/U17</f>
        <v>251.4933333</v>
      </c>
      <c r="W17" s="7">
        <f>W16/U17</f>
        <v>29.27111111</v>
      </c>
      <c r="X17" s="7"/>
    </row>
    <row r="18" ht="12.75" customHeight="1">
      <c r="A18" s="7"/>
      <c r="B18" s="11" t="s">
        <v>786</v>
      </c>
      <c r="C18" s="7">
        <f>C15/I17</f>
        <v>-49191.22091</v>
      </c>
      <c r="D18" s="6">
        <f>D15/I17</f>
        <v>-19586.54091</v>
      </c>
      <c r="E18" s="6"/>
      <c r="F18" s="7" t="s">
        <v>787</v>
      </c>
      <c r="G18" s="7">
        <f>D15/H17</f>
        <v>-2798.077273</v>
      </c>
      <c r="H18" s="7" t="s">
        <v>788</v>
      </c>
      <c r="I18" s="7">
        <f>D15/(I17*5)</f>
        <v>-3917.308182</v>
      </c>
      <c r="J18" s="7"/>
      <c r="K18" s="7"/>
      <c r="L18" s="7"/>
      <c r="M18" s="7"/>
      <c r="N18" s="7"/>
      <c r="O18" s="7"/>
      <c r="P18" s="7"/>
      <c r="Q18" s="7"/>
      <c r="R18" s="7"/>
      <c r="S18" s="6"/>
      <c r="T18" s="6"/>
      <c r="U18" s="7"/>
      <c r="V18" s="7"/>
      <c r="W18" s="7"/>
      <c r="X18" s="7"/>
    </row>
    <row r="19" ht="12.75" customHeight="1">
      <c r="A19" s="7"/>
      <c r="B19" s="7"/>
      <c r="C19" s="7"/>
      <c r="D19" s="8"/>
      <c r="E19" s="8"/>
      <c r="F19" s="7"/>
      <c r="G19" s="7"/>
      <c r="H19" s="7"/>
      <c r="I19" s="7" t="s">
        <v>789</v>
      </c>
      <c r="J19" s="7"/>
      <c r="K19" s="7"/>
      <c r="L19" s="7"/>
      <c r="M19" s="7"/>
      <c r="N19" s="7"/>
      <c r="O19" s="7"/>
      <c r="P19" s="7"/>
      <c r="Q19" s="7"/>
      <c r="R19" s="7"/>
      <c r="S19" s="6" t="s">
        <v>790</v>
      </c>
      <c r="T19" s="6"/>
      <c r="U19" s="7" t="s">
        <v>791</v>
      </c>
      <c r="V19" s="7"/>
      <c r="W19" s="7"/>
      <c r="X19" s="7"/>
    </row>
    <row r="20" ht="12.75" customHeight="1">
      <c r="A20" s="7"/>
      <c r="B20" s="7"/>
      <c r="C20" s="6">
        <f>C13-C10</f>
        <v>81111.81</v>
      </c>
      <c r="D20" s="8"/>
      <c r="E20" s="8"/>
      <c r="F20" s="7"/>
      <c r="G20" s="7"/>
      <c r="H20" s="7"/>
      <c r="I20" s="7"/>
      <c r="J20" s="6"/>
      <c r="K20" s="19"/>
      <c r="L20" s="19"/>
      <c r="M20" s="7"/>
      <c r="N20" s="27"/>
      <c r="O20" s="19"/>
      <c r="P20" s="7"/>
      <c r="Q20" s="7"/>
      <c r="R20" s="7"/>
      <c r="S20" s="6"/>
      <c r="T20" s="6"/>
      <c r="U20" s="7"/>
      <c r="V20" s="7"/>
      <c r="W20" s="7"/>
      <c r="X20" s="7"/>
    </row>
    <row r="21" ht="12.75" customHeight="1">
      <c r="A21" s="7"/>
      <c r="B21" s="7" t="s">
        <v>792</v>
      </c>
      <c r="C21" s="7">
        <f>C10/C62</f>
        <v>-2.878104368</v>
      </c>
      <c r="D21" s="8"/>
      <c r="E21" s="8"/>
      <c r="F21" s="7" t="s">
        <v>793</v>
      </c>
      <c r="G21" s="27"/>
      <c r="H21" s="7"/>
      <c r="I21" s="7"/>
      <c r="J21" s="19"/>
      <c r="K21" s="7"/>
      <c r="L21" s="14"/>
      <c r="M21" s="7"/>
      <c r="N21" s="7"/>
      <c r="O21" s="7"/>
      <c r="P21" s="7"/>
      <c r="Q21" s="7"/>
      <c r="R21" s="7"/>
      <c r="S21" s="6"/>
      <c r="T21" s="6"/>
      <c r="U21" s="7"/>
      <c r="V21" s="7"/>
      <c r="W21" s="7"/>
      <c r="X21" s="7"/>
    </row>
    <row r="22" ht="12.75" customHeight="1">
      <c r="A22" s="7"/>
      <c r="B22" s="7"/>
      <c r="C22" s="8">
        <f>C8/C62</f>
        <v>-0.08605555747</v>
      </c>
      <c r="D22" s="8">
        <f>(C8+10000+20000)/C62</f>
        <v>0.9466111321</v>
      </c>
      <c r="E22" s="8">
        <f>SUM(E40:E42)/SUM(C40:C41)</f>
        <v>-5.059923946</v>
      </c>
      <c r="F22" s="7"/>
      <c r="G22" s="27"/>
      <c r="H22" s="7"/>
      <c r="I22" s="7"/>
      <c r="J22" s="19"/>
      <c r="K22" s="7"/>
      <c r="L22" s="14"/>
      <c r="M22" s="7"/>
      <c r="N22" s="7"/>
      <c r="O22" s="7"/>
      <c r="P22" s="7"/>
      <c r="Q22" s="7"/>
      <c r="R22" s="7"/>
      <c r="S22" s="6"/>
      <c r="T22" s="6"/>
      <c r="U22" s="7"/>
      <c r="V22" s="7"/>
      <c r="W22" s="7"/>
      <c r="X22" s="7"/>
    </row>
    <row r="23" ht="12.75" customHeight="1">
      <c r="A23" s="7" t="s">
        <v>794</v>
      </c>
      <c r="B23" s="14" t="s">
        <v>795</v>
      </c>
      <c r="C23" s="14" t="s">
        <v>795</v>
      </c>
      <c r="D23" s="14" t="s">
        <v>795</v>
      </c>
      <c r="E23" s="14"/>
      <c r="F23" s="14" t="s">
        <v>795</v>
      </c>
      <c r="G23" s="14" t="s">
        <v>795</v>
      </c>
      <c r="H23" s="14" t="s">
        <v>795</v>
      </c>
      <c r="I23" s="14" t="s">
        <v>795</v>
      </c>
      <c r="J23" s="14" t="s">
        <v>795</v>
      </c>
      <c r="K23" s="14" t="s">
        <v>795</v>
      </c>
      <c r="L23" s="14" t="s">
        <v>795</v>
      </c>
      <c r="M23" s="14" t="s">
        <v>795</v>
      </c>
      <c r="N23" s="14" t="s">
        <v>795</v>
      </c>
      <c r="O23" s="14" t="s">
        <v>795</v>
      </c>
      <c r="P23" s="14" t="s">
        <v>795</v>
      </c>
      <c r="Q23" s="14" t="s">
        <v>795</v>
      </c>
      <c r="R23" s="14" t="s">
        <v>795</v>
      </c>
      <c r="S23" s="28" t="s">
        <v>795</v>
      </c>
      <c r="T23" s="28"/>
      <c r="U23" s="7"/>
      <c r="V23" s="7"/>
      <c r="W23" s="7" t="s">
        <v>796</v>
      </c>
      <c r="X23" s="7"/>
    </row>
    <row r="24" ht="12.75" customHeight="1">
      <c r="A24" s="7" t="s">
        <v>794</v>
      </c>
      <c r="B24" s="14"/>
      <c r="C24" s="8" t="s">
        <v>797</v>
      </c>
      <c r="D24" s="7" t="s">
        <v>798</v>
      </c>
      <c r="E24" s="26" t="s">
        <v>799</v>
      </c>
      <c r="F24" s="14"/>
      <c r="G24" s="14"/>
      <c r="H24" s="14"/>
      <c r="I24" s="14"/>
      <c r="J24" s="14"/>
      <c r="K24" s="14"/>
      <c r="L24" s="14"/>
      <c r="M24" s="14"/>
      <c r="N24" s="14"/>
      <c r="O24" s="14"/>
      <c r="P24" s="14"/>
      <c r="Q24" s="14"/>
      <c r="R24" s="14"/>
      <c r="S24" s="6"/>
      <c r="T24" s="6"/>
      <c r="U24" s="7"/>
      <c r="V24" s="7"/>
      <c r="W24" s="7"/>
      <c r="X24" s="7"/>
    </row>
    <row r="25" ht="12.75" customHeight="1">
      <c r="A25" s="7" t="s">
        <v>794</v>
      </c>
      <c r="B25" s="7" t="s">
        <v>10</v>
      </c>
      <c r="C25" s="7">
        <f>3851+5742+1205+37-635-1250+3333</f>
        <v>12283</v>
      </c>
      <c r="D25" s="18"/>
      <c r="E25" s="25">
        <f t="shared" ref="E25:E57" si="4">S111</f>
        <v>-32357</v>
      </c>
      <c r="F25" s="6">
        <f>'Budget (2014)'!S111+D25</f>
        <v>21176.6</v>
      </c>
      <c r="G25" s="7">
        <f t="shared" ref="G25:R25" si="3">3851+5742+1205+37-635-1250+3333</f>
        <v>12283</v>
      </c>
      <c r="H25" s="7">
        <f t="shared" si="3"/>
        <v>12283</v>
      </c>
      <c r="I25" s="7">
        <f t="shared" si="3"/>
        <v>12283</v>
      </c>
      <c r="J25" s="7">
        <f t="shared" si="3"/>
        <v>12283</v>
      </c>
      <c r="K25" s="7">
        <f t="shared" si="3"/>
        <v>12283</v>
      </c>
      <c r="L25" s="7">
        <f t="shared" si="3"/>
        <v>12283</v>
      </c>
      <c r="M25" s="7">
        <f t="shared" si="3"/>
        <v>12283</v>
      </c>
      <c r="N25" s="7">
        <f t="shared" si="3"/>
        <v>12283</v>
      </c>
      <c r="O25" s="7">
        <f t="shared" si="3"/>
        <v>12283</v>
      </c>
      <c r="P25" s="7">
        <f t="shared" si="3"/>
        <v>12283</v>
      </c>
      <c r="Q25" s="7">
        <f t="shared" si="3"/>
        <v>12283</v>
      </c>
      <c r="R25" s="7">
        <f t="shared" si="3"/>
        <v>12283</v>
      </c>
      <c r="S25" s="25">
        <f t="shared" ref="S25:S57" si="6">SUM(G25:R25)</f>
        <v>147396</v>
      </c>
      <c r="T25" s="7" t="s">
        <v>10</v>
      </c>
      <c r="U25" s="6"/>
      <c r="V25" s="7"/>
      <c r="W25" s="7"/>
      <c r="X25" s="7"/>
      <c r="Y25" s="7"/>
      <c r="Z25" s="7"/>
      <c r="AA25" s="7"/>
      <c r="AB25" s="7"/>
      <c r="AC25" s="7"/>
      <c r="AD25" s="7"/>
      <c r="AE25" s="7"/>
      <c r="AF25" s="7"/>
      <c r="AG25" s="7"/>
      <c r="AH25" s="7"/>
      <c r="AI25" s="7"/>
      <c r="AJ25" s="7"/>
      <c r="AK25" s="7"/>
    </row>
    <row r="26" ht="12.75" customHeight="1">
      <c r="A26" s="7" t="s">
        <v>794</v>
      </c>
      <c r="B26" s="7" t="s">
        <v>20</v>
      </c>
      <c r="C26" s="7">
        <f>-50+720/2+4+4+2</f>
        <v>320</v>
      </c>
      <c r="D26" s="18"/>
      <c r="E26" s="25">
        <f t="shared" si="4"/>
        <v>0</v>
      </c>
      <c r="F26" s="6">
        <f>'Budget (2014)'!S112+D26</f>
        <v>0</v>
      </c>
      <c r="G26" s="7">
        <f t="shared" ref="G26:R26" si="5">-50+720/2+4+4+2</f>
        <v>320</v>
      </c>
      <c r="H26" s="7">
        <f t="shared" si="5"/>
        <v>320</v>
      </c>
      <c r="I26" s="7">
        <f t="shared" si="5"/>
        <v>320</v>
      </c>
      <c r="J26" s="7">
        <f t="shared" si="5"/>
        <v>320</v>
      </c>
      <c r="K26" s="7">
        <f t="shared" si="5"/>
        <v>320</v>
      </c>
      <c r="L26" s="7">
        <f t="shared" si="5"/>
        <v>320</v>
      </c>
      <c r="M26" s="7">
        <f t="shared" si="5"/>
        <v>320</v>
      </c>
      <c r="N26" s="7">
        <f t="shared" si="5"/>
        <v>320</v>
      </c>
      <c r="O26" s="7">
        <f t="shared" si="5"/>
        <v>320</v>
      </c>
      <c r="P26" s="7">
        <f t="shared" si="5"/>
        <v>320</v>
      </c>
      <c r="Q26" s="7">
        <f t="shared" si="5"/>
        <v>320</v>
      </c>
      <c r="R26" s="7">
        <f t="shared" si="5"/>
        <v>320</v>
      </c>
      <c r="S26" s="25">
        <f t="shared" si="6"/>
        <v>3840</v>
      </c>
      <c r="T26" s="7" t="s">
        <v>20</v>
      </c>
      <c r="U26" s="6"/>
      <c r="V26" s="7"/>
      <c r="W26" s="7"/>
      <c r="X26" s="7"/>
      <c r="Y26" s="7"/>
      <c r="Z26" s="7"/>
      <c r="AA26" s="7"/>
      <c r="AB26" s="7"/>
      <c r="AC26" s="7"/>
      <c r="AD26" s="7"/>
      <c r="AE26" s="7"/>
      <c r="AF26" s="7"/>
      <c r="AG26" s="7"/>
      <c r="AH26" s="7"/>
      <c r="AI26" s="7"/>
      <c r="AJ26" s="7"/>
      <c r="AK26" s="7"/>
    </row>
    <row r="27" ht="12.75" customHeight="1">
      <c r="A27" s="7" t="s">
        <v>794</v>
      </c>
      <c r="B27" s="7" t="s">
        <v>17</v>
      </c>
      <c r="C27" s="7">
        <f>108+11</f>
        <v>119</v>
      </c>
      <c r="D27" s="8"/>
      <c r="E27" s="25">
        <f t="shared" si="4"/>
        <v>-406</v>
      </c>
      <c r="F27" s="6">
        <f>'Budget (2014)'!S113+D27</f>
        <v>-46</v>
      </c>
      <c r="G27" s="7">
        <f t="shared" ref="G27:R27" si="7">108+11</f>
        <v>119</v>
      </c>
      <c r="H27" s="7">
        <f t="shared" si="7"/>
        <v>119</v>
      </c>
      <c r="I27" s="7">
        <f t="shared" si="7"/>
        <v>119</v>
      </c>
      <c r="J27" s="7">
        <f t="shared" si="7"/>
        <v>119</v>
      </c>
      <c r="K27" s="7">
        <f t="shared" si="7"/>
        <v>119</v>
      </c>
      <c r="L27" s="7">
        <f t="shared" si="7"/>
        <v>119</v>
      </c>
      <c r="M27" s="7">
        <f t="shared" si="7"/>
        <v>119</v>
      </c>
      <c r="N27" s="7">
        <f t="shared" si="7"/>
        <v>119</v>
      </c>
      <c r="O27" s="7">
        <f t="shared" si="7"/>
        <v>119</v>
      </c>
      <c r="P27" s="7">
        <f t="shared" si="7"/>
        <v>119</v>
      </c>
      <c r="Q27" s="7">
        <f t="shared" si="7"/>
        <v>119</v>
      </c>
      <c r="R27" s="7">
        <f t="shared" si="7"/>
        <v>119</v>
      </c>
      <c r="S27" s="25">
        <f t="shared" si="6"/>
        <v>1428</v>
      </c>
      <c r="T27" s="7" t="s">
        <v>17</v>
      </c>
      <c r="U27" s="6"/>
      <c r="V27" s="7"/>
      <c r="W27" s="7"/>
      <c r="X27" s="7"/>
      <c r="Y27" s="7"/>
      <c r="Z27" s="7"/>
      <c r="AA27" s="7"/>
      <c r="AB27" s="7"/>
      <c r="AC27" s="7"/>
      <c r="AD27" s="7"/>
      <c r="AE27" s="7"/>
      <c r="AF27" s="7"/>
      <c r="AG27" s="7"/>
      <c r="AH27" s="7"/>
      <c r="AI27" s="7"/>
      <c r="AJ27" s="7"/>
      <c r="AK27" s="7"/>
    </row>
    <row r="28" ht="12.75" customHeight="1">
      <c r="A28" s="7" t="s">
        <v>794</v>
      </c>
      <c r="B28" s="7" t="s">
        <v>24</v>
      </c>
      <c r="C28" s="7">
        <v>280.0</v>
      </c>
      <c r="D28" s="18"/>
      <c r="E28" s="25">
        <f t="shared" si="4"/>
        <v>-349</v>
      </c>
      <c r="F28" s="6">
        <f>'Budget (2014)'!S114+D28</f>
        <v>-78</v>
      </c>
      <c r="G28" s="7">
        <v>280.0</v>
      </c>
      <c r="H28" s="7">
        <v>280.0</v>
      </c>
      <c r="I28" s="7">
        <v>280.0</v>
      </c>
      <c r="J28" s="7">
        <v>280.0</v>
      </c>
      <c r="K28" s="7">
        <v>280.0</v>
      </c>
      <c r="L28" s="7">
        <v>280.0</v>
      </c>
      <c r="M28" s="7">
        <v>280.0</v>
      </c>
      <c r="N28" s="7">
        <v>280.0</v>
      </c>
      <c r="O28" s="7">
        <v>280.0</v>
      </c>
      <c r="P28" s="7">
        <v>280.0</v>
      </c>
      <c r="Q28" s="7">
        <v>280.0</v>
      </c>
      <c r="R28" s="7">
        <v>280.0</v>
      </c>
      <c r="S28" s="25">
        <f t="shared" si="6"/>
        <v>3360</v>
      </c>
      <c r="T28" s="7" t="s">
        <v>24</v>
      </c>
      <c r="U28" s="6"/>
      <c r="V28" s="7"/>
      <c r="W28" s="6">
        <f>R28</f>
        <v>280</v>
      </c>
      <c r="X28" s="7"/>
      <c r="Y28" s="7"/>
      <c r="Z28" s="7"/>
      <c r="AA28" s="7"/>
      <c r="AB28" s="7"/>
      <c r="AC28" s="7"/>
      <c r="AD28" s="7"/>
      <c r="AE28" s="7"/>
      <c r="AF28" s="7"/>
      <c r="AG28" s="7"/>
      <c r="AH28" s="7"/>
      <c r="AI28" s="7"/>
      <c r="AJ28" s="7"/>
      <c r="AK28" s="7"/>
    </row>
    <row r="29" ht="12.75" customHeight="1">
      <c r="A29" s="7" t="s">
        <v>794</v>
      </c>
      <c r="B29" s="7" t="s">
        <v>651</v>
      </c>
      <c r="C29" s="7">
        <f>225/12</f>
        <v>18.75</v>
      </c>
      <c r="D29" s="8"/>
      <c r="E29" s="25">
        <f t="shared" si="4"/>
        <v>225</v>
      </c>
      <c r="F29" s="6">
        <f>'Budget (2014)'!S115+D29</f>
        <v>0</v>
      </c>
      <c r="G29" s="7">
        <f t="shared" ref="G29:R29" si="8">225/12</f>
        <v>18.75</v>
      </c>
      <c r="H29" s="7">
        <f t="shared" si="8"/>
        <v>18.75</v>
      </c>
      <c r="I29" s="7">
        <f t="shared" si="8"/>
        <v>18.75</v>
      </c>
      <c r="J29" s="7">
        <f t="shared" si="8"/>
        <v>18.75</v>
      </c>
      <c r="K29" s="7">
        <f t="shared" si="8"/>
        <v>18.75</v>
      </c>
      <c r="L29" s="7">
        <f t="shared" si="8"/>
        <v>18.75</v>
      </c>
      <c r="M29" s="7">
        <f t="shared" si="8"/>
        <v>18.75</v>
      </c>
      <c r="N29" s="7">
        <f t="shared" si="8"/>
        <v>18.75</v>
      </c>
      <c r="O29" s="7">
        <f t="shared" si="8"/>
        <v>18.75</v>
      </c>
      <c r="P29" s="7">
        <f t="shared" si="8"/>
        <v>18.75</v>
      </c>
      <c r="Q29" s="7">
        <f t="shared" si="8"/>
        <v>18.75</v>
      </c>
      <c r="R29" s="7">
        <f t="shared" si="8"/>
        <v>18.75</v>
      </c>
      <c r="S29" s="25">
        <f t="shared" si="6"/>
        <v>225</v>
      </c>
      <c r="T29" s="7" t="s">
        <v>651</v>
      </c>
      <c r="U29" s="6"/>
      <c r="V29" s="7"/>
      <c r="W29" s="7"/>
      <c r="X29" s="7"/>
      <c r="Y29" s="7"/>
      <c r="Z29" s="7"/>
      <c r="AA29" s="7"/>
      <c r="AB29" s="7"/>
      <c r="AC29" s="7"/>
      <c r="AD29" s="7"/>
      <c r="AE29" s="7"/>
      <c r="AF29" s="7"/>
      <c r="AG29" s="7"/>
      <c r="AH29" s="7"/>
      <c r="AI29" s="7"/>
      <c r="AJ29" s="7"/>
      <c r="AK29" s="7"/>
    </row>
    <row r="30" ht="12.75" customHeight="1">
      <c r="A30" s="7" t="s">
        <v>794</v>
      </c>
      <c r="B30" s="7" t="s">
        <v>76</v>
      </c>
      <c r="C30" s="7">
        <f>(0*(1000+(216/3))+((120+12923)/12))*0+(120+2917+3037*2+3035)/12</f>
        <v>1012.166667</v>
      </c>
      <c r="D30" s="18"/>
      <c r="E30" s="25">
        <f t="shared" si="4"/>
        <v>-89</v>
      </c>
      <c r="F30" s="6">
        <f>'Budget (2014)'!S116+D30</f>
        <v>18</v>
      </c>
      <c r="G30" s="7">
        <f t="shared" ref="G30:R30" si="9">(0*(1000+(216/3))+((120+12923)/12))*0+(120+2917+3037*2+3035)/12</f>
        <v>1012.166667</v>
      </c>
      <c r="H30" s="7">
        <f t="shared" si="9"/>
        <v>1012.166667</v>
      </c>
      <c r="I30" s="7">
        <f t="shared" si="9"/>
        <v>1012.166667</v>
      </c>
      <c r="J30" s="7">
        <f t="shared" si="9"/>
        <v>1012.166667</v>
      </c>
      <c r="K30" s="7">
        <f t="shared" si="9"/>
        <v>1012.166667</v>
      </c>
      <c r="L30" s="7">
        <f t="shared" si="9"/>
        <v>1012.166667</v>
      </c>
      <c r="M30" s="7">
        <f t="shared" si="9"/>
        <v>1012.166667</v>
      </c>
      <c r="N30" s="7">
        <f t="shared" si="9"/>
        <v>1012.166667</v>
      </c>
      <c r="O30" s="7">
        <f t="shared" si="9"/>
        <v>1012.166667</v>
      </c>
      <c r="P30" s="7">
        <f t="shared" si="9"/>
        <v>1012.166667</v>
      </c>
      <c r="Q30" s="7">
        <f t="shared" si="9"/>
        <v>1012.166667</v>
      </c>
      <c r="R30" s="7">
        <f t="shared" si="9"/>
        <v>1012.166667</v>
      </c>
      <c r="S30" s="25">
        <f t="shared" si="6"/>
        <v>12146</v>
      </c>
      <c r="T30" s="7" t="s">
        <v>76</v>
      </c>
      <c r="U30" s="6"/>
      <c r="V30" s="7"/>
      <c r="W30" s="7"/>
      <c r="X30" s="7"/>
      <c r="Y30" s="7"/>
      <c r="Z30" s="7"/>
      <c r="AA30" s="7"/>
      <c r="AB30" s="7"/>
      <c r="AC30" s="7"/>
      <c r="AD30" s="7"/>
      <c r="AE30" s="7"/>
      <c r="AF30" s="7"/>
      <c r="AG30" s="7"/>
      <c r="AH30" s="7"/>
      <c r="AI30" s="7"/>
      <c r="AJ30" s="7"/>
      <c r="AK30" s="7"/>
    </row>
    <row r="31" ht="12.75" customHeight="1">
      <c r="A31" s="7" t="s">
        <v>794</v>
      </c>
      <c r="B31" s="7" t="s">
        <v>26</v>
      </c>
      <c r="C31" s="7">
        <f>100+50</f>
        <v>150</v>
      </c>
      <c r="D31" s="18"/>
      <c r="E31" s="25">
        <f t="shared" si="4"/>
        <v>-1874</v>
      </c>
      <c r="F31" s="6">
        <f>'Budget (2014)'!S117+D31</f>
        <v>600</v>
      </c>
      <c r="G31" s="7">
        <f t="shared" ref="G31:R31" si="10">100+50</f>
        <v>150</v>
      </c>
      <c r="H31" s="7">
        <f t="shared" si="10"/>
        <v>150</v>
      </c>
      <c r="I31" s="7">
        <f t="shared" si="10"/>
        <v>150</v>
      </c>
      <c r="J31" s="7">
        <f t="shared" si="10"/>
        <v>150</v>
      </c>
      <c r="K31" s="7">
        <f t="shared" si="10"/>
        <v>150</v>
      </c>
      <c r="L31" s="7">
        <f t="shared" si="10"/>
        <v>150</v>
      </c>
      <c r="M31" s="7">
        <f t="shared" si="10"/>
        <v>150</v>
      </c>
      <c r="N31" s="7">
        <f t="shared" si="10"/>
        <v>150</v>
      </c>
      <c r="O31" s="7">
        <f t="shared" si="10"/>
        <v>150</v>
      </c>
      <c r="P31" s="7">
        <f t="shared" si="10"/>
        <v>150</v>
      </c>
      <c r="Q31" s="7">
        <f t="shared" si="10"/>
        <v>150</v>
      </c>
      <c r="R31" s="7">
        <f t="shared" si="10"/>
        <v>150</v>
      </c>
      <c r="S31" s="25">
        <f t="shared" si="6"/>
        <v>1800</v>
      </c>
      <c r="T31" s="7" t="s">
        <v>26</v>
      </c>
      <c r="U31" s="6"/>
      <c r="V31" s="7"/>
      <c r="W31" s="7"/>
      <c r="X31" s="7"/>
      <c r="Y31" s="7"/>
      <c r="Z31" s="7"/>
      <c r="AA31" s="7"/>
      <c r="AB31" s="7"/>
      <c r="AC31" s="7"/>
      <c r="AD31" s="7"/>
      <c r="AE31" s="7"/>
      <c r="AF31" s="7"/>
      <c r="AG31" s="7"/>
      <c r="AH31" s="7"/>
      <c r="AI31" s="7"/>
      <c r="AJ31" s="7"/>
      <c r="AK31" s="7"/>
    </row>
    <row r="32" ht="27.75" customHeight="1">
      <c r="A32" s="7" t="s">
        <v>794</v>
      </c>
      <c r="B32" s="7" t="s">
        <v>103</v>
      </c>
      <c r="C32" s="7">
        <f>0*355.9+200</f>
        <v>200</v>
      </c>
      <c r="D32" s="8"/>
      <c r="E32" s="25">
        <f t="shared" si="4"/>
        <v>533</v>
      </c>
      <c r="F32" s="6">
        <f>'Budget (2014)'!S118+D32</f>
        <v>373</v>
      </c>
      <c r="G32" s="7">
        <f t="shared" ref="G32:R32" si="11">0*355.9+200</f>
        <v>200</v>
      </c>
      <c r="H32" s="7">
        <f t="shared" si="11"/>
        <v>200</v>
      </c>
      <c r="I32" s="7">
        <f t="shared" si="11"/>
        <v>200</v>
      </c>
      <c r="J32" s="7">
        <f t="shared" si="11"/>
        <v>200</v>
      </c>
      <c r="K32" s="7">
        <f t="shared" si="11"/>
        <v>200</v>
      </c>
      <c r="L32" s="7">
        <f t="shared" si="11"/>
        <v>200</v>
      </c>
      <c r="M32" s="7">
        <f t="shared" si="11"/>
        <v>200</v>
      </c>
      <c r="N32" s="7">
        <f t="shared" si="11"/>
        <v>200</v>
      </c>
      <c r="O32" s="7">
        <f t="shared" si="11"/>
        <v>200</v>
      </c>
      <c r="P32" s="7">
        <f t="shared" si="11"/>
        <v>200</v>
      </c>
      <c r="Q32" s="7">
        <f t="shared" si="11"/>
        <v>200</v>
      </c>
      <c r="R32" s="7">
        <f t="shared" si="11"/>
        <v>200</v>
      </c>
      <c r="S32" s="25">
        <f t="shared" si="6"/>
        <v>2400</v>
      </c>
      <c r="T32" s="7" t="s">
        <v>103</v>
      </c>
      <c r="U32" s="6"/>
      <c r="V32" s="7"/>
      <c r="W32" s="7"/>
      <c r="X32" s="7"/>
      <c r="Y32" s="7"/>
      <c r="Z32" s="7"/>
      <c r="AA32" s="7"/>
      <c r="AB32" s="7"/>
      <c r="AC32" s="7"/>
      <c r="AD32" s="7"/>
      <c r="AE32" s="7"/>
      <c r="AF32" s="7"/>
      <c r="AG32" s="7"/>
      <c r="AH32" s="7"/>
      <c r="AI32" s="7"/>
      <c r="AJ32" s="7"/>
      <c r="AK32" s="7"/>
    </row>
    <row r="33" ht="12.75" customHeight="1">
      <c r="A33" s="7" t="s">
        <v>794</v>
      </c>
      <c r="B33" s="7" t="s">
        <v>22</v>
      </c>
      <c r="C33" s="7">
        <f>188*0+299</f>
        <v>299</v>
      </c>
      <c r="D33" s="8"/>
      <c r="E33" s="25">
        <f t="shared" si="4"/>
        <v>-1710</v>
      </c>
      <c r="F33" s="6">
        <f>'Budget (2014)'!S119+D33</f>
        <v>0</v>
      </c>
      <c r="G33" s="7">
        <f t="shared" ref="G33:R33" si="12">188*0+299</f>
        <v>299</v>
      </c>
      <c r="H33" s="7">
        <f t="shared" si="12"/>
        <v>299</v>
      </c>
      <c r="I33" s="7">
        <f t="shared" si="12"/>
        <v>299</v>
      </c>
      <c r="J33" s="7">
        <f t="shared" si="12"/>
        <v>299</v>
      </c>
      <c r="K33" s="7">
        <f t="shared" si="12"/>
        <v>299</v>
      </c>
      <c r="L33" s="7">
        <f t="shared" si="12"/>
        <v>299</v>
      </c>
      <c r="M33" s="7">
        <f t="shared" si="12"/>
        <v>299</v>
      </c>
      <c r="N33" s="7">
        <f t="shared" si="12"/>
        <v>299</v>
      </c>
      <c r="O33" s="7">
        <f t="shared" si="12"/>
        <v>299</v>
      </c>
      <c r="P33" s="7">
        <f t="shared" si="12"/>
        <v>299</v>
      </c>
      <c r="Q33" s="7">
        <f t="shared" si="12"/>
        <v>299</v>
      </c>
      <c r="R33" s="7">
        <f t="shared" si="12"/>
        <v>299</v>
      </c>
      <c r="S33" s="25">
        <f t="shared" si="6"/>
        <v>3588</v>
      </c>
      <c r="T33" s="7" t="s">
        <v>22</v>
      </c>
      <c r="U33" s="6"/>
      <c r="V33" s="12"/>
      <c r="W33" s="12"/>
      <c r="X33" s="7"/>
      <c r="Y33" s="7"/>
      <c r="Z33" s="7"/>
      <c r="AA33" s="7"/>
      <c r="AB33" s="7"/>
      <c r="AC33" s="7"/>
      <c r="AD33" s="7"/>
      <c r="AE33" s="7"/>
      <c r="AF33" s="7"/>
      <c r="AG33" s="7"/>
      <c r="AH33" s="7"/>
      <c r="AI33" s="7"/>
      <c r="AJ33" s="7"/>
      <c r="AK33" s="7"/>
    </row>
    <row r="34" ht="12.75" customHeight="1">
      <c r="A34" s="7" t="s">
        <v>794</v>
      </c>
      <c r="B34" s="7" t="s">
        <v>428</v>
      </c>
      <c r="C34" s="7">
        <f>(39+69+120)*0+(299+15+40)*0+339*0+(354-339)*0+220+299-50+50</f>
        <v>519</v>
      </c>
      <c r="D34" s="18"/>
      <c r="E34" s="25">
        <f t="shared" si="4"/>
        <v>5914</v>
      </c>
      <c r="F34" s="6">
        <f>'Budget (2014)'!S120+D34</f>
        <v>255</v>
      </c>
      <c r="G34" s="7">
        <f t="shared" ref="G34:R34" si="13">(39+69+120)*0+(299+15+40)*0+339*0+(354-339)*0+220+299-50+50</f>
        <v>519</v>
      </c>
      <c r="H34" s="7">
        <f t="shared" si="13"/>
        <v>519</v>
      </c>
      <c r="I34" s="7">
        <f t="shared" si="13"/>
        <v>519</v>
      </c>
      <c r="J34" s="7">
        <f t="shared" si="13"/>
        <v>519</v>
      </c>
      <c r="K34" s="7">
        <f t="shared" si="13"/>
        <v>519</v>
      </c>
      <c r="L34" s="7">
        <f t="shared" si="13"/>
        <v>519</v>
      </c>
      <c r="M34" s="7">
        <f t="shared" si="13"/>
        <v>519</v>
      </c>
      <c r="N34" s="7">
        <f t="shared" si="13"/>
        <v>519</v>
      </c>
      <c r="O34" s="7">
        <f t="shared" si="13"/>
        <v>519</v>
      </c>
      <c r="P34" s="7">
        <f t="shared" si="13"/>
        <v>519</v>
      </c>
      <c r="Q34" s="7">
        <f t="shared" si="13"/>
        <v>519</v>
      </c>
      <c r="R34" s="7">
        <f t="shared" si="13"/>
        <v>519</v>
      </c>
      <c r="S34" s="25">
        <f t="shared" si="6"/>
        <v>6228</v>
      </c>
      <c r="T34" s="7" t="s">
        <v>428</v>
      </c>
      <c r="U34" s="6"/>
      <c r="V34" s="7"/>
      <c r="W34" s="6">
        <f>R34-40</f>
        <v>479</v>
      </c>
      <c r="X34" s="7"/>
      <c r="Y34" s="7"/>
      <c r="Z34" s="7"/>
      <c r="AA34" s="7"/>
      <c r="AB34" s="7"/>
      <c r="AC34" s="7"/>
      <c r="AD34" s="7"/>
      <c r="AE34" s="7"/>
      <c r="AF34" s="7"/>
      <c r="AG34" s="7"/>
      <c r="AH34" s="7"/>
      <c r="AI34" s="7"/>
      <c r="AJ34" s="7"/>
      <c r="AK34" s="7"/>
    </row>
    <row r="35" ht="30.0" customHeight="1">
      <c r="A35" s="7" t="s">
        <v>794</v>
      </c>
      <c r="B35" s="7" t="s">
        <v>800</v>
      </c>
      <c r="C35" s="7">
        <f>20+10</f>
        <v>30</v>
      </c>
      <c r="D35" s="8"/>
      <c r="E35" s="25">
        <f t="shared" si="4"/>
        <v>720</v>
      </c>
      <c r="F35" s="6">
        <f>'Budget (2014)'!S121+D35</f>
        <v>360</v>
      </c>
      <c r="G35" s="7">
        <f t="shared" ref="G35:R35" si="14">20+10</f>
        <v>30</v>
      </c>
      <c r="H35" s="7">
        <f t="shared" si="14"/>
        <v>30</v>
      </c>
      <c r="I35" s="7">
        <f t="shared" si="14"/>
        <v>30</v>
      </c>
      <c r="J35" s="7">
        <f t="shared" si="14"/>
        <v>30</v>
      </c>
      <c r="K35" s="7">
        <f t="shared" si="14"/>
        <v>30</v>
      </c>
      <c r="L35" s="7">
        <f t="shared" si="14"/>
        <v>30</v>
      </c>
      <c r="M35" s="7">
        <f t="shared" si="14"/>
        <v>30</v>
      </c>
      <c r="N35" s="7">
        <f t="shared" si="14"/>
        <v>30</v>
      </c>
      <c r="O35" s="7">
        <f t="shared" si="14"/>
        <v>30</v>
      </c>
      <c r="P35" s="7">
        <f t="shared" si="14"/>
        <v>30</v>
      </c>
      <c r="Q35" s="7">
        <f t="shared" si="14"/>
        <v>30</v>
      </c>
      <c r="R35" s="7">
        <f t="shared" si="14"/>
        <v>30</v>
      </c>
      <c r="S35" s="25">
        <f t="shared" si="6"/>
        <v>360</v>
      </c>
      <c r="T35" s="7" t="s">
        <v>800</v>
      </c>
      <c r="U35" s="6"/>
      <c r="V35" s="7"/>
      <c r="W35" s="7"/>
      <c r="X35" s="7"/>
      <c r="Y35" s="7"/>
      <c r="Z35" s="7"/>
      <c r="AA35" s="7"/>
      <c r="AB35" s="7"/>
      <c r="AC35" s="7"/>
      <c r="AD35" s="7"/>
      <c r="AE35" s="7"/>
      <c r="AF35" s="7"/>
      <c r="AG35" s="7"/>
      <c r="AH35" s="7"/>
      <c r="AI35" s="7"/>
      <c r="AJ35" s="7"/>
      <c r="AK35" s="7"/>
    </row>
    <row r="36" ht="12.75" customHeight="1">
      <c r="A36" s="7" t="s">
        <v>794</v>
      </c>
      <c r="B36" s="7" t="s">
        <v>54</v>
      </c>
      <c r="C36" s="7">
        <f>850+50-300</f>
        <v>600</v>
      </c>
      <c r="D36" s="18"/>
      <c r="E36" s="25">
        <f t="shared" si="4"/>
        <v>3509.24</v>
      </c>
      <c r="F36" s="6">
        <f>'Budget (2014)'!S122+D36</f>
        <v>3492.93</v>
      </c>
      <c r="G36" s="7">
        <f t="shared" ref="G36:R36" si="15">850+50-300</f>
        <v>600</v>
      </c>
      <c r="H36" s="7">
        <f t="shared" si="15"/>
        <v>600</v>
      </c>
      <c r="I36" s="7">
        <f t="shared" si="15"/>
        <v>600</v>
      </c>
      <c r="J36" s="7">
        <f t="shared" si="15"/>
        <v>600</v>
      </c>
      <c r="K36" s="7">
        <f t="shared" si="15"/>
        <v>600</v>
      </c>
      <c r="L36" s="7">
        <f t="shared" si="15"/>
        <v>600</v>
      </c>
      <c r="M36" s="7">
        <f t="shared" si="15"/>
        <v>600</v>
      </c>
      <c r="N36" s="7">
        <f t="shared" si="15"/>
        <v>600</v>
      </c>
      <c r="O36" s="7">
        <f t="shared" si="15"/>
        <v>600</v>
      </c>
      <c r="P36" s="7">
        <f t="shared" si="15"/>
        <v>600</v>
      </c>
      <c r="Q36" s="7">
        <f t="shared" si="15"/>
        <v>600</v>
      </c>
      <c r="R36" s="7">
        <f t="shared" si="15"/>
        <v>600</v>
      </c>
      <c r="S36" s="25">
        <f t="shared" si="6"/>
        <v>7200</v>
      </c>
      <c r="T36" s="7" t="s">
        <v>54</v>
      </c>
      <c r="U36" s="6"/>
      <c r="V36" s="7"/>
      <c r="W36" s="7"/>
      <c r="X36" s="7"/>
      <c r="Y36" s="7"/>
      <c r="Z36" s="7"/>
      <c r="AA36" s="7"/>
      <c r="AB36" s="7"/>
      <c r="AC36" s="7"/>
      <c r="AD36" s="7"/>
      <c r="AE36" s="7"/>
      <c r="AF36" s="7"/>
      <c r="AG36" s="7"/>
      <c r="AH36" s="7"/>
      <c r="AI36" s="7"/>
      <c r="AJ36" s="7"/>
      <c r="AK36" s="7"/>
    </row>
    <row r="37" ht="12.75" customHeight="1">
      <c r="A37" s="7" t="s">
        <v>794</v>
      </c>
      <c r="B37" s="7" t="s">
        <v>801</v>
      </c>
      <c r="C37" s="7">
        <f>(226/12)*(15+20)*0.5*0+50*0</f>
        <v>0</v>
      </c>
      <c r="D37" s="18"/>
      <c r="E37" s="25">
        <f t="shared" si="4"/>
        <v>0</v>
      </c>
      <c r="F37" s="6">
        <f>'Budget (2014)'!S123+D37</f>
        <v>0</v>
      </c>
      <c r="G37" s="7">
        <f t="shared" ref="G37:R37" si="16">(226/12)*(15+20)*0.5*0+50*0</f>
        <v>0</v>
      </c>
      <c r="H37" s="7">
        <f t="shared" si="16"/>
        <v>0</v>
      </c>
      <c r="I37" s="7">
        <f t="shared" si="16"/>
        <v>0</v>
      </c>
      <c r="J37" s="7">
        <f t="shared" si="16"/>
        <v>0</v>
      </c>
      <c r="K37" s="7">
        <f t="shared" si="16"/>
        <v>0</v>
      </c>
      <c r="L37" s="7">
        <f t="shared" si="16"/>
        <v>0</v>
      </c>
      <c r="M37" s="7">
        <f t="shared" si="16"/>
        <v>0</v>
      </c>
      <c r="N37" s="7">
        <f t="shared" si="16"/>
        <v>0</v>
      </c>
      <c r="O37" s="7">
        <f t="shared" si="16"/>
        <v>0</v>
      </c>
      <c r="P37" s="7">
        <f t="shared" si="16"/>
        <v>0</v>
      </c>
      <c r="Q37" s="7">
        <f t="shared" si="16"/>
        <v>0</v>
      </c>
      <c r="R37" s="7">
        <f t="shared" si="16"/>
        <v>0</v>
      </c>
      <c r="S37" s="25">
        <f t="shared" si="6"/>
        <v>0</v>
      </c>
      <c r="T37" s="7" t="s">
        <v>801</v>
      </c>
      <c r="U37" s="6"/>
      <c r="V37" s="7"/>
      <c r="W37" s="7"/>
      <c r="X37" s="7"/>
      <c r="Y37" s="7"/>
      <c r="Z37" s="7"/>
      <c r="AA37" s="7"/>
      <c r="AB37" s="7"/>
      <c r="AC37" s="7"/>
      <c r="AD37" s="7"/>
      <c r="AE37" s="7"/>
      <c r="AF37" s="7"/>
      <c r="AG37" s="7"/>
      <c r="AH37" s="7"/>
      <c r="AI37" s="7"/>
      <c r="AJ37" s="7"/>
      <c r="AK37" s="7"/>
    </row>
    <row r="38" ht="12.75" customHeight="1">
      <c r="A38" s="7" t="s">
        <v>794</v>
      </c>
      <c r="B38" s="6" t="s">
        <v>38</v>
      </c>
      <c r="C38" s="7">
        <f>((780/11)*227)/12+10*10</f>
        <v>1441.363636</v>
      </c>
      <c r="D38" s="18"/>
      <c r="E38" s="25">
        <f t="shared" si="4"/>
        <v>4211.727273</v>
      </c>
      <c r="F38" s="6">
        <f>'Budget (2014)'!S124+D38</f>
        <v>2622.363636</v>
      </c>
      <c r="G38" s="7">
        <f t="shared" ref="G38:R38" si="17">((780/11)*227)/12+10*10</f>
        <v>1441.363636</v>
      </c>
      <c r="H38" s="7">
        <f t="shared" si="17"/>
        <v>1441.363636</v>
      </c>
      <c r="I38" s="7">
        <f t="shared" si="17"/>
        <v>1441.363636</v>
      </c>
      <c r="J38" s="7">
        <f t="shared" si="17"/>
        <v>1441.363636</v>
      </c>
      <c r="K38" s="7">
        <f t="shared" si="17"/>
        <v>1441.363636</v>
      </c>
      <c r="L38" s="7">
        <f t="shared" si="17"/>
        <v>1441.363636</v>
      </c>
      <c r="M38" s="7">
        <f t="shared" si="17"/>
        <v>1441.363636</v>
      </c>
      <c r="N38" s="7">
        <f t="shared" si="17"/>
        <v>1441.363636</v>
      </c>
      <c r="O38" s="7">
        <f t="shared" si="17"/>
        <v>1441.363636</v>
      </c>
      <c r="P38" s="7">
        <f t="shared" si="17"/>
        <v>1441.363636</v>
      </c>
      <c r="Q38" s="7">
        <f t="shared" si="17"/>
        <v>1441.363636</v>
      </c>
      <c r="R38" s="7">
        <f t="shared" si="17"/>
        <v>1441.363636</v>
      </c>
      <c r="S38" s="25">
        <f t="shared" si="6"/>
        <v>17296.36364</v>
      </c>
      <c r="T38" s="6" t="s">
        <v>38</v>
      </c>
      <c r="U38" s="6"/>
      <c r="V38" s="6" t="s">
        <v>802</v>
      </c>
      <c r="W38" s="6">
        <f>R38-45</f>
        <v>1396.363636</v>
      </c>
      <c r="X38" s="6"/>
      <c r="Y38" s="6"/>
      <c r="Z38" s="6"/>
      <c r="AA38" s="6"/>
      <c r="AB38" s="6"/>
      <c r="AC38" s="6"/>
      <c r="AD38" s="6"/>
      <c r="AE38" s="6"/>
      <c r="AF38" s="6"/>
      <c r="AG38" s="6"/>
      <c r="AH38" s="6"/>
      <c r="AI38" s="6"/>
      <c r="AJ38" s="6"/>
      <c r="AK38" s="6"/>
      <c r="AL38" s="6"/>
      <c r="AM38" s="6"/>
      <c r="AN38" s="6"/>
      <c r="AO38" s="6"/>
    </row>
    <row r="39" ht="12.75" customHeight="1">
      <c r="A39" s="7" t="s">
        <v>794</v>
      </c>
      <c r="B39" s="7" t="s">
        <v>47</v>
      </c>
      <c r="C39" s="7">
        <f>(300*2+250*2)*0+(900+500)*1+0*(45*5*4.5+450)+800-100</f>
        <v>2100</v>
      </c>
      <c r="D39" s="18"/>
      <c r="E39" s="25">
        <f t="shared" si="4"/>
        <v>7655.21</v>
      </c>
      <c r="F39" s="6">
        <f>'Budget (2014)'!S125+D39</f>
        <v>7804.36</v>
      </c>
      <c r="G39" s="7">
        <f t="shared" ref="G39:R39" si="18">(300*2+250*2)*0+(900+500)*1+0*(45*5*4.5+450)+800-100</f>
        <v>2100</v>
      </c>
      <c r="H39" s="7">
        <f t="shared" si="18"/>
        <v>2100</v>
      </c>
      <c r="I39" s="7">
        <f t="shared" si="18"/>
        <v>2100</v>
      </c>
      <c r="J39" s="7">
        <f t="shared" si="18"/>
        <v>2100</v>
      </c>
      <c r="K39" s="7">
        <f t="shared" si="18"/>
        <v>2100</v>
      </c>
      <c r="L39" s="7">
        <f t="shared" si="18"/>
        <v>2100</v>
      </c>
      <c r="M39" s="7">
        <f t="shared" si="18"/>
        <v>2100</v>
      </c>
      <c r="N39" s="7">
        <f t="shared" si="18"/>
        <v>2100</v>
      </c>
      <c r="O39" s="7">
        <f t="shared" si="18"/>
        <v>2100</v>
      </c>
      <c r="P39" s="7">
        <f t="shared" si="18"/>
        <v>2100</v>
      </c>
      <c r="Q39" s="7">
        <f t="shared" si="18"/>
        <v>2100</v>
      </c>
      <c r="R39" s="7">
        <f t="shared" si="18"/>
        <v>2100</v>
      </c>
      <c r="S39" s="25">
        <f t="shared" si="6"/>
        <v>25200</v>
      </c>
      <c r="T39" s="7" t="s">
        <v>47</v>
      </c>
      <c r="U39" s="6"/>
      <c r="V39" s="6">
        <f>C39+C40+C41+C42+C43+C52+C55+C56</f>
        <v>4274.999697</v>
      </c>
      <c r="W39" s="7"/>
      <c r="X39" s="7"/>
      <c r="Y39" s="7"/>
      <c r="Z39" s="7"/>
      <c r="AA39" s="7"/>
      <c r="AB39" s="7"/>
      <c r="AC39" s="7"/>
      <c r="AD39" s="7"/>
      <c r="AE39" s="7"/>
      <c r="AF39" s="7"/>
      <c r="AG39" s="7"/>
      <c r="AH39" s="7"/>
      <c r="AI39" s="7"/>
      <c r="AJ39" s="7"/>
      <c r="AK39" s="7"/>
    </row>
    <row r="40" ht="32.25" customHeight="1">
      <c r="A40" s="7" t="s">
        <v>794</v>
      </c>
      <c r="B40" s="7" t="s">
        <v>52</v>
      </c>
      <c r="C40" s="7">
        <f>2*250*0+1477.49969696969</f>
        <v>1477.499697</v>
      </c>
      <c r="D40" s="7"/>
      <c r="E40" s="25">
        <f t="shared" si="4"/>
        <v>-6552.367273</v>
      </c>
      <c r="F40" s="6">
        <f>'Budget (2014)'!S126+D40</f>
        <v>7266.196364</v>
      </c>
      <c r="G40" s="7">
        <f t="shared" ref="G40:R40" si="19">2*250*0+1477.49969696969</f>
        <v>1477.499697</v>
      </c>
      <c r="H40" s="7">
        <f t="shared" si="19"/>
        <v>1477.499697</v>
      </c>
      <c r="I40" s="7">
        <f t="shared" si="19"/>
        <v>1477.499697</v>
      </c>
      <c r="J40" s="7">
        <f t="shared" si="19"/>
        <v>1477.499697</v>
      </c>
      <c r="K40" s="7">
        <f t="shared" si="19"/>
        <v>1477.499697</v>
      </c>
      <c r="L40" s="7">
        <f t="shared" si="19"/>
        <v>1477.499697</v>
      </c>
      <c r="M40" s="7">
        <f t="shared" si="19"/>
        <v>1477.499697</v>
      </c>
      <c r="N40" s="7">
        <f t="shared" si="19"/>
        <v>1477.499697</v>
      </c>
      <c r="O40" s="7">
        <f t="shared" si="19"/>
        <v>1477.499697</v>
      </c>
      <c r="P40" s="7">
        <f t="shared" si="19"/>
        <v>1477.499697</v>
      </c>
      <c r="Q40" s="7">
        <f t="shared" si="19"/>
        <v>1477.499697</v>
      </c>
      <c r="R40" s="7">
        <f t="shared" si="19"/>
        <v>1477.499697</v>
      </c>
      <c r="S40" s="25">
        <f t="shared" si="6"/>
        <v>17729.99636</v>
      </c>
      <c r="T40" s="7" t="s">
        <v>52</v>
      </c>
      <c r="U40" s="6"/>
      <c r="V40" s="7"/>
      <c r="W40" s="6">
        <f t="shared" ref="W40:W41" si="21">R40-50</f>
        <v>1427.499697</v>
      </c>
      <c r="X40" s="7">
        <f>17-14</f>
        <v>3</v>
      </c>
      <c r="Y40" s="7"/>
      <c r="Z40" s="7"/>
      <c r="AA40" s="7"/>
      <c r="AB40" s="7"/>
      <c r="AC40" s="7"/>
      <c r="AD40" s="7"/>
      <c r="AE40" s="7"/>
      <c r="AF40" s="7"/>
      <c r="AG40" s="7"/>
      <c r="AH40" s="7"/>
      <c r="AI40" s="7"/>
      <c r="AJ40" s="7"/>
      <c r="AK40" s="7"/>
    </row>
    <row r="41" ht="12.75" customHeight="1">
      <c r="A41" s="7" t="s">
        <v>794</v>
      </c>
      <c r="B41" s="7" t="s">
        <v>42</v>
      </c>
      <c r="C41" s="7">
        <f>500*2-1000+4.5*55</f>
        <v>247.5</v>
      </c>
      <c r="D41" s="6"/>
      <c r="E41" s="25">
        <f t="shared" si="4"/>
        <v>-1188</v>
      </c>
      <c r="F41" s="6">
        <f>'Budget (2014)'!S127+D41</f>
        <v>-1699</v>
      </c>
      <c r="G41" s="7">
        <f t="shared" ref="G41:R41" si="20">500*2-1000+4.5*55</f>
        <v>247.5</v>
      </c>
      <c r="H41" s="7">
        <f t="shared" si="20"/>
        <v>247.5</v>
      </c>
      <c r="I41" s="7">
        <f t="shared" si="20"/>
        <v>247.5</v>
      </c>
      <c r="J41" s="7">
        <f t="shared" si="20"/>
        <v>247.5</v>
      </c>
      <c r="K41" s="7">
        <f t="shared" si="20"/>
        <v>247.5</v>
      </c>
      <c r="L41" s="7">
        <f t="shared" si="20"/>
        <v>247.5</v>
      </c>
      <c r="M41" s="7">
        <f t="shared" si="20"/>
        <v>247.5</v>
      </c>
      <c r="N41" s="7">
        <f t="shared" si="20"/>
        <v>247.5</v>
      </c>
      <c r="O41" s="7">
        <f t="shared" si="20"/>
        <v>247.5</v>
      </c>
      <c r="P41" s="7">
        <f t="shared" si="20"/>
        <v>247.5</v>
      </c>
      <c r="Q41" s="7">
        <f t="shared" si="20"/>
        <v>247.5</v>
      </c>
      <c r="R41" s="7">
        <f t="shared" si="20"/>
        <v>247.5</v>
      </c>
      <c r="S41" s="25">
        <f t="shared" si="6"/>
        <v>2970</v>
      </c>
      <c r="T41" s="7" t="s">
        <v>42</v>
      </c>
      <c r="U41" s="7"/>
      <c r="V41" s="7"/>
      <c r="W41" s="7">
        <f t="shared" si="21"/>
        <v>197.5</v>
      </c>
      <c r="X41" s="29"/>
      <c r="Y41" s="7"/>
      <c r="Z41" s="7"/>
      <c r="AA41" s="7"/>
      <c r="AB41" s="7"/>
      <c r="AC41" s="7"/>
      <c r="AD41" s="7"/>
      <c r="AE41" s="7"/>
      <c r="AF41" s="7"/>
      <c r="AG41" s="7"/>
      <c r="AH41" s="7"/>
      <c r="AI41" s="7"/>
      <c r="AJ41" s="7"/>
      <c r="AK41" s="7"/>
    </row>
    <row r="42" ht="12.75" customHeight="1">
      <c r="A42" s="7" t="s">
        <v>794</v>
      </c>
      <c r="B42" s="7" t="s">
        <v>133</v>
      </c>
      <c r="C42" s="7">
        <f>150*0</f>
        <v>0</v>
      </c>
      <c r="E42" s="25">
        <f t="shared" si="4"/>
        <v>-988</v>
      </c>
      <c r="F42" s="6">
        <f>'Budget (2014)'!S128+D42</f>
        <v>-488</v>
      </c>
      <c r="G42" s="7">
        <f t="shared" ref="G42:R42" si="22">150*0</f>
        <v>0</v>
      </c>
      <c r="H42" s="7">
        <f t="shared" si="22"/>
        <v>0</v>
      </c>
      <c r="I42" s="7">
        <f t="shared" si="22"/>
        <v>0</v>
      </c>
      <c r="J42" s="7">
        <f t="shared" si="22"/>
        <v>0</v>
      </c>
      <c r="K42" s="7">
        <f t="shared" si="22"/>
        <v>0</v>
      </c>
      <c r="L42" s="7">
        <f t="shared" si="22"/>
        <v>0</v>
      </c>
      <c r="M42" s="7">
        <f t="shared" si="22"/>
        <v>0</v>
      </c>
      <c r="N42" s="7">
        <f t="shared" si="22"/>
        <v>0</v>
      </c>
      <c r="O42" s="7">
        <f t="shared" si="22"/>
        <v>0</v>
      </c>
      <c r="P42" s="7">
        <f t="shared" si="22"/>
        <v>0</v>
      </c>
      <c r="Q42" s="7">
        <f t="shared" si="22"/>
        <v>0</v>
      </c>
      <c r="R42" s="7">
        <f t="shared" si="22"/>
        <v>0</v>
      </c>
      <c r="S42" s="25">
        <f t="shared" si="6"/>
        <v>0</v>
      </c>
      <c r="T42" s="7" t="s">
        <v>133</v>
      </c>
      <c r="U42" s="7"/>
      <c r="V42" s="7"/>
      <c r="W42" s="7">
        <f>R42-0</f>
        <v>0</v>
      </c>
      <c r="X42" s="7"/>
      <c r="Y42" s="7"/>
      <c r="Z42" s="7"/>
      <c r="AA42" s="7"/>
      <c r="AB42" s="7"/>
      <c r="AC42" s="7"/>
      <c r="AD42" s="7"/>
      <c r="AE42" s="7"/>
      <c r="AF42" s="7"/>
      <c r="AG42" s="7"/>
      <c r="AH42" s="7"/>
      <c r="AI42" s="7"/>
      <c r="AJ42" s="7"/>
      <c r="AK42" s="7"/>
    </row>
    <row r="43" ht="12.75" customHeight="1">
      <c r="A43" s="7" t="s">
        <v>794</v>
      </c>
      <c r="B43" s="7" t="s">
        <v>803</v>
      </c>
      <c r="C43" s="7">
        <f>5*0</f>
        <v>0</v>
      </c>
      <c r="E43" s="25">
        <f t="shared" si="4"/>
        <v>0</v>
      </c>
      <c r="F43" s="6">
        <f>'Budget (2014)'!S129+D43</f>
        <v>0</v>
      </c>
      <c r="G43" s="7">
        <f t="shared" ref="G43:R43" si="23">5*0</f>
        <v>0</v>
      </c>
      <c r="H43" s="7">
        <f t="shared" si="23"/>
        <v>0</v>
      </c>
      <c r="I43" s="7">
        <f t="shared" si="23"/>
        <v>0</v>
      </c>
      <c r="J43" s="7">
        <f t="shared" si="23"/>
        <v>0</v>
      </c>
      <c r="K43" s="7">
        <f t="shared" si="23"/>
        <v>0</v>
      </c>
      <c r="L43" s="7">
        <f t="shared" si="23"/>
        <v>0</v>
      </c>
      <c r="M43" s="7">
        <f t="shared" si="23"/>
        <v>0</v>
      </c>
      <c r="N43" s="7">
        <f t="shared" si="23"/>
        <v>0</v>
      </c>
      <c r="O43" s="7">
        <f t="shared" si="23"/>
        <v>0</v>
      </c>
      <c r="P43" s="7">
        <f t="shared" si="23"/>
        <v>0</v>
      </c>
      <c r="Q43" s="7">
        <f t="shared" si="23"/>
        <v>0</v>
      </c>
      <c r="R43" s="7">
        <f t="shared" si="23"/>
        <v>0</v>
      </c>
      <c r="S43" s="25">
        <f t="shared" si="6"/>
        <v>0</v>
      </c>
      <c r="T43" s="7" t="s">
        <v>803</v>
      </c>
      <c r="U43" s="7"/>
      <c r="V43" s="7"/>
      <c r="W43" s="7">
        <f>R43-10</f>
        <v>-10</v>
      </c>
      <c r="X43" s="7"/>
      <c r="Y43" s="7"/>
      <c r="Z43" s="7"/>
      <c r="AA43" s="7"/>
      <c r="AB43" s="7"/>
      <c r="AC43" s="7"/>
      <c r="AD43" s="7"/>
      <c r="AE43" s="7"/>
      <c r="AF43" s="7"/>
      <c r="AG43" s="7"/>
      <c r="AH43" s="7"/>
      <c r="AI43" s="7"/>
      <c r="AJ43" s="7"/>
      <c r="AK43" s="7"/>
    </row>
    <row r="44" ht="28.5" customHeight="1">
      <c r="A44" s="7" t="s">
        <v>794</v>
      </c>
      <c r="B44" s="7" t="s">
        <v>164</v>
      </c>
      <c r="C44" s="7">
        <v>100.0</v>
      </c>
      <c r="E44" s="25">
        <f t="shared" si="4"/>
        <v>1192</v>
      </c>
      <c r="F44" s="6">
        <f>'Budget (2014)'!S130+D44</f>
        <v>24</v>
      </c>
      <c r="G44" s="7">
        <v>100.0</v>
      </c>
      <c r="H44" s="7">
        <v>100.0</v>
      </c>
      <c r="I44" s="7">
        <v>100.0</v>
      </c>
      <c r="J44" s="7">
        <v>100.0</v>
      </c>
      <c r="K44" s="7">
        <v>100.0</v>
      </c>
      <c r="L44" s="7">
        <v>100.0</v>
      </c>
      <c r="M44" s="7">
        <v>100.0</v>
      </c>
      <c r="N44" s="7">
        <v>100.0</v>
      </c>
      <c r="O44" s="7">
        <v>100.0</v>
      </c>
      <c r="P44" s="7">
        <v>100.0</v>
      </c>
      <c r="Q44" s="7">
        <v>100.0</v>
      </c>
      <c r="R44" s="7">
        <v>100.0</v>
      </c>
      <c r="S44" s="25">
        <f t="shared" si="6"/>
        <v>1200</v>
      </c>
      <c r="T44" s="7" t="s">
        <v>164</v>
      </c>
      <c r="U44" s="7"/>
      <c r="V44" s="7"/>
      <c r="W44" s="7"/>
      <c r="X44" s="29"/>
      <c r="Y44" s="7"/>
      <c r="Z44" s="7"/>
      <c r="AA44" s="7"/>
      <c r="AB44" s="7"/>
      <c r="AC44" s="7"/>
      <c r="AD44" s="7"/>
      <c r="AE44" s="7"/>
      <c r="AF44" s="7"/>
      <c r="AG44" s="7"/>
      <c r="AH44" s="7"/>
      <c r="AI44" s="7"/>
      <c r="AJ44" s="7"/>
      <c r="AK44" s="7"/>
    </row>
    <row r="45" ht="24.75" customHeight="1">
      <c r="A45" s="7" t="s">
        <v>794</v>
      </c>
      <c r="B45" s="7" t="s">
        <v>50</v>
      </c>
      <c r="C45" s="7">
        <f>10+(1365*2)/12+(((550*3)-1365)*2/12)</f>
        <v>285</v>
      </c>
      <c r="E45" s="25">
        <f t="shared" si="4"/>
        <v>-4201</v>
      </c>
      <c r="F45" s="6">
        <f>'Budget (2014)'!S131+D45</f>
        <v>-3362</v>
      </c>
      <c r="G45" s="7">
        <f t="shared" ref="G45:R45" si="24">10+(1365*2)/12+(((550*3)-1365)*2/12)</f>
        <v>285</v>
      </c>
      <c r="H45" s="7">
        <f t="shared" si="24"/>
        <v>285</v>
      </c>
      <c r="I45" s="7">
        <f t="shared" si="24"/>
        <v>285</v>
      </c>
      <c r="J45" s="7">
        <f t="shared" si="24"/>
        <v>285</v>
      </c>
      <c r="K45" s="7">
        <f t="shared" si="24"/>
        <v>285</v>
      </c>
      <c r="L45" s="7">
        <f t="shared" si="24"/>
        <v>285</v>
      </c>
      <c r="M45" s="7">
        <f t="shared" si="24"/>
        <v>285</v>
      </c>
      <c r="N45" s="7">
        <f t="shared" si="24"/>
        <v>285</v>
      </c>
      <c r="O45" s="7">
        <f t="shared" si="24"/>
        <v>285</v>
      </c>
      <c r="P45" s="7">
        <f t="shared" si="24"/>
        <v>285</v>
      </c>
      <c r="Q45" s="7">
        <f t="shared" si="24"/>
        <v>285</v>
      </c>
      <c r="R45" s="7">
        <f t="shared" si="24"/>
        <v>285</v>
      </c>
      <c r="S45" s="25">
        <f t="shared" si="6"/>
        <v>3420</v>
      </c>
      <c r="T45" s="7" t="s">
        <v>50</v>
      </c>
      <c r="U45" s="7"/>
      <c r="V45" s="7"/>
      <c r="W45" s="7"/>
      <c r="X45" s="7"/>
      <c r="Y45" s="7"/>
      <c r="Z45" s="7"/>
      <c r="AA45" s="7"/>
      <c r="AB45" s="7"/>
      <c r="AC45" s="7"/>
      <c r="AD45" s="7"/>
      <c r="AE45" s="7"/>
      <c r="AF45" s="7"/>
      <c r="AG45" s="7"/>
      <c r="AH45" s="7"/>
      <c r="AI45" s="7"/>
      <c r="AJ45" s="7"/>
      <c r="AK45" s="7"/>
    </row>
    <row r="46" ht="12.75" customHeight="1">
      <c r="A46" s="7" t="s">
        <v>794</v>
      </c>
      <c r="B46" s="7" t="s">
        <v>304</v>
      </c>
      <c r="C46" s="7">
        <f>50+500*0+250-50</f>
        <v>250</v>
      </c>
      <c r="E46" s="25">
        <f t="shared" si="4"/>
        <v>3204</v>
      </c>
      <c r="F46" s="6">
        <f>'Budget (2014)'!S132+D46</f>
        <v>1453</v>
      </c>
      <c r="G46" s="7">
        <f t="shared" ref="G46:R46" si="25">50+500*0+250-50</f>
        <v>250</v>
      </c>
      <c r="H46" s="7">
        <f t="shared" si="25"/>
        <v>250</v>
      </c>
      <c r="I46" s="7">
        <f t="shared" si="25"/>
        <v>250</v>
      </c>
      <c r="J46" s="7">
        <f t="shared" si="25"/>
        <v>250</v>
      </c>
      <c r="K46" s="7">
        <f t="shared" si="25"/>
        <v>250</v>
      </c>
      <c r="L46" s="7">
        <f t="shared" si="25"/>
        <v>250</v>
      </c>
      <c r="M46" s="7">
        <f t="shared" si="25"/>
        <v>250</v>
      </c>
      <c r="N46" s="7">
        <f t="shared" si="25"/>
        <v>250</v>
      </c>
      <c r="O46" s="7">
        <f t="shared" si="25"/>
        <v>250</v>
      </c>
      <c r="P46" s="7">
        <f t="shared" si="25"/>
        <v>250</v>
      </c>
      <c r="Q46" s="7">
        <f t="shared" si="25"/>
        <v>250</v>
      </c>
      <c r="R46" s="7">
        <f t="shared" si="25"/>
        <v>250</v>
      </c>
      <c r="S46" s="25">
        <f t="shared" si="6"/>
        <v>3000</v>
      </c>
      <c r="T46" s="7" t="s">
        <v>304</v>
      </c>
      <c r="U46" s="7"/>
      <c r="V46" s="7"/>
      <c r="W46" s="7">
        <f>R46</f>
        <v>250</v>
      </c>
      <c r="X46" s="7"/>
      <c r="Y46" s="7"/>
      <c r="Z46" s="7"/>
      <c r="AA46" s="7"/>
      <c r="AB46" s="7"/>
      <c r="AC46" s="7"/>
      <c r="AD46" s="7"/>
      <c r="AE46" s="7"/>
      <c r="AF46" s="7"/>
      <c r="AG46" s="7"/>
      <c r="AH46" s="7"/>
      <c r="AI46" s="7"/>
      <c r="AJ46" s="7"/>
      <c r="AK46" s="7"/>
    </row>
    <row r="47" ht="12.75" customHeight="1">
      <c r="A47" s="7" t="s">
        <v>794</v>
      </c>
      <c r="B47" s="7" t="s">
        <v>72</v>
      </c>
      <c r="C47" s="7">
        <f>200/2+100</f>
        <v>200</v>
      </c>
      <c r="E47" s="25">
        <f t="shared" si="4"/>
        <v>-1538</v>
      </c>
      <c r="F47" s="6">
        <f>'Budget (2014)'!S133+D47</f>
        <v>-1417</v>
      </c>
      <c r="G47" s="7">
        <f t="shared" ref="G47:R47" si="26">200/2+100</f>
        <v>200</v>
      </c>
      <c r="H47" s="7">
        <f t="shared" si="26"/>
        <v>200</v>
      </c>
      <c r="I47" s="7">
        <f t="shared" si="26"/>
        <v>200</v>
      </c>
      <c r="J47" s="7">
        <f t="shared" si="26"/>
        <v>200</v>
      </c>
      <c r="K47" s="7">
        <f t="shared" si="26"/>
        <v>200</v>
      </c>
      <c r="L47" s="7">
        <f t="shared" si="26"/>
        <v>200</v>
      </c>
      <c r="M47" s="7">
        <f t="shared" si="26"/>
        <v>200</v>
      </c>
      <c r="N47" s="7">
        <f t="shared" si="26"/>
        <v>200</v>
      </c>
      <c r="O47" s="7">
        <f t="shared" si="26"/>
        <v>200</v>
      </c>
      <c r="P47" s="7">
        <f t="shared" si="26"/>
        <v>200</v>
      </c>
      <c r="Q47" s="7">
        <f t="shared" si="26"/>
        <v>200</v>
      </c>
      <c r="R47" s="7">
        <f t="shared" si="26"/>
        <v>200</v>
      </c>
      <c r="S47" s="25">
        <f t="shared" si="6"/>
        <v>2400</v>
      </c>
      <c r="T47" s="7" t="s">
        <v>72</v>
      </c>
      <c r="U47" s="7"/>
      <c r="V47" s="7"/>
      <c r="W47" s="7"/>
      <c r="X47" s="7"/>
      <c r="Y47" s="7"/>
      <c r="Z47" s="7"/>
      <c r="AA47" s="7"/>
      <c r="AB47" s="7"/>
      <c r="AC47" s="7"/>
      <c r="AD47" s="7"/>
      <c r="AE47" s="7"/>
      <c r="AF47" s="7"/>
      <c r="AG47" s="7"/>
      <c r="AH47" s="7"/>
      <c r="AI47" s="7"/>
      <c r="AJ47" s="7"/>
      <c r="AK47" s="7"/>
    </row>
    <row r="48" ht="33.75" customHeight="1">
      <c r="A48" s="7" t="s">
        <v>794</v>
      </c>
      <c r="B48" s="7" t="s">
        <v>13</v>
      </c>
      <c r="C48" s="7">
        <f>444.75+274.75-1.78-115-1-300-50-150+1000+30</f>
        <v>1131.72</v>
      </c>
      <c r="E48" s="25">
        <f t="shared" si="4"/>
        <v>-185463.58</v>
      </c>
      <c r="F48" s="6">
        <f>'Budget (2014)'!S134+D48</f>
        <v>-8328.16</v>
      </c>
      <c r="G48" s="7">
        <f>444.75+274.75-1.78-115-1-300-50-150+1000+30+2350</f>
        <v>3481.72</v>
      </c>
      <c r="H48" s="7">
        <f>444.75+274.75-1.78-115-1-300-50-150+1000+30-778</f>
        <v>353.72</v>
      </c>
      <c r="I48" s="7">
        <f>444.75+274.75-1.78-115-1-300-50-150+1000+30+162</f>
        <v>1293.72</v>
      </c>
      <c r="J48" s="7">
        <f>444.75+274.75-1.78-115-1-300-50-150+1000+30-610</f>
        <v>521.72</v>
      </c>
      <c r="K48" s="7">
        <f>444.75+274.75-1.78-115-1-300-50-150+1000+30-1550</f>
        <v>-418.28</v>
      </c>
      <c r="L48" s="7">
        <f>444.75+274.75-1.78-115-1-300-50-150+1000+30-778</f>
        <v>353.72</v>
      </c>
      <c r="M48" s="7">
        <f>444.75+274.75-1.78-115-1-300-50-150+1000+30+632</f>
        <v>1763.72</v>
      </c>
      <c r="N48" s="7">
        <f>444.75+274.75-1.78-115-1-300-50-150+1000+30+632+2396</f>
        <v>4159.72</v>
      </c>
      <c r="O48" s="7">
        <f>444.75+274.75-1.78-115-1-300-50-150+1000+30+632-392</f>
        <v>1371.72</v>
      </c>
      <c r="P48" s="7">
        <f>444.75+274.75-1.78-115-1-300-50-150+1000+30+632+940</f>
        <v>2703.72</v>
      </c>
      <c r="Q48" s="7">
        <f>444.75+274.75-1.78-115-1-300-50-150+1000+30+632-878</f>
        <v>885.72</v>
      </c>
      <c r="R48" s="7">
        <f>444.75+274.75-1.78-115-1-300-50-150+1000+30+632-996</f>
        <v>767.72</v>
      </c>
      <c r="S48" s="25">
        <f t="shared" si="6"/>
        <v>17238.64</v>
      </c>
      <c r="T48" s="7" t="s">
        <v>13</v>
      </c>
      <c r="U48" s="7"/>
      <c r="V48" s="7"/>
      <c r="W48" s="7"/>
      <c r="X48" s="7"/>
      <c r="Y48" s="7"/>
      <c r="Z48" s="7"/>
      <c r="AA48" s="7"/>
      <c r="AB48" s="7"/>
      <c r="AC48" s="7"/>
      <c r="AD48" s="7"/>
      <c r="AE48" s="7"/>
      <c r="AF48" s="7"/>
      <c r="AG48" s="7"/>
      <c r="AH48" s="7"/>
      <c r="AI48" s="7"/>
      <c r="AJ48" s="7"/>
      <c r="AK48" s="7"/>
    </row>
    <row r="49" ht="12.75" customHeight="1">
      <c r="A49" s="7" t="s">
        <v>794</v>
      </c>
      <c r="B49" s="7" t="s">
        <v>18</v>
      </c>
      <c r="C49" s="7">
        <f>3*1250+350+(2680*0.25)+870+700-3333-500</f>
        <v>2507</v>
      </c>
      <c r="E49" s="25">
        <f t="shared" si="4"/>
        <v>142824</v>
      </c>
      <c r="F49" s="6">
        <f>'Budget (2014)'!S135+D49</f>
        <v>55475</v>
      </c>
      <c r="G49" s="7">
        <f t="shared" ref="G49:R49" si="27">3*1250+350+(2680*0.25)+870+700-3333-500</f>
        <v>2507</v>
      </c>
      <c r="H49" s="7">
        <f t="shared" si="27"/>
        <v>2507</v>
      </c>
      <c r="I49" s="7">
        <f t="shared" si="27"/>
        <v>2507</v>
      </c>
      <c r="J49" s="7">
        <f t="shared" si="27"/>
        <v>2507</v>
      </c>
      <c r="K49" s="7">
        <f t="shared" si="27"/>
        <v>2507</v>
      </c>
      <c r="L49" s="7">
        <f t="shared" si="27"/>
        <v>2507</v>
      </c>
      <c r="M49" s="7">
        <f t="shared" si="27"/>
        <v>2507</v>
      </c>
      <c r="N49" s="7">
        <f t="shared" si="27"/>
        <v>2507</v>
      </c>
      <c r="O49" s="7">
        <f t="shared" si="27"/>
        <v>2507</v>
      </c>
      <c r="P49" s="7">
        <f t="shared" si="27"/>
        <v>2507</v>
      </c>
      <c r="Q49" s="7">
        <f t="shared" si="27"/>
        <v>2507</v>
      </c>
      <c r="R49" s="7">
        <f t="shared" si="27"/>
        <v>2507</v>
      </c>
      <c r="S49" s="25">
        <f t="shared" si="6"/>
        <v>30084</v>
      </c>
      <c r="T49" s="7" t="s">
        <v>18</v>
      </c>
      <c r="U49" s="7"/>
      <c r="V49" s="7" t="s">
        <v>804</v>
      </c>
      <c r="W49" s="7"/>
      <c r="X49" s="7"/>
      <c r="Y49" s="7"/>
      <c r="Z49" s="7"/>
      <c r="AA49" s="7"/>
      <c r="AB49" s="7"/>
      <c r="AC49" s="7"/>
      <c r="AD49" s="7"/>
      <c r="AE49" s="7"/>
      <c r="AF49" s="7"/>
      <c r="AG49" s="7"/>
      <c r="AH49" s="7"/>
      <c r="AI49" s="7"/>
      <c r="AJ49" s="7"/>
      <c r="AK49" s="7"/>
    </row>
    <row r="50" ht="12.75" customHeight="1">
      <c r="A50" s="7" t="s">
        <v>794</v>
      </c>
      <c r="B50" s="6" t="s">
        <v>153</v>
      </c>
      <c r="C50" s="7">
        <f>(3000+3000+9000)/12</f>
        <v>1250</v>
      </c>
      <c r="D50" s="7"/>
      <c r="E50" s="25">
        <f t="shared" si="4"/>
        <v>1351.93</v>
      </c>
      <c r="F50" s="6">
        <f>'Budget (2014)'!S136+D50</f>
        <v>-4922.72</v>
      </c>
      <c r="G50" s="7">
        <f t="shared" ref="G50:R50" si="28">(3000+3000+9000)/12</f>
        <v>1250</v>
      </c>
      <c r="H50" s="7">
        <f t="shared" si="28"/>
        <v>1250</v>
      </c>
      <c r="I50" s="7">
        <f t="shared" si="28"/>
        <v>1250</v>
      </c>
      <c r="J50" s="7">
        <f t="shared" si="28"/>
        <v>1250</v>
      </c>
      <c r="K50" s="7">
        <f t="shared" si="28"/>
        <v>1250</v>
      </c>
      <c r="L50" s="7">
        <f t="shared" si="28"/>
        <v>1250</v>
      </c>
      <c r="M50" s="7">
        <f t="shared" si="28"/>
        <v>1250</v>
      </c>
      <c r="N50" s="7">
        <f t="shared" si="28"/>
        <v>1250</v>
      </c>
      <c r="O50" s="7">
        <f t="shared" si="28"/>
        <v>1250</v>
      </c>
      <c r="P50" s="7">
        <f t="shared" si="28"/>
        <v>1250</v>
      </c>
      <c r="Q50" s="7">
        <f t="shared" si="28"/>
        <v>1250</v>
      </c>
      <c r="R50" s="7">
        <f t="shared" si="28"/>
        <v>1250</v>
      </c>
      <c r="S50" s="25">
        <f t="shared" si="6"/>
        <v>15000</v>
      </c>
      <c r="T50" s="6" t="s">
        <v>153</v>
      </c>
      <c r="U50" s="6"/>
      <c r="V50" s="6">
        <v>7600.0</v>
      </c>
      <c r="W50" s="6">
        <f t="shared" ref="W50:W56" si="30">R50</f>
        <v>1250</v>
      </c>
      <c r="X50" s="6"/>
      <c r="Y50" s="6"/>
      <c r="Z50" s="6"/>
      <c r="AA50" s="6"/>
      <c r="AB50" s="6"/>
      <c r="AC50" s="6"/>
      <c r="AD50" s="6"/>
      <c r="AE50" s="6"/>
      <c r="AF50" s="6"/>
      <c r="AG50" s="6"/>
      <c r="AH50" s="6"/>
      <c r="AI50" s="6"/>
      <c r="AJ50" s="6"/>
      <c r="AK50" s="6"/>
      <c r="AL50" s="6"/>
      <c r="AM50" s="6"/>
      <c r="AN50" s="6"/>
      <c r="AO50" s="6"/>
    </row>
    <row r="51" ht="12.75" customHeight="1">
      <c r="A51" s="7" t="s">
        <v>794</v>
      </c>
      <c r="B51" s="7" t="s">
        <v>805</v>
      </c>
      <c r="C51" s="7">
        <f>250+100+100-100</f>
        <v>350</v>
      </c>
      <c r="E51" s="25">
        <f t="shared" si="4"/>
        <v>8900</v>
      </c>
      <c r="F51" s="6">
        <f>'Budget (2014)'!S137+D51</f>
        <v>4700</v>
      </c>
      <c r="G51" s="7">
        <f t="shared" ref="G51:R51" si="29">250+100+100-100</f>
        <v>350</v>
      </c>
      <c r="H51" s="7">
        <f t="shared" si="29"/>
        <v>350</v>
      </c>
      <c r="I51" s="7">
        <f t="shared" si="29"/>
        <v>350</v>
      </c>
      <c r="J51" s="7">
        <f t="shared" si="29"/>
        <v>350</v>
      </c>
      <c r="K51" s="7">
        <f t="shared" si="29"/>
        <v>350</v>
      </c>
      <c r="L51" s="7">
        <f t="shared" si="29"/>
        <v>350</v>
      </c>
      <c r="M51" s="7">
        <f t="shared" si="29"/>
        <v>350</v>
      </c>
      <c r="N51" s="7">
        <f t="shared" si="29"/>
        <v>350</v>
      </c>
      <c r="O51" s="7">
        <f t="shared" si="29"/>
        <v>350</v>
      </c>
      <c r="P51" s="7">
        <f t="shared" si="29"/>
        <v>350</v>
      </c>
      <c r="Q51" s="7">
        <f t="shared" si="29"/>
        <v>350</v>
      </c>
      <c r="R51" s="7">
        <f t="shared" si="29"/>
        <v>350</v>
      </c>
      <c r="S51" s="25">
        <f t="shared" si="6"/>
        <v>4200</v>
      </c>
      <c r="T51" s="7" t="s">
        <v>805</v>
      </c>
      <c r="U51" s="7"/>
      <c r="V51" s="7" t="s">
        <v>806</v>
      </c>
      <c r="W51" s="7">
        <f t="shared" si="30"/>
        <v>350</v>
      </c>
      <c r="X51" s="7"/>
      <c r="Y51" s="7"/>
      <c r="Z51" s="7"/>
      <c r="AA51" s="7"/>
      <c r="AB51" s="7"/>
      <c r="AC51" s="7"/>
      <c r="AD51" s="7"/>
      <c r="AE51" s="7"/>
      <c r="AF51" s="7"/>
      <c r="AG51" s="7"/>
      <c r="AH51" s="7"/>
      <c r="AI51" s="7"/>
      <c r="AJ51" s="7"/>
      <c r="AK51" s="7"/>
    </row>
    <row r="52" ht="12.75" customHeight="1">
      <c r="A52" s="7" t="s">
        <v>794</v>
      </c>
      <c r="B52" s="7" t="s">
        <v>31</v>
      </c>
      <c r="C52" s="7">
        <f>300+100-50+100</f>
        <v>450</v>
      </c>
      <c r="E52" s="25">
        <f t="shared" si="4"/>
        <v>-4339.16</v>
      </c>
      <c r="F52" s="6">
        <f>'Budget (2014)'!S138+D52</f>
        <v>-1344.01</v>
      </c>
      <c r="G52" s="7">
        <f t="shared" ref="G52:R52" si="31">300+100-50+100</f>
        <v>450</v>
      </c>
      <c r="H52" s="7">
        <f t="shared" si="31"/>
        <v>450</v>
      </c>
      <c r="I52" s="7">
        <f t="shared" si="31"/>
        <v>450</v>
      </c>
      <c r="J52" s="7">
        <f t="shared" si="31"/>
        <v>450</v>
      </c>
      <c r="K52" s="7">
        <f t="shared" si="31"/>
        <v>450</v>
      </c>
      <c r="L52" s="7">
        <f t="shared" si="31"/>
        <v>450</v>
      </c>
      <c r="M52" s="7">
        <f t="shared" si="31"/>
        <v>450</v>
      </c>
      <c r="N52" s="7">
        <f t="shared" si="31"/>
        <v>450</v>
      </c>
      <c r="O52" s="7">
        <f t="shared" si="31"/>
        <v>450</v>
      </c>
      <c r="P52" s="7">
        <f t="shared" si="31"/>
        <v>450</v>
      </c>
      <c r="Q52" s="7">
        <f t="shared" si="31"/>
        <v>450</v>
      </c>
      <c r="R52" s="7">
        <f t="shared" si="31"/>
        <v>450</v>
      </c>
      <c r="S52" s="25">
        <f t="shared" si="6"/>
        <v>5400</v>
      </c>
      <c r="T52" s="7" t="s">
        <v>31</v>
      </c>
      <c r="U52" s="7"/>
      <c r="V52" s="7" t="str">
        <f>Kontoutdrag_officiella!#REF!</f>
        <v>#ERROR!</v>
      </c>
      <c r="W52" s="7">
        <f t="shared" si="30"/>
        <v>450</v>
      </c>
      <c r="X52" s="7"/>
      <c r="Y52" s="7"/>
      <c r="Z52" s="7"/>
      <c r="AA52" s="7"/>
      <c r="AB52" s="7"/>
      <c r="AC52" s="7"/>
      <c r="AD52" s="7"/>
      <c r="AE52" s="7"/>
      <c r="AF52" s="7"/>
      <c r="AG52" s="7"/>
      <c r="AH52" s="7"/>
      <c r="AI52" s="7"/>
      <c r="AJ52" s="7"/>
      <c r="AK52" s="7"/>
    </row>
    <row r="53" ht="12.75" customHeight="1">
      <c r="A53" s="7" t="s">
        <v>794</v>
      </c>
      <c r="B53" s="7" t="s">
        <v>123</v>
      </c>
      <c r="C53" s="7">
        <f>50+50+20+10+70-50</f>
        <v>150</v>
      </c>
      <c r="E53" s="25">
        <f t="shared" si="4"/>
        <v>-3530</v>
      </c>
      <c r="F53" s="6">
        <f>'Budget (2014)'!S139+D53</f>
        <v>-1522</v>
      </c>
      <c r="G53" s="7">
        <f t="shared" ref="G53:R53" si="32">50+50+20+10+70-50</f>
        <v>150</v>
      </c>
      <c r="H53" s="7">
        <f t="shared" si="32"/>
        <v>150</v>
      </c>
      <c r="I53" s="7">
        <f t="shared" si="32"/>
        <v>150</v>
      </c>
      <c r="J53" s="7">
        <f t="shared" si="32"/>
        <v>150</v>
      </c>
      <c r="K53" s="7">
        <f t="shared" si="32"/>
        <v>150</v>
      </c>
      <c r="L53" s="7">
        <f t="shared" si="32"/>
        <v>150</v>
      </c>
      <c r="M53" s="7">
        <f t="shared" si="32"/>
        <v>150</v>
      </c>
      <c r="N53" s="7">
        <f t="shared" si="32"/>
        <v>150</v>
      </c>
      <c r="O53" s="7">
        <f t="shared" si="32"/>
        <v>150</v>
      </c>
      <c r="P53" s="7">
        <f t="shared" si="32"/>
        <v>150</v>
      </c>
      <c r="Q53" s="7">
        <f t="shared" si="32"/>
        <v>150</v>
      </c>
      <c r="R53" s="7">
        <f t="shared" si="32"/>
        <v>150</v>
      </c>
      <c r="S53" s="25">
        <f t="shared" si="6"/>
        <v>1800</v>
      </c>
      <c r="T53" s="7" t="s">
        <v>123</v>
      </c>
      <c r="U53" s="7"/>
      <c r="V53" s="7">
        <v>-14746.2</v>
      </c>
      <c r="W53" s="7">
        <f t="shared" si="30"/>
        <v>150</v>
      </c>
      <c r="X53" s="7"/>
      <c r="Y53" s="7"/>
      <c r="Z53" s="7"/>
      <c r="AA53" s="7"/>
      <c r="AB53" s="7"/>
      <c r="AC53" s="7"/>
      <c r="AD53" s="7"/>
      <c r="AE53" s="7"/>
      <c r="AF53" s="7"/>
      <c r="AG53" s="7"/>
      <c r="AH53" s="7"/>
      <c r="AI53" s="7"/>
      <c r="AJ53" s="7"/>
      <c r="AK53" s="7"/>
    </row>
    <row r="54" ht="12.75" customHeight="1">
      <c r="A54" s="7" t="s">
        <v>794</v>
      </c>
      <c r="B54" s="7" t="s">
        <v>35</v>
      </c>
      <c r="C54" s="7">
        <f>500-200+700</f>
        <v>1000</v>
      </c>
      <c r="D54" s="6"/>
      <c r="E54" s="25">
        <f t="shared" si="4"/>
        <v>-21032.65</v>
      </c>
      <c r="F54" s="6">
        <f>'Budget (2014)'!S140+D54</f>
        <v>-11506.74</v>
      </c>
      <c r="G54" s="7">
        <f t="shared" ref="G54:R54" si="33">500-200+700</f>
        <v>1000</v>
      </c>
      <c r="H54" s="7">
        <f t="shared" si="33"/>
        <v>1000</v>
      </c>
      <c r="I54" s="7">
        <f t="shared" si="33"/>
        <v>1000</v>
      </c>
      <c r="J54" s="7">
        <f t="shared" si="33"/>
        <v>1000</v>
      </c>
      <c r="K54" s="7">
        <f t="shared" si="33"/>
        <v>1000</v>
      </c>
      <c r="L54" s="7">
        <f t="shared" si="33"/>
        <v>1000</v>
      </c>
      <c r="M54" s="7">
        <f t="shared" si="33"/>
        <v>1000</v>
      </c>
      <c r="N54" s="7">
        <f t="shared" si="33"/>
        <v>1000</v>
      </c>
      <c r="O54" s="7">
        <f t="shared" si="33"/>
        <v>1000</v>
      </c>
      <c r="P54" s="7">
        <f t="shared" si="33"/>
        <v>1000</v>
      </c>
      <c r="Q54" s="7">
        <f t="shared" si="33"/>
        <v>1000</v>
      </c>
      <c r="R54" s="7">
        <f t="shared" si="33"/>
        <v>1000</v>
      </c>
      <c r="S54" s="25">
        <f t="shared" si="6"/>
        <v>12000</v>
      </c>
      <c r="T54" s="7" t="s">
        <v>35</v>
      </c>
      <c r="U54" s="7"/>
      <c r="V54" s="7" t="s">
        <v>807</v>
      </c>
      <c r="W54" s="7">
        <f t="shared" si="30"/>
        <v>1000</v>
      </c>
      <c r="X54" s="7"/>
      <c r="Y54" s="7"/>
      <c r="Z54" s="7"/>
      <c r="AA54" s="7"/>
      <c r="AB54" s="7"/>
      <c r="AC54" s="7"/>
      <c r="AD54" s="7"/>
      <c r="AE54" s="7"/>
      <c r="AF54" s="7"/>
      <c r="AG54" s="7"/>
      <c r="AH54" s="7"/>
      <c r="AI54" s="7"/>
      <c r="AJ54" s="7"/>
      <c r="AK54" s="7"/>
    </row>
    <row r="55" ht="12.75" customHeight="1">
      <c r="A55" s="7" t="s">
        <v>794</v>
      </c>
      <c r="B55" s="7" t="s">
        <v>210</v>
      </c>
      <c r="C55" s="7">
        <f>50*0</f>
        <v>0</v>
      </c>
      <c r="D55" s="7"/>
      <c r="E55" s="25">
        <f t="shared" si="4"/>
        <v>-5954.16</v>
      </c>
      <c r="F55" s="6">
        <f>'Budget (2014)'!S141+D55</f>
        <v>-550</v>
      </c>
      <c r="G55" s="7">
        <f t="shared" ref="G55:R55" si="34">50*0</f>
        <v>0</v>
      </c>
      <c r="H55" s="7">
        <f t="shared" si="34"/>
        <v>0</v>
      </c>
      <c r="I55" s="7">
        <f t="shared" si="34"/>
        <v>0</v>
      </c>
      <c r="J55" s="7">
        <f t="shared" si="34"/>
        <v>0</v>
      </c>
      <c r="K55" s="7">
        <f t="shared" si="34"/>
        <v>0</v>
      </c>
      <c r="L55" s="7">
        <f t="shared" si="34"/>
        <v>0</v>
      </c>
      <c r="M55" s="7">
        <f t="shared" si="34"/>
        <v>0</v>
      </c>
      <c r="N55" s="7">
        <f t="shared" si="34"/>
        <v>0</v>
      </c>
      <c r="O55" s="7">
        <f t="shared" si="34"/>
        <v>0</v>
      </c>
      <c r="P55" s="7">
        <f t="shared" si="34"/>
        <v>0</v>
      </c>
      <c r="Q55" s="7">
        <f t="shared" si="34"/>
        <v>0</v>
      </c>
      <c r="R55" s="7">
        <f t="shared" si="34"/>
        <v>0</v>
      </c>
      <c r="S55" s="25">
        <f t="shared" si="6"/>
        <v>0</v>
      </c>
      <c r="T55" s="7" t="s">
        <v>210</v>
      </c>
      <c r="U55" s="7"/>
      <c r="V55" s="6">
        <f>V53+V50</f>
        <v>-7146.2</v>
      </c>
      <c r="W55" s="7">
        <f t="shared" si="30"/>
        <v>0</v>
      </c>
      <c r="X55" s="7"/>
      <c r="Y55" s="7"/>
      <c r="Z55" s="7"/>
      <c r="AA55" s="7"/>
      <c r="AB55" s="7"/>
      <c r="AC55" s="7"/>
      <c r="AD55" s="7"/>
      <c r="AE55" s="7"/>
      <c r="AF55" s="7"/>
      <c r="AG55" s="7"/>
      <c r="AH55" s="7"/>
      <c r="AI55" s="7"/>
      <c r="AJ55" s="7"/>
      <c r="AK55" s="7"/>
    </row>
    <row r="56" ht="12.75" customHeight="1">
      <c r="A56" s="7" t="s">
        <v>794</v>
      </c>
      <c r="B56" s="7" t="s">
        <v>808</v>
      </c>
      <c r="C56" s="7">
        <f>20*0</f>
        <v>0</v>
      </c>
      <c r="D56" s="7"/>
      <c r="E56" s="25">
        <f t="shared" si="4"/>
        <v>0</v>
      </c>
      <c r="F56" s="6">
        <f>'Budget (2014)'!S142+D56</f>
        <v>0</v>
      </c>
      <c r="G56" s="7">
        <f t="shared" ref="G56:R56" si="35">20*0</f>
        <v>0</v>
      </c>
      <c r="H56" s="7">
        <f t="shared" si="35"/>
        <v>0</v>
      </c>
      <c r="I56" s="7">
        <f t="shared" si="35"/>
        <v>0</v>
      </c>
      <c r="J56" s="7">
        <f t="shared" si="35"/>
        <v>0</v>
      </c>
      <c r="K56" s="7">
        <f t="shared" si="35"/>
        <v>0</v>
      </c>
      <c r="L56" s="7">
        <f t="shared" si="35"/>
        <v>0</v>
      </c>
      <c r="M56" s="7">
        <f t="shared" si="35"/>
        <v>0</v>
      </c>
      <c r="N56" s="7">
        <f t="shared" si="35"/>
        <v>0</v>
      </c>
      <c r="O56" s="7">
        <f t="shared" si="35"/>
        <v>0</v>
      </c>
      <c r="P56" s="7">
        <f t="shared" si="35"/>
        <v>0</v>
      </c>
      <c r="Q56" s="7">
        <f t="shared" si="35"/>
        <v>0</v>
      </c>
      <c r="R56" s="7">
        <f t="shared" si="35"/>
        <v>0</v>
      </c>
      <c r="S56" s="25">
        <f t="shared" si="6"/>
        <v>0</v>
      </c>
      <c r="T56" s="7" t="s">
        <v>808</v>
      </c>
      <c r="U56" s="7"/>
      <c r="V56" s="7" t="s">
        <v>809</v>
      </c>
      <c r="W56" s="7">
        <f t="shared" si="30"/>
        <v>0</v>
      </c>
      <c r="X56" s="7"/>
      <c r="Y56" s="7"/>
      <c r="Z56" s="7"/>
      <c r="AA56" s="7"/>
      <c r="AB56" s="7"/>
      <c r="AC56" s="7"/>
      <c r="AD56" s="7"/>
      <c r="AE56" s="7"/>
      <c r="AF56" s="7"/>
      <c r="AG56" s="7"/>
      <c r="AH56" s="7"/>
      <c r="AI56" s="7"/>
      <c r="AJ56" s="7"/>
      <c r="AK56" s="7"/>
    </row>
    <row r="57" ht="12.75" customHeight="1">
      <c r="A57" s="7" t="s">
        <v>794</v>
      </c>
      <c r="B57" s="7" t="s">
        <v>810</v>
      </c>
      <c r="C57" s="7">
        <f>(25+50)*0+5*56</f>
        <v>280</v>
      </c>
      <c r="D57" s="18"/>
      <c r="E57" s="25">
        <f t="shared" si="4"/>
        <v>6720</v>
      </c>
      <c r="F57" s="6">
        <f>'Budget (2014)'!S143+D57</f>
        <v>3360</v>
      </c>
      <c r="G57" s="7">
        <f t="shared" ref="G57:R57" si="36">(25+50)*0+5*56</f>
        <v>280</v>
      </c>
      <c r="H57" s="7">
        <f t="shared" si="36"/>
        <v>280</v>
      </c>
      <c r="I57" s="7">
        <f t="shared" si="36"/>
        <v>280</v>
      </c>
      <c r="J57" s="7">
        <f t="shared" si="36"/>
        <v>280</v>
      </c>
      <c r="K57" s="7">
        <f t="shared" si="36"/>
        <v>280</v>
      </c>
      <c r="L57" s="7">
        <f t="shared" si="36"/>
        <v>280</v>
      </c>
      <c r="M57" s="7">
        <f t="shared" si="36"/>
        <v>280</v>
      </c>
      <c r="N57" s="7">
        <f t="shared" si="36"/>
        <v>280</v>
      </c>
      <c r="O57" s="7">
        <f t="shared" si="36"/>
        <v>280</v>
      </c>
      <c r="P57" s="7">
        <f t="shared" si="36"/>
        <v>280</v>
      </c>
      <c r="Q57" s="7">
        <f t="shared" si="36"/>
        <v>280</v>
      </c>
      <c r="R57" s="7">
        <f t="shared" si="36"/>
        <v>280</v>
      </c>
      <c r="S57" s="25">
        <f t="shared" si="6"/>
        <v>3360</v>
      </c>
      <c r="T57" s="7" t="s">
        <v>810</v>
      </c>
      <c r="U57" s="7"/>
      <c r="V57" s="6">
        <f>Kontoutdrag_officiella!G552+Kontoutdrag_officiella!G547</f>
        <v>-5058</v>
      </c>
      <c r="W57" s="7"/>
      <c r="X57" s="7"/>
      <c r="Y57" s="7"/>
      <c r="Z57" s="7"/>
      <c r="AA57" s="7"/>
      <c r="AB57" s="7"/>
      <c r="AC57" s="7"/>
      <c r="AD57" s="7"/>
      <c r="AE57" s="7"/>
      <c r="AF57" s="7"/>
      <c r="AG57" s="7"/>
      <c r="AH57" s="7"/>
      <c r="AI57" s="7"/>
      <c r="AJ57" s="7"/>
      <c r="AK57" s="7"/>
    </row>
    <row r="58" ht="12.75" customHeight="1">
      <c r="A58" s="7" t="s">
        <v>794</v>
      </c>
      <c r="B58" s="7" t="s">
        <v>744</v>
      </c>
      <c r="C58" s="7">
        <f>SUM(C25:C57)</f>
        <v>29051</v>
      </c>
      <c r="D58" s="18"/>
      <c r="E58" s="25">
        <f t="shared" ref="E58:S58" si="37">SUM(E25:E57)</f>
        <v>-84611.81</v>
      </c>
      <c r="F58" s="30">
        <f t="shared" si="37"/>
        <v>73716.82</v>
      </c>
      <c r="G58" s="6">
        <f t="shared" si="37"/>
        <v>31401</v>
      </c>
      <c r="H58" s="6">
        <f t="shared" si="37"/>
        <v>28273</v>
      </c>
      <c r="I58" s="6">
        <f t="shared" si="37"/>
        <v>29213</v>
      </c>
      <c r="J58" s="6">
        <f t="shared" si="37"/>
        <v>28441</v>
      </c>
      <c r="K58" s="6">
        <f t="shared" si="37"/>
        <v>27501</v>
      </c>
      <c r="L58" s="6">
        <f t="shared" si="37"/>
        <v>28273</v>
      </c>
      <c r="M58" s="6">
        <f t="shared" si="37"/>
        <v>29683</v>
      </c>
      <c r="N58" s="6">
        <f t="shared" si="37"/>
        <v>32079</v>
      </c>
      <c r="O58" s="6">
        <f t="shared" si="37"/>
        <v>29291</v>
      </c>
      <c r="P58" s="6">
        <f t="shared" si="37"/>
        <v>30623</v>
      </c>
      <c r="Q58" s="6">
        <f t="shared" si="37"/>
        <v>28805</v>
      </c>
      <c r="R58" s="6">
        <f t="shared" si="37"/>
        <v>28687</v>
      </c>
      <c r="S58" s="25">
        <f t="shared" si="37"/>
        <v>352270</v>
      </c>
      <c r="T58" s="25"/>
      <c r="U58" s="7"/>
      <c r="V58" s="6">
        <f>V57+V55</f>
        <v>-12204.2</v>
      </c>
      <c r="W58" s="7">
        <f>SUM(W25:W57)</f>
        <v>7220.363333</v>
      </c>
      <c r="X58" s="7"/>
    </row>
    <row r="59" ht="12.75" customHeight="1">
      <c r="A59" s="31" t="s">
        <v>794</v>
      </c>
      <c r="B59" s="32" t="s">
        <v>811</v>
      </c>
      <c r="C59" s="32">
        <f>C58*0.8</f>
        <v>23240.8</v>
      </c>
      <c r="D59" s="24">
        <f>C58-C59</f>
        <v>5810.2</v>
      </c>
      <c r="E59" s="24"/>
      <c r="F59" s="24"/>
      <c r="G59" s="32"/>
      <c r="H59" s="32"/>
      <c r="I59" s="32"/>
      <c r="J59" s="32"/>
      <c r="K59" s="32"/>
      <c r="L59" s="32"/>
      <c r="M59" s="24"/>
      <c r="N59" s="24"/>
      <c r="O59" s="32"/>
      <c r="P59" s="32"/>
      <c r="Q59" s="32"/>
      <c r="R59" s="32"/>
      <c r="S59" s="33"/>
      <c r="T59" s="33"/>
      <c r="U59" s="32"/>
      <c r="V59" s="32" t="s">
        <v>812</v>
      </c>
      <c r="W59" s="32"/>
      <c r="X59" s="32"/>
      <c r="Y59" s="32"/>
      <c r="Z59" s="32"/>
      <c r="AA59" s="32"/>
      <c r="AB59" s="32"/>
      <c r="AC59" s="32"/>
      <c r="AD59" s="32"/>
      <c r="AE59" s="32"/>
      <c r="AF59" s="32"/>
      <c r="AG59" s="32"/>
      <c r="AH59" s="32"/>
      <c r="AI59" s="32"/>
      <c r="AJ59" s="32"/>
      <c r="AK59" s="32"/>
      <c r="AL59" s="32"/>
      <c r="AM59" s="32"/>
      <c r="AN59" s="32"/>
      <c r="AO59" s="32"/>
    </row>
    <row r="60" ht="23.25" customHeight="1">
      <c r="A60" s="34"/>
      <c r="B60" s="35" t="s">
        <v>813</v>
      </c>
      <c r="C60" s="36">
        <f>SUM(C26:C57)</f>
        <v>16768</v>
      </c>
      <c r="D60" s="37">
        <f>SUM(D26:D54)</f>
        <v>0</v>
      </c>
      <c r="E60" s="37"/>
      <c r="F60" s="34"/>
      <c r="G60" s="34"/>
      <c r="H60" s="38"/>
      <c r="I60" s="34"/>
      <c r="J60" s="34"/>
      <c r="K60" s="34"/>
      <c r="L60" s="34"/>
      <c r="M60" s="34"/>
      <c r="N60" s="34"/>
      <c r="O60" s="34"/>
      <c r="P60" s="34"/>
      <c r="Q60" s="34"/>
      <c r="R60" s="34">
        <f>K59*C58</f>
        <v>0</v>
      </c>
      <c r="S60" s="39"/>
      <c r="T60" s="39"/>
      <c r="U60" s="34"/>
      <c r="V60" s="38">
        <f>V58+2410.12</f>
        <v>-9794.08</v>
      </c>
      <c r="W60" s="34"/>
      <c r="X60" s="34"/>
      <c r="Y60" s="34"/>
      <c r="Z60" s="34"/>
      <c r="AA60" s="34"/>
      <c r="AB60" s="34"/>
      <c r="AC60" s="34"/>
      <c r="AD60" s="34"/>
      <c r="AE60" s="34"/>
      <c r="AF60" s="34"/>
      <c r="AG60" s="34"/>
      <c r="AH60" s="34"/>
      <c r="AI60" s="34"/>
      <c r="AJ60" s="34"/>
      <c r="AK60" s="34"/>
      <c r="AL60" s="34"/>
      <c r="AM60" s="34"/>
      <c r="AN60" s="34"/>
      <c r="AO60" s="34"/>
    </row>
    <row r="61" ht="23.25" customHeight="1">
      <c r="A61" s="7"/>
      <c r="B61" s="7" t="s">
        <v>744</v>
      </c>
      <c r="C61" s="7">
        <f t="shared" ref="C61:D61" si="38">SUM(C25:C57)</f>
        <v>29051</v>
      </c>
      <c r="D61" s="6">
        <f t="shared" si="38"/>
        <v>0</v>
      </c>
      <c r="E61" s="6"/>
      <c r="F61" s="40">
        <f t="shared" ref="F61:R61" si="39">SUM(F25:F57)</f>
        <v>73716.82</v>
      </c>
      <c r="G61" s="40">
        <f t="shared" si="39"/>
        <v>31401</v>
      </c>
      <c r="H61" s="40">
        <f t="shared" si="39"/>
        <v>28273</v>
      </c>
      <c r="I61" s="40">
        <f t="shared" si="39"/>
        <v>29213</v>
      </c>
      <c r="J61" s="40">
        <f t="shared" si="39"/>
        <v>28441</v>
      </c>
      <c r="K61" s="40">
        <f t="shared" si="39"/>
        <v>27501</v>
      </c>
      <c r="L61" s="40">
        <f t="shared" si="39"/>
        <v>28273</v>
      </c>
      <c r="M61" s="40">
        <f t="shared" si="39"/>
        <v>29683</v>
      </c>
      <c r="N61" s="40">
        <f t="shared" si="39"/>
        <v>32079</v>
      </c>
      <c r="O61" s="40">
        <f t="shared" si="39"/>
        <v>29291</v>
      </c>
      <c r="P61" s="40">
        <f t="shared" si="39"/>
        <v>30623</v>
      </c>
      <c r="Q61" s="40">
        <f t="shared" si="39"/>
        <v>28805</v>
      </c>
      <c r="R61" s="40">
        <f t="shared" si="39"/>
        <v>28687</v>
      </c>
      <c r="S61" s="41"/>
      <c r="T61" s="25"/>
      <c r="U61" s="7"/>
      <c r="V61" s="7"/>
      <c r="W61" s="7"/>
      <c r="X61" s="7"/>
    </row>
    <row r="62" ht="12.75" customHeight="1">
      <c r="A62" s="7"/>
      <c r="B62" s="7" t="s">
        <v>814</v>
      </c>
      <c r="C62" s="7">
        <v>29051.0</v>
      </c>
      <c r="D62" s="6"/>
      <c r="E62" s="6"/>
      <c r="F62" s="40">
        <f>30599.07-217</f>
        <v>30382.07</v>
      </c>
      <c r="G62" s="40">
        <f>DSUM(Kontoutdrag_officiella!$A:$J,"t",'Villkor 1 år (2015)'!$A799:$J800)</f>
        <v>31401</v>
      </c>
      <c r="H62" s="40">
        <f>DSUM(Kontoutdrag_officiella!$A:$J,"t",'Villkor 1 år (2015)'!$A801:$J802)</f>
        <v>28273</v>
      </c>
      <c r="I62" s="40">
        <f>DSUM(Kontoutdrag_officiella!$A:$J,"t",'Villkor 1 år (2015)'!$A803:$J804)</f>
        <v>29213</v>
      </c>
      <c r="J62" s="40">
        <f>DSUM(Kontoutdrag_officiella!$A:$J,"t",'Villkor 1 år (2015)'!$A805:$J806)</f>
        <v>28441</v>
      </c>
      <c r="K62" s="40">
        <f>DSUM(Kontoutdrag_officiella!$A:$J,"t",'Villkor 1 år (2015)'!$A807:$J808)</f>
        <v>27501</v>
      </c>
      <c r="L62" s="40">
        <f>DSUM(Kontoutdrag_officiella!$A:$J,"t",'Villkor 1 år (2015)'!$A809:$J810)</f>
        <v>28273</v>
      </c>
      <c r="M62" s="40">
        <f>DSUM(Kontoutdrag_officiella!$A:$J,"t",'Villkor 1 år (2015)'!$A811:$J812)</f>
        <v>29683</v>
      </c>
      <c r="N62" s="40">
        <f>DSUM(Kontoutdrag_officiella!$A:$J,"t",'Villkor 1 år (2015)'!$A813:$J814)</f>
        <v>32079</v>
      </c>
      <c r="O62" s="40">
        <f>DSUM(Kontoutdrag_officiella!$A:$J,"t",'Villkor 1 år (2015)'!$A815:$J816)</f>
        <v>29291</v>
      </c>
      <c r="P62" s="40">
        <f>DSUM(Kontoutdrag_officiella!$A:$J,"t",'Villkor 1 år (2015)'!$A817:$J818)</f>
        <v>30623</v>
      </c>
      <c r="Q62" s="40">
        <f>DSUM(Kontoutdrag_officiella!$A:$J,"t",'Villkor 1 år (2015)'!$A819:$J820)</f>
        <v>28805</v>
      </c>
      <c r="R62" s="40">
        <f>DSUM(Kontoutdrag_officiella!$A:$J,"t",'Villkor 1 år (2015)'!$A821:$J822)</f>
        <v>28687</v>
      </c>
      <c r="S62" s="41"/>
      <c r="T62" s="25"/>
      <c r="U62" s="7"/>
      <c r="V62" s="7"/>
      <c r="W62" s="7"/>
      <c r="X62" s="7"/>
      <c r="Y62" s="7"/>
      <c r="Z62" s="7"/>
      <c r="AA62" s="7"/>
      <c r="AB62" s="7"/>
      <c r="AC62" s="7"/>
      <c r="AD62" s="7"/>
      <c r="AE62" s="7"/>
      <c r="AF62" s="7"/>
      <c r="AG62" s="7"/>
      <c r="AH62" s="7"/>
      <c r="AI62" s="7"/>
      <c r="AJ62" s="7"/>
      <c r="AK62" s="7"/>
    </row>
    <row r="63" ht="12.75" customHeight="1">
      <c r="A63" s="7"/>
      <c r="B63" s="7" t="s">
        <v>815</v>
      </c>
      <c r="C63" s="14">
        <f t="shared" ref="C63:D63" si="40">C62-C61</f>
        <v>0</v>
      </c>
      <c r="D63" s="6">
        <f t="shared" si="40"/>
        <v>0</v>
      </c>
      <c r="E63" s="6"/>
      <c r="F63" s="6">
        <f t="shared" ref="F63:R63" si="41">F62-F61</f>
        <v>-43334.75</v>
      </c>
      <c r="G63" s="6">
        <f t="shared" si="41"/>
        <v>0</v>
      </c>
      <c r="H63" s="6">
        <f t="shared" si="41"/>
        <v>0</v>
      </c>
      <c r="I63" s="6">
        <f t="shared" si="41"/>
        <v>0</v>
      </c>
      <c r="J63" s="6">
        <f t="shared" si="41"/>
        <v>0</v>
      </c>
      <c r="K63" s="6">
        <f t="shared" si="41"/>
        <v>0</v>
      </c>
      <c r="L63" s="6">
        <f t="shared" si="41"/>
        <v>0</v>
      </c>
      <c r="M63" s="6">
        <f t="shared" si="41"/>
        <v>0</v>
      </c>
      <c r="N63" s="6">
        <f t="shared" si="41"/>
        <v>0</v>
      </c>
      <c r="O63" s="6">
        <f t="shared" si="41"/>
        <v>0</v>
      </c>
      <c r="P63" s="6">
        <f t="shared" si="41"/>
        <v>0</v>
      </c>
      <c r="Q63" s="6">
        <f t="shared" si="41"/>
        <v>0</v>
      </c>
      <c r="R63" s="6">
        <f t="shared" si="41"/>
        <v>0</v>
      </c>
      <c r="S63" s="25">
        <f>SUM(F63:R63)</f>
        <v>-43334.75</v>
      </c>
      <c r="T63" s="25"/>
      <c r="U63" s="7"/>
      <c r="V63" s="7"/>
      <c r="W63" s="7"/>
      <c r="X63" s="7"/>
      <c r="Y63" s="7"/>
      <c r="Z63" s="7"/>
      <c r="AA63" s="7"/>
      <c r="AB63" s="7"/>
      <c r="AC63" s="7"/>
      <c r="AD63" s="7"/>
      <c r="AE63" s="7"/>
      <c r="AF63" s="7"/>
      <c r="AG63" s="7"/>
      <c r="AH63" s="7"/>
      <c r="AI63" s="7"/>
      <c r="AJ63" s="7"/>
      <c r="AK63" s="7"/>
    </row>
    <row r="64" ht="12.75" customHeight="1">
      <c r="A64" s="7"/>
      <c r="B64" s="7" t="s">
        <v>816</v>
      </c>
      <c r="C64" s="7">
        <f t="shared" ref="C64:D64" si="42">C63*12</f>
        <v>0</v>
      </c>
      <c r="D64" s="6">
        <f t="shared" si="42"/>
        <v>0</v>
      </c>
      <c r="E64" s="6"/>
      <c r="F64" s="7"/>
      <c r="G64" s="7"/>
      <c r="H64" s="7"/>
      <c r="I64" s="7"/>
      <c r="J64" s="7"/>
      <c r="K64" s="7"/>
      <c r="L64" s="7"/>
      <c r="M64" s="40">
        <f>M62-L62</f>
        <v>1410</v>
      </c>
      <c r="N64" s="7"/>
      <c r="O64" s="7"/>
      <c r="P64" s="7"/>
      <c r="Q64" s="7"/>
      <c r="R64" s="7"/>
      <c r="S64" s="25"/>
      <c r="T64" s="25"/>
      <c r="U64" s="7"/>
      <c r="V64" s="7"/>
      <c r="W64" s="7"/>
      <c r="X64" s="7"/>
      <c r="Y64" s="7"/>
      <c r="Z64" s="7"/>
      <c r="AA64" s="7"/>
      <c r="AB64" s="7"/>
      <c r="AC64" s="7"/>
      <c r="AD64" s="7"/>
      <c r="AE64" s="7"/>
      <c r="AF64" s="7"/>
      <c r="AG64" s="7"/>
      <c r="AH64" s="7"/>
      <c r="AI64" s="7"/>
      <c r="AJ64" s="7"/>
      <c r="AK64" s="7"/>
    </row>
    <row r="65" ht="12.75" customHeight="1">
      <c r="A65" s="7"/>
      <c r="B65" s="7" t="s">
        <v>794</v>
      </c>
      <c r="C65" s="7">
        <f t="shared" ref="C65:D65" si="43">C62</f>
        <v>29051</v>
      </c>
      <c r="D65" s="6" t="str">
        <f t="shared" si="43"/>
        <v/>
      </c>
      <c r="E65" s="6"/>
      <c r="F65" s="7"/>
      <c r="G65" s="7" t="s">
        <v>817</v>
      </c>
      <c r="H65" s="7"/>
      <c r="I65" s="7"/>
      <c r="J65" s="7"/>
      <c r="K65" s="7"/>
      <c r="L65" s="7"/>
      <c r="M65" s="7"/>
      <c r="N65" s="7"/>
      <c r="O65" s="7"/>
      <c r="P65" s="7"/>
      <c r="Q65" s="7"/>
      <c r="R65" s="7"/>
      <c r="S65" s="25"/>
      <c r="T65" s="25"/>
      <c r="U65" s="7"/>
      <c r="V65" s="7"/>
      <c r="W65" s="7"/>
      <c r="X65" s="7"/>
      <c r="Y65" s="7"/>
      <c r="Z65" s="7"/>
      <c r="AA65" s="7"/>
      <c r="AB65" s="7"/>
      <c r="AC65" s="7"/>
      <c r="AD65" s="7"/>
      <c r="AE65" s="7"/>
      <c r="AF65" s="7"/>
      <c r="AG65" s="7"/>
      <c r="AH65" s="7"/>
      <c r="AI65" s="7"/>
      <c r="AJ65" s="7"/>
      <c r="AK65" s="7"/>
    </row>
    <row r="66" ht="12.75" customHeight="1">
      <c r="A66" s="7"/>
      <c r="B66" s="7" t="s">
        <v>765</v>
      </c>
      <c r="C66" s="7">
        <f t="shared" ref="C66:D66" si="44">C65-C61</f>
        <v>0</v>
      </c>
      <c r="D66" s="6">
        <f t="shared" si="44"/>
        <v>0</v>
      </c>
      <c r="E66" s="6">
        <f>C66/2</f>
        <v>0</v>
      </c>
      <c r="F66" s="7">
        <v>870.001666666667</v>
      </c>
      <c r="G66" s="7">
        <f>E40/C40</f>
        <v>-4.434767253</v>
      </c>
      <c r="H66" s="7"/>
      <c r="I66" s="7"/>
      <c r="J66" s="7"/>
      <c r="K66" s="7"/>
      <c r="L66" s="7"/>
      <c r="M66" s="7"/>
      <c r="N66" s="7"/>
      <c r="O66" s="7"/>
      <c r="P66" s="7"/>
      <c r="Q66" s="7"/>
      <c r="R66" s="7"/>
      <c r="S66" s="25"/>
      <c r="T66" s="25"/>
      <c r="U66" s="7"/>
      <c r="V66" s="7"/>
      <c r="W66" s="7" t="s">
        <v>818</v>
      </c>
      <c r="X66" s="7"/>
      <c r="Y66" s="7"/>
      <c r="Z66" s="7"/>
      <c r="AA66" s="7"/>
      <c r="AB66" s="7"/>
      <c r="AC66" s="7"/>
      <c r="AD66" s="7"/>
      <c r="AE66" s="7"/>
      <c r="AF66" s="7"/>
      <c r="AG66" s="7"/>
      <c r="AH66" s="7"/>
      <c r="AI66" s="7"/>
      <c r="AJ66" s="7"/>
      <c r="AK66" s="7"/>
    </row>
    <row r="67" ht="12.75" customHeight="1">
      <c r="A67" s="7"/>
      <c r="B67" s="7" t="s">
        <v>819</v>
      </c>
      <c r="C67" s="7">
        <f t="shared" ref="C67:D67" si="45">C66+C25</f>
        <v>12283</v>
      </c>
      <c r="D67" s="6">
        <f t="shared" si="45"/>
        <v>0</v>
      </c>
      <c r="E67" s="6"/>
      <c r="F67" s="7"/>
      <c r="G67" s="7"/>
      <c r="H67" s="7"/>
      <c r="I67" s="7"/>
      <c r="J67" s="7"/>
      <c r="K67" s="7"/>
      <c r="L67" s="7"/>
      <c r="M67" s="7"/>
      <c r="N67" s="7"/>
      <c r="O67" s="7"/>
      <c r="P67" s="7"/>
      <c r="Q67" s="7"/>
      <c r="R67" s="7"/>
      <c r="S67" s="25"/>
      <c r="T67" s="25"/>
      <c r="U67" s="7"/>
      <c r="V67" s="7"/>
      <c r="W67" s="7"/>
      <c r="X67" s="7"/>
      <c r="Y67" s="7"/>
      <c r="Z67" s="7"/>
      <c r="AA67" s="7"/>
      <c r="AB67" s="7"/>
      <c r="AC67" s="7"/>
      <c r="AD67" s="7"/>
      <c r="AE67" s="7"/>
      <c r="AF67" s="7"/>
      <c r="AG67" s="7"/>
      <c r="AH67" s="7"/>
      <c r="AI67" s="7"/>
      <c r="AJ67" s="7"/>
      <c r="AK67" s="7"/>
    </row>
    <row r="68" ht="12.75" customHeight="1">
      <c r="B68" s="7" t="s">
        <v>820</v>
      </c>
      <c r="C68" s="7">
        <f>C66/2</f>
        <v>0</v>
      </c>
      <c r="S68" s="25"/>
      <c r="T68" s="25"/>
      <c r="X68" s="7"/>
      <c r="Y68" s="7"/>
      <c r="Z68" s="7"/>
      <c r="AA68" s="7"/>
      <c r="AB68" s="7"/>
      <c r="AC68" s="7"/>
      <c r="AD68" s="7"/>
      <c r="AE68" s="7"/>
      <c r="AF68" s="7"/>
      <c r="AG68" s="7"/>
      <c r="AH68" s="7"/>
      <c r="AI68" s="7"/>
      <c r="AJ68" s="7"/>
      <c r="AK68" s="7"/>
    </row>
    <row r="69" ht="12.75" customHeight="1">
      <c r="C69" s="7"/>
      <c r="S69" s="25"/>
      <c r="T69" s="25"/>
      <c r="X69" s="7"/>
      <c r="Y69" s="7"/>
      <c r="Z69" s="7"/>
      <c r="AA69" s="7"/>
      <c r="AB69" s="7"/>
      <c r="AC69" s="7"/>
      <c r="AD69" s="7"/>
      <c r="AE69" s="7"/>
      <c r="AF69" s="7"/>
      <c r="AG69" s="7"/>
      <c r="AH69" s="7"/>
      <c r="AI69" s="7"/>
      <c r="AJ69" s="7"/>
      <c r="AK69" s="7"/>
    </row>
    <row r="70" ht="12.75" customHeight="1">
      <c r="C70" s="7"/>
      <c r="S70" s="25"/>
      <c r="T70" s="25"/>
      <c r="W70" s="2" t="s">
        <v>821</v>
      </c>
      <c r="X70" s="7"/>
      <c r="Y70" s="7"/>
      <c r="Z70" s="7"/>
      <c r="AA70" s="7"/>
      <c r="AB70" s="7"/>
      <c r="AC70" s="7"/>
      <c r="AD70" s="7"/>
      <c r="AE70" s="7"/>
      <c r="AF70" s="7"/>
      <c r="AG70" s="7"/>
      <c r="AH70" s="7"/>
      <c r="AI70" s="7"/>
      <c r="AJ70" s="7"/>
      <c r="AK70" s="7"/>
    </row>
    <row r="71" ht="12.75" customHeight="1">
      <c r="A71" s="2" t="s">
        <v>822</v>
      </c>
      <c r="B71" s="42" t="s">
        <v>823</v>
      </c>
      <c r="C71" s="14" t="s">
        <v>823</v>
      </c>
      <c r="D71" s="42" t="s">
        <v>823</v>
      </c>
      <c r="E71" s="42"/>
      <c r="F71" s="42" t="s">
        <v>823</v>
      </c>
      <c r="G71" s="42" t="s">
        <v>823</v>
      </c>
      <c r="H71" s="42" t="s">
        <v>823</v>
      </c>
      <c r="I71" s="42" t="s">
        <v>823</v>
      </c>
      <c r="J71" s="42" t="s">
        <v>823</v>
      </c>
      <c r="K71" s="42" t="s">
        <v>823</v>
      </c>
      <c r="L71" s="42" t="s">
        <v>823</v>
      </c>
      <c r="M71" s="42" t="s">
        <v>823</v>
      </c>
      <c r="N71" s="42" t="s">
        <v>823</v>
      </c>
      <c r="O71" s="42" t="s">
        <v>823</v>
      </c>
      <c r="P71" s="42" t="s">
        <v>823</v>
      </c>
      <c r="Q71" s="42" t="s">
        <v>823</v>
      </c>
      <c r="R71" s="42" t="s">
        <v>823</v>
      </c>
      <c r="S71" s="28" t="s">
        <v>823</v>
      </c>
      <c r="T71" s="28"/>
      <c r="U71" s="7" t="s">
        <v>824</v>
      </c>
      <c r="V71" s="7">
        <v>12.0</v>
      </c>
      <c r="W71" s="7">
        <v>12.0</v>
      </c>
      <c r="X71" s="7"/>
      <c r="Y71" s="7"/>
      <c r="Z71" s="7"/>
      <c r="AA71" s="7"/>
      <c r="AB71" s="7"/>
      <c r="AC71" s="7"/>
      <c r="AD71" s="7"/>
      <c r="AE71" s="7"/>
      <c r="AF71" s="7"/>
      <c r="AG71" s="7"/>
      <c r="AH71" s="7"/>
      <c r="AI71" s="7"/>
      <c r="AJ71" s="7"/>
      <c r="AK71" s="7"/>
    </row>
    <row r="72" ht="12.75" customHeight="1">
      <c r="A72" s="2" t="s">
        <v>822</v>
      </c>
      <c r="B72" s="11"/>
      <c r="C72" s="7"/>
      <c r="D72" s="7"/>
      <c r="E72" s="7"/>
      <c r="F72" s="7"/>
      <c r="G72" s="7"/>
      <c r="H72" s="7"/>
      <c r="I72" s="7"/>
      <c r="J72" s="7"/>
      <c r="K72" s="7"/>
      <c r="L72" s="7"/>
      <c r="M72" s="7"/>
      <c r="N72" s="7"/>
      <c r="O72" s="7"/>
      <c r="P72" s="7"/>
      <c r="Q72" s="7"/>
      <c r="R72" s="7"/>
      <c r="S72" s="25"/>
      <c r="T72" s="25"/>
      <c r="V72" s="28" t="s">
        <v>825</v>
      </c>
      <c r="W72" s="14" t="s">
        <v>825</v>
      </c>
      <c r="X72" s="7" t="s">
        <v>826</v>
      </c>
      <c r="Y72" s="7"/>
      <c r="Z72" s="7"/>
      <c r="AA72" s="7"/>
      <c r="AB72" s="7"/>
      <c r="AC72" s="7"/>
      <c r="AD72" s="7"/>
      <c r="AE72" s="7"/>
      <c r="AF72" s="7"/>
      <c r="AG72" s="7"/>
      <c r="AH72" s="7"/>
      <c r="AI72" s="7"/>
      <c r="AJ72" s="7"/>
      <c r="AK72" s="7"/>
    </row>
    <row r="73" ht="12.75" customHeight="1">
      <c r="A73" s="2" t="s">
        <v>822</v>
      </c>
      <c r="B73" s="2" t="s">
        <v>10</v>
      </c>
      <c r="C73" s="7"/>
      <c r="D73" s="7"/>
      <c r="E73" s="7"/>
      <c r="F73" s="7"/>
      <c r="G73" s="2">
        <f>DSUM(Kontoutdrag_officiella!$A:$J,"t",'Villkor 1 år (2015)'!$A1:$J2)</f>
        <v>-12400.8</v>
      </c>
      <c r="H73" s="2">
        <f>DSUM(Kontoutdrag_officiella!$A:$J,"t",'Villkor 1 år (2015)'!$A67:$J68)</f>
        <v>-12182</v>
      </c>
      <c r="I73" s="2">
        <f>DSUM(Kontoutdrag_officiella!$A:$J,"t",'Villkor 1 år (2015)'!$A133:$J134)</f>
        <v>-12141</v>
      </c>
      <c r="J73" s="2">
        <f>DSUM(Kontoutdrag_officiella!$A:$J,"t",'Villkor 1 år (2015)'!$A199:$J200)</f>
        <v>-13313.8</v>
      </c>
      <c r="K73" s="2">
        <f>DSUM(Kontoutdrag_officiella!$A:$J,"t",'Villkor 1 år (2015)'!$A265:$J266)</f>
        <v>-13718.4</v>
      </c>
      <c r="L73" s="2">
        <f>DSUM(Kontoutdrag_officiella!$A:$J,"t",'Villkor 1 år (2015)'!$A331:$J332)</f>
        <v>-28455</v>
      </c>
      <c r="M73" s="2">
        <f>DSUM(Kontoutdrag_officiella!$A:$J,"t",'Villkor 1 år (2015)'!$A397:$J398)</f>
        <v>-21110.6</v>
      </c>
      <c r="N73" s="2">
        <f>DSUM(Kontoutdrag_officiella!$A:$J,"t",'Villkor 1 år (2015)'!$A463:$J464)</f>
        <v>-20892.8</v>
      </c>
      <c r="O73" s="2">
        <f>DSUM(Kontoutdrag_officiella!$A:$J,"t",'Villkor 1 år (2015)'!$A529:$J530)</f>
        <v>-7001.8</v>
      </c>
      <c r="P73" s="2">
        <f>DSUM(Kontoutdrag_officiella!$A:$J,"t",'Villkor 1 år (2015)'!$A595:$J596)</f>
        <v>-9926.8</v>
      </c>
      <c r="Q73" s="2">
        <f>DSUM(Kontoutdrag_officiella!$A:$J,"t",'Villkor 1 år (2015)'!$A661:$J662)</f>
        <v>-21000.8</v>
      </c>
      <c r="R73" s="2">
        <f>DSUM(Kontoutdrag_officiella!$A:$J,"t",'Villkor 1 år (2015)'!$A727:$J728)</f>
        <v>-28785.8</v>
      </c>
      <c r="S73" s="25">
        <f t="shared" ref="S73:S106" si="46">SUM(G73:R73)</f>
        <v>-200929.6</v>
      </c>
      <c r="T73" s="7" t="s">
        <v>10</v>
      </c>
      <c r="U73" s="6">
        <f>S73-1200</f>
        <v>-202129.6</v>
      </c>
      <c r="V73" s="6">
        <f t="shared" ref="V73:V105" si="47">S73/$V$71</f>
        <v>-16744.13333</v>
      </c>
      <c r="W73" s="6">
        <f t="shared" ref="W73:W105" si="48">SUM(S73)/W$71</f>
        <v>-16744.13333</v>
      </c>
      <c r="X73" s="6">
        <f t="shared" ref="X73:X106" si="49">C25</f>
        <v>12283</v>
      </c>
      <c r="Y73" s="6">
        <f t="shared" ref="Y73:Y106" si="50">C25+V73</f>
        <v>-4461.133333</v>
      </c>
      <c r="Z73" s="6">
        <f>S73-7500-3800</f>
        <v>-212229.6</v>
      </c>
      <c r="AA73" s="7"/>
      <c r="AB73" s="7"/>
      <c r="AC73" s="7"/>
      <c r="AD73" s="7"/>
      <c r="AE73" s="7"/>
      <c r="AF73" s="7"/>
      <c r="AG73" s="7"/>
      <c r="AH73" s="7"/>
      <c r="AI73" s="7"/>
      <c r="AJ73" s="7"/>
      <c r="AK73" s="7"/>
      <c r="AL73" s="7"/>
    </row>
    <row r="74" ht="12.75" customHeight="1">
      <c r="A74" s="2" t="s">
        <v>822</v>
      </c>
      <c r="B74" s="2" t="s">
        <v>20</v>
      </c>
      <c r="C74" s="7"/>
      <c r="D74" s="7"/>
      <c r="E74" s="7"/>
      <c r="F74" s="7"/>
      <c r="G74" s="2">
        <f>DSUM(Kontoutdrag_officiella!$A:$J,"t",'Villkor 1 år (2015)'!$A3:$J4)</f>
        <v>-320</v>
      </c>
      <c r="H74" s="2">
        <f>DSUM(Kontoutdrag_officiella!$A:$J,"t",'Villkor 1 år (2015)'!$A69:$J70)</f>
        <v>-320</v>
      </c>
      <c r="I74" s="2">
        <f>DSUM(Kontoutdrag_officiella!$A:$J,"t",'Villkor 1 år (2015)'!$A135:$J136)</f>
        <v>-320</v>
      </c>
      <c r="J74" s="2">
        <f>DSUM(Kontoutdrag_officiella!$A:$J,"t",'Villkor 1 år (2015)'!$A201:$J202)</f>
        <v>-320</v>
      </c>
      <c r="K74" s="2">
        <f>DSUM(Kontoutdrag_officiella!$A:$J,"t",'Villkor 1 år (2015)'!$A267:$J268)</f>
        <v>-320</v>
      </c>
      <c r="L74" s="2">
        <f>DSUM(Kontoutdrag_officiella!$A:$J,"t",'Villkor 1 år (2015)'!$A333:$J334)</f>
        <v>-320</v>
      </c>
      <c r="M74" s="2">
        <f>DSUM(Kontoutdrag_officiella!$A:$J,"t",'Villkor 1 år (2015)'!$A399:$J400)</f>
        <v>-320</v>
      </c>
      <c r="N74" s="2">
        <f>DSUM(Kontoutdrag_officiella!$A:$J,"t",'Villkor 1 år (2015)'!$A465:$J466)</f>
        <v>-320</v>
      </c>
      <c r="O74" s="2">
        <f>DSUM(Kontoutdrag_officiella!$A:$J,"t",'Villkor 1 år (2015)'!$A531:$J532)</f>
        <v>-320</v>
      </c>
      <c r="P74" s="2">
        <f>DSUM(Kontoutdrag_officiella!$A:$J,"t",'Villkor 1 år (2015)'!$A597:$J598)</f>
        <v>-320</v>
      </c>
      <c r="Q74" s="2">
        <f>DSUM(Kontoutdrag_officiella!$A:$J,"t",'Villkor 1 år (2015)'!$A663:$J664)</f>
        <v>-320</v>
      </c>
      <c r="R74" s="2">
        <f>DSUM(Kontoutdrag_officiella!$A:$J,"t",'Villkor 1 år (2015)'!$A729:$J730)</f>
        <v>-320</v>
      </c>
      <c r="S74" s="25">
        <f t="shared" si="46"/>
        <v>-3840</v>
      </c>
      <c r="T74" s="7" t="s">
        <v>20</v>
      </c>
      <c r="U74" s="7"/>
      <c r="V74" s="6">
        <f t="shared" si="47"/>
        <v>-320</v>
      </c>
      <c r="W74" s="6">
        <f t="shared" si="48"/>
        <v>-320</v>
      </c>
      <c r="X74" s="6">
        <f t="shared" si="49"/>
        <v>320</v>
      </c>
      <c r="Y74" s="6">
        <f t="shared" si="50"/>
        <v>0</v>
      </c>
      <c r="Z74" s="7"/>
      <c r="AA74" s="7">
        <f>9+1.25-5.4</f>
        <v>4.85</v>
      </c>
      <c r="AB74" s="7"/>
      <c r="AC74" s="7"/>
      <c r="AD74" s="7"/>
      <c r="AE74" s="7"/>
      <c r="AF74" s="7"/>
      <c r="AG74" s="7"/>
      <c r="AH74" s="7"/>
      <c r="AI74" s="7"/>
      <c r="AJ74" s="7"/>
      <c r="AK74" s="7"/>
      <c r="AL74" s="7"/>
    </row>
    <row r="75" ht="12.75" customHeight="1">
      <c r="A75" s="2" t="s">
        <v>822</v>
      </c>
      <c r="B75" s="2" t="s">
        <v>17</v>
      </c>
      <c r="C75" s="7"/>
      <c r="D75" s="7"/>
      <c r="E75" s="7"/>
      <c r="F75" s="7"/>
      <c r="G75" s="2">
        <f>DSUM(Kontoutdrag_officiella!$A:$J,"t",'Villkor 1 år (2015)'!$A5:$J6)</f>
        <v>-130</v>
      </c>
      <c r="H75" s="2">
        <f>DSUM(Kontoutdrag_officiella!$A:$J,"t",'Villkor 1 år (2015)'!$A71:$J72)</f>
        <v>-130</v>
      </c>
      <c r="I75" s="2">
        <f>DSUM(Kontoutdrag_officiella!$A:$J,"t",'Villkor 1 år (2015)'!$A137:$J138)</f>
        <v>-130</v>
      </c>
      <c r="J75" s="2">
        <f>DSUM(Kontoutdrag_officiella!$A:$J,"t",'Villkor 1 år (2015)'!$A203:$J204)</f>
        <v>-130</v>
      </c>
      <c r="K75" s="2">
        <f>DSUM(Kontoutdrag_officiella!$A:$J,"t",'Villkor 1 år (2015)'!$A269:$J270)</f>
        <v>-130</v>
      </c>
      <c r="L75" s="2">
        <f>DSUM(Kontoutdrag_officiella!$A:$J,"t",'Villkor 1 år (2015)'!$A335:$J336)</f>
        <v>-130</v>
      </c>
      <c r="M75" s="2">
        <f>DSUM(Kontoutdrag_officiella!$A:$J,"t",'Villkor 1 år (2015)'!$A401:$J402)</f>
        <v>-130</v>
      </c>
      <c r="N75" s="2">
        <f>DSUM(Kontoutdrag_officiella!$A:$J,"t",'Villkor 1 år (2015)'!$A467:$J468)</f>
        <v>-130</v>
      </c>
      <c r="O75" s="2">
        <f>DSUM(Kontoutdrag_officiella!$A:$J,"t",'Villkor 1 år (2015)'!$A533:$J534)</f>
        <v>-291</v>
      </c>
      <c r="P75" s="2">
        <f>DSUM(Kontoutdrag_officiella!$A:$J,"t",'Villkor 1 år (2015)'!$A599:$J600)</f>
        <v>-153</v>
      </c>
      <c r="Q75" s="2">
        <f>DSUM(Kontoutdrag_officiella!$A:$J,"t",'Villkor 1 år (2015)'!$A665:$J666)</f>
        <v>-151</v>
      </c>
      <c r="R75" s="2">
        <f>DSUM(Kontoutdrag_officiella!$A:$J,"t",'Villkor 1 år (2015)'!$A731:$J732)</f>
        <v>-153</v>
      </c>
      <c r="S75" s="25">
        <f t="shared" si="46"/>
        <v>-1788</v>
      </c>
      <c r="T75" s="7" t="s">
        <v>17</v>
      </c>
      <c r="U75" s="7"/>
      <c r="V75" s="6">
        <f t="shared" si="47"/>
        <v>-149</v>
      </c>
      <c r="W75" s="6">
        <f t="shared" si="48"/>
        <v>-149</v>
      </c>
      <c r="X75" s="6">
        <f t="shared" si="49"/>
        <v>119</v>
      </c>
      <c r="Y75" s="6">
        <f t="shared" si="50"/>
        <v>-30</v>
      </c>
      <c r="Z75" s="7"/>
      <c r="AA75" s="7"/>
      <c r="AB75" s="7"/>
      <c r="AC75" s="7"/>
      <c r="AD75" s="7"/>
      <c r="AE75" s="7"/>
      <c r="AF75" s="7"/>
      <c r="AG75" s="7"/>
      <c r="AH75" s="7"/>
      <c r="AI75" s="7"/>
      <c r="AJ75" s="7"/>
      <c r="AK75" s="7"/>
      <c r="AL75" s="7"/>
    </row>
    <row r="76" ht="12.75" customHeight="1">
      <c r="A76" s="2" t="s">
        <v>822</v>
      </c>
      <c r="B76" s="2" t="s">
        <v>24</v>
      </c>
      <c r="C76" s="7"/>
      <c r="D76" s="7"/>
      <c r="E76" s="7"/>
      <c r="F76" s="6"/>
      <c r="G76" s="2">
        <f>DSUM(Kontoutdrag_officiella!$A:$J,"t",'Villkor 1 år (2015)'!$A7:$J8)</f>
        <v>-303</v>
      </c>
      <c r="H76" s="2">
        <f>DSUM(Kontoutdrag_officiella!$A:$J,"t",'Villkor 1 år (2015)'!$A73:$J74)</f>
        <v>-303</v>
      </c>
      <c r="I76" s="2">
        <f>DSUM(Kontoutdrag_officiella!$A:$J,"t",'Villkor 1 år (2015)'!$A139:$J140)</f>
        <v>-303</v>
      </c>
      <c r="J76" s="2">
        <f>DSUM(Kontoutdrag_officiella!$A:$J,"t",'Villkor 1 år (2015)'!$A205:$J206)</f>
        <v>-303</v>
      </c>
      <c r="K76" s="2">
        <f>DSUM(Kontoutdrag_officiella!$A:$J,"t",'Villkor 1 år (2015)'!$A271:$J272)</f>
        <v>-303</v>
      </c>
      <c r="L76" s="2">
        <f>DSUM(Kontoutdrag_officiella!$A:$J,"t",'Villkor 1 år (2015)'!$A337:$J338)</f>
        <v>-303</v>
      </c>
      <c r="M76" s="2">
        <f>DSUM(Kontoutdrag_officiella!$A:$J,"t",'Villkor 1 år (2015)'!$A403:$J404)</f>
        <v>-303</v>
      </c>
      <c r="N76" s="2">
        <f>DSUM(Kontoutdrag_officiella!$A:$J,"t",'Villkor 1 år (2015)'!$A469:$J470)</f>
        <v>-303</v>
      </c>
      <c r="O76" s="2">
        <f>DSUM(Kontoutdrag_officiella!$A:$J,"t",'Villkor 1 år (2015)'!$A535:$J536)</f>
        <v>-303</v>
      </c>
      <c r="P76" s="2">
        <f>DSUM(Kontoutdrag_officiella!$A:$J,"t",'Villkor 1 år (2015)'!$A601:$J602)</f>
        <v>-303</v>
      </c>
      <c r="Q76" s="2">
        <f>DSUM(Kontoutdrag_officiella!$A:$J,"t",'Villkor 1 år (2015)'!$A667:$J668)</f>
        <v>-303</v>
      </c>
      <c r="R76" s="2">
        <f>DSUM(Kontoutdrag_officiella!$A:$J,"t",'Villkor 1 år (2015)'!$A733:$J734)</f>
        <v>-298</v>
      </c>
      <c r="S76" s="25">
        <f t="shared" si="46"/>
        <v>-3631</v>
      </c>
      <c r="T76" s="7" t="s">
        <v>24</v>
      </c>
      <c r="U76" s="7"/>
      <c r="V76" s="6">
        <f t="shared" si="47"/>
        <v>-302.5833333</v>
      </c>
      <c r="W76" s="6">
        <f t="shared" si="48"/>
        <v>-302.5833333</v>
      </c>
      <c r="X76" s="6">
        <f t="shared" si="49"/>
        <v>280</v>
      </c>
      <c r="Y76" s="6">
        <f t="shared" si="50"/>
        <v>-22.58333333</v>
      </c>
      <c r="Z76" s="7"/>
      <c r="AA76" s="7"/>
      <c r="AB76" s="7"/>
      <c r="AC76" s="7"/>
      <c r="AD76" s="7"/>
      <c r="AE76" s="7"/>
      <c r="AF76" s="7"/>
      <c r="AG76" s="7"/>
      <c r="AH76" s="7"/>
      <c r="AI76" s="7"/>
      <c r="AJ76" s="7"/>
      <c r="AK76" s="7"/>
      <c r="AL76" s="7"/>
    </row>
    <row r="77" ht="12.75" customHeight="1">
      <c r="A77" s="2" t="s">
        <v>822</v>
      </c>
      <c r="B77" s="2" t="s">
        <v>651</v>
      </c>
      <c r="C77" s="7"/>
      <c r="D77" s="7"/>
      <c r="E77" s="7"/>
      <c r="F77" s="7"/>
      <c r="G77" s="2">
        <f>DSUM(Kontoutdrag_officiella!$A:$J,"t",'Villkor 1 år (2015)'!$A9:$J10)</f>
        <v>0</v>
      </c>
      <c r="H77" s="2">
        <f>DSUM(Kontoutdrag_officiella!$A:$J,"t",'Villkor 1 år (2015)'!$A75:$J76)</f>
        <v>0</v>
      </c>
      <c r="I77" s="2">
        <f>DSUM(Kontoutdrag_officiella!$A:$J,"t",'Villkor 1 år (2015)'!$A141:$J142)</f>
        <v>0</v>
      </c>
      <c r="J77" s="2">
        <f>DSUM(Kontoutdrag_officiella!$A:$J,"t",'Villkor 1 år (2015)'!$A207:$J208)</f>
        <v>0</v>
      </c>
      <c r="K77" s="2">
        <f>DSUM(Kontoutdrag_officiella!$A:$J,"t",'Villkor 1 år (2015)'!$A273:$J274)</f>
        <v>0</v>
      </c>
      <c r="L77" s="2">
        <f>DSUM(Kontoutdrag_officiella!$A:$J,"t",'Villkor 1 år (2015)'!$A339:$J340)</f>
        <v>0</v>
      </c>
      <c r="M77" s="2">
        <f>DSUM(Kontoutdrag_officiella!$A:$J,"t",'Villkor 1 år (2015)'!$A405:$J406)</f>
        <v>0</v>
      </c>
      <c r="N77" s="2">
        <f>DSUM(Kontoutdrag_officiella!$A:$J,"t",'Villkor 1 år (2015)'!$A471:$J472)</f>
        <v>0</v>
      </c>
      <c r="O77" s="2">
        <f>DSUM(Kontoutdrag_officiella!$A:$J,"t",'Villkor 1 år (2015)'!$A537:$J538)</f>
        <v>0</v>
      </c>
      <c r="P77" s="2">
        <f>DSUM(Kontoutdrag_officiella!$A:$J,"t",'Villkor 1 år (2015)'!$A603:$J604)</f>
        <v>0</v>
      </c>
      <c r="Q77" s="2">
        <f>DSUM(Kontoutdrag_officiella!$A:$J,"t",'Villkor 1 år (2015)'!$A669:$J670)</f>
        <v>0</v>
      </c>
      <c r="R77" s="2">
        <f>DSUM(Kontoutdrag_officiella!$A:$J,"t",'Villkor 1 år (2015)'!$A735:$J736)</f>
        <v>0</v>
      </c>
      <c r="S77" s="25">
        <f t="shared" si="46"/>
        <v>0</v>
      </c>
      <c r="T77" s="7" t="s">
        <v>651</v>
      </c>
      <c r="U77" s="7"/>
      <c r="V77" s="6">
        <f t="shared" si="47"/>
        <v>0</v>
      </c>
      <c r="W77" s="6">
        <f t="shared" si="48"/>
        <v>0</v>
      </c>
      <c r="X77" s="6">
        <f t="shared" si="49"/>
        <v>18.75</v>
      </c>
      <c r="Y77" s="6">
        <f t="shared" si="50"/>
        <v>18.75</v>
      </c>
      <c r="Z77" s="7"/>
      <c r="AA77" s="12"/>
      <c r="AB77" s="7"/>
      <c r="AC77" s="7"/>
      <c r="AD77" s="7"/>
      <c r="AE77" s="7"/>
      <c r="AF77" s="7"/>
      <c r="AG77" s="7"/>
      <c r="AH77" s="7"/>
      <c r="AI77" s="7"/>
      <c r="AJ77" s="7"/>
      <c r="AK77" s="7"/>
      <c r="AL77" s="7"/>
    </row>
    <row r="78" ht="12.75" customHeight="1">
      <c r="A78" s="2" t="s">
        <v>822</v>
      </c>
      <c r="B78" s="2" t="s">
        <v>76</v>
      </c>
      <c r="C78" s="7"/>
      <c r="D78" s="7"/>
      <c r="E78" s="7"/>
      <c r="F78" s="7"/>
      <c r="G78" s="2">
        <f>DSUM(Kontoutdrag_officiella!$A:$J,"t",'Villkor 1 år (2015)'!$A11:$J12)</f>
        <v>0</v>
      </c>
      <c r="H78" s="2">
        <f>DSUM(Kontoutdrag_officiella!$A:$J,"t",'Villkor 1 år (2015)'!$A77:$J78)</f>
        <v>-3064</v>
      </c>
      <c r="I78" s="2">
        <f>DSUM(Kontoutdrag_officiella!$A:$J,"t",'Villkor 1 år (2015)'!$A143:$J144)</f>
        <v>0</v>
      </c>
      <c r="J78" s="2">
        <f>DSUM(Kontoutdrag_officiella!$A:$J,"t",'Villkor 1 år (2015)'!$A209:$J210)</f>
        <v>0</v>
      </c>
      <c r="K78" s="2">
        <f>DSUM(Kontoutdrag_officiella!$A:$J,"t",'Villkor 1 år (2015)'!$A275:$J276)</f>
        <v>-3064</v>
      </c>
      <c r="L78" s="2">
        <f>DSUM(Kontoutdrag_officiella!$A:$J,"t",'Villkor 1 år (2015)'!$A341:$J342)</f>
        <v>0</v>
      </c>
      <c r="M78" s="2">
        <f>DSUM(Kontoutdrag_officiella!$A:$J,"t",'Villkor 1 år (2015)'!$A407:$J408)</f>
        <v>0</v>
      </c>
      <c r="N78" s="2">
        <f>DSUM(Kontoutdrag_officiella!$A:$J,"t",'Villkor 1 år (2015)'!$A473:$J474)</f>
        <v>-3064</v>
      </c>
      <c r="O78" s="2">
        <f>DSUM(Kontoutdrag_officiella!$A:$J,"t",'Villkor 1 år (2015)'!$A539:$J540)</f>
        <v>0</v>
      </c>
      <c r="P78" s="2">
        <f>DSUM(Kontoutdrag_officiella!$A:$J,"t",'Villkor 1 år (2015)'!$A605:$J606)</f>
        <v>0</v>
      </c>
      <c r="Q78" s="2">
        <f>DSUM(Kontoutdrag_officiella!$A:$J,"t",'Villkor 1 år (2015)'!$A671:$J672)</f>
        <v>-3061</v>
      </c>
      <c r="R78" s="2">
        <f>DSUM(Kontoutdrag_officiella!$A:$J,"t",'Villkor 1 år (2015)'!$A737:$J738)</f>
        <v>0</v>
      </c>
      <c r="S78" s="25">
        <f t="shared" si="46"/>
        <v>-12253</v>
      </c>
      <c r="T78" s="7" t="s">
        <v>76</v>
      </c>
      <c r="U78" s="7"/>
      <c r="V78" s="6">
        <f t="shared" si="47"/>
        <v>-1021.083333</v>
      </c>
      <c r="W78" s="6">
        <f t="shared" si="48"/>
        <v>-1021.083333</v>
      </c>
      <c r="X78" s="6">
        <f t="shared" si="49"/>
        <v>1012.166667</v>
      </c>
      <c r="Y78" s="6">
        <f t="shared" si="50"/>
        <v>-8.916666667</v>
      </c>
      <c r="Z78" s="7"/>
      <c r="AA78" s="7"/>
      <c r="AB78" s="7"/>
      <c r="AC78" s="7"/>
      <c r="AD78" s="7"/>
      <c r="AE78" s="7"/>
      <c r="AF78" s="7"/>
      <c r="AG78" s="7"/>
      <c r="AH78" s="7"/>
      <c r="AI78" s="7"/>
      <c r="AJ78" s="7"/>
      <c r="AK78" s="7"/>
      <c r="AL78" s="7"/>
    </row>
    <row r="79" ht="12.75" customHeight="1">
      <c r="A79" s="2" t="s">
        <v>822</v>
      </c>
      <c r="B79" s="2" t="s">
        <v>26</v>
      </c>
      <c r="C79" s="7"/>
      <c r="D79" s="7"/>
      <c r="E79" s="7"/>
      <c r="F79" s="7"/>
      <c r="G79" s="2">
        <f>DSUM(Kontoutdrag_officiella!$A:$J,"t",'Villkor 1 år (2015)'!$A13:$J14)</f>
        <v>-100</v>
      </c>
      <c r="H79" s="2">
        <f>DSUM(Kontoutdrag_officiella!$A:$J,"t",'Villkor 1 år (2015)'!$A79:$J80)</f>
        <v>0</v>
      </c>
      <c r="I79" s="2">
        <f>DSUM(Kontoutdrag_officiella!$A:$J,"t",'Villkor 1 år (2015)'!$A145:$J146)</f>
        <v>-200</v>
      </c>
      <c r="J79" s="2">
        <f>DSUM(Kontoutdrag_officiella!$A:$J,"t",'Villkor 1 år (2015)'!$A211:$J212)</f>
        <v>-2924</v>
      </c>
      <c r="K79" s="2">
        <f>DSUM(Kontoutdrag_officiella!$A:$J,"t",'Villkor 1 år (2015)'!$A277:$J278)</f>
        <v>-350</v>
      </c>
      <c r="L79" s="2">
        <f>DSUM(Kontoutdrag_officiella!$A:$J,"t",'Villkor 1 år (2015)'!$A343:$J344)</f>
        <v>-100</v>
      </c>
      <c r="M79" s="2">
        <f>DSUM(Kontoutdrag_officiella!$A:$J,"t",'Villkor 1 år (2015)'!$A409:$J410)</f>
        <v>-100</v>
      </c>
      <c r="N79" s="2">
        <f>DSUM(Kontoutdrag_officiella!$A:$J,"t",'Villkor 1 år (2015)'!$A475:$J476)</f>
        <v>-100</v>
      </c>
      <c r="O79" s="2">
        <f>DSUM(Kontoutdrag_officiella!$A:$J,"t",'Villkor 1 år (2015)'!$A541:$J542)</f>
        <v>-100</v>
      </c>
      <c r="P79" s="2">
        <f>DSUM(Kontoutdrag_officiella!$A:$J,"t",'Villkor 1 år (2015)'!$A607:$J608)</f>
        <v>-100</v>
      </c>
      <c r="Q79" s="2">
        <f>DSUM(Kontoutdrag_officiella!$A:$J,"t",'Villkor 1 år (2015)'!$A673:$J674)</f>
        <v>-100</v>
      </c>
      <c r="R79" s="2">
        <f>DSUM(Kontoutdrag_officiella!$A:$J,"t",'Villkor 1 år (2015)'!$A739:$J740)</f>
        <v>-100</v>
      </c>
      <c r="S79" s="25">
        <f t="shared" si="46"/>
        <v>-4274</v>
      </c>
      <c r="T79" s="7" t="s">
        <v>26</v>
      </c>
      <c r="U79" s="7"/>
      <c r="V79" s="6">
        <f t="shared" si="47"/>
        <v>-356.1666667</v>
      </c>
      <c r="W79" s="6">
        <f t="shared" si="48"/>
        <v>-356.1666667</v>
      </c>
      <c r="X79" s="6">
        <f t="shared" si="49"/>
        <v>150</v>
      </c>
      <c r="Y79" s="6">
        <f t="shared" si="50"/>
        <v>-206.1666667</v>
      </c>
      <c r="Z79" s="7"/>
      <c r="AA79" s="7"/>
      <c r="AB79" s="7"/>
      <c r="AC79" s="7"/>
      <c r="AD79" s="7"/>
      <c r="AE79" s="7"/>
      <c r="AF79" s="7"/>
      <c r="AG79" s="7"/>
      <c r="AH79" s="7"/>
      <c r="AI79" s="7"/>
      <c r="AJ79" s="7"/>
      <c r="AK79" s="7"/>
      <c r="AL79" s="7"/>
    </row>
    <row r="80" ht="24.0" customHeight="1">
      <c r="A80" s="2" t="s">
        <v>822</v>
      </c>
      <c r="B80" s="2" t="s">
        <v>103</v>
      </c>
      <c r="C80" s="7"/>
      <c r="G80" s="2">
        <f>DSUM(Kontoutdrag_officiella!$A:$J,"t",'Villkor 1 år (2015)'!$A15:$J16)</f>
        <v>-443</v>
      </c>
      <c r="H80" s="2">
        <f>DSUM(Kontoutdrag_officiella!$A:$J,"t",'Villkor 1 år (2015)'!$A81:$J82)</f>
        <v>0</v>
      </c>
      <c r="I80" s="2">
        <f>DSUM(Kontoutdrag_officiella!$A:$J,"t",'Villkor 1 år (2015)'!$A147:$J148)</f>
        <v>-200</v>
      </c>
      <c r="J80" s="2">
        <f>DSUM(Kontoutdrag_officiella!$A:$J,"t",'Villkor 1 år (2015)'!$A213:$J214)</f>
        <v>-256</v>
      </c>
      <c r="K80" s="2">
        <f>DSUM(Kontoutdrag_officiella!$A:$J,"t",'Villkor 1 år (2015)'!$A279:$J280)</f>
        <v>-182</v>
      </c>
      <c r="L80" s="2">
        <f>DSUM(Kontoutdrag_officiella!$A:$J,"t",'Villkor 1 år (2015)'!$A345:$J346)</f>
        <v>-266</v>
      </c>
      <c r="M80" s="2">
        <f>DSUM(Kontoutdrag_officiella!$A:$J,"t",'Villkor 1 år (2015)'!$A411:$J412)</f>
        <v>-201</v>
      </c>
      <c r="N80" s="2">
        <f>DSUM(Kontoutdrag_officiella!$A:$J,"t",'Villkor 1 år (2015)'!$A477:$J478)</f>
        <v>0</v>
      </c>
      <c r="O80" s="2">
        <f>DSUM(Kontoutdrag_officiella!$A:$J,"t",'Villkor 1 år (2015)'!$A543:$J544)</f>
        <v>-441</v>
      </c>
      <c r="P80" s="2">
        <f>DSUM(Kontoutdrag_officiella!$A:$J,"t",'Villkor 1 år (2015)'!$A609:$J610)</f>
        <v>0</v>
      </c>
      <c r="Q80" s="2">
        <f>DSUM(Kontoutdrag_officiella!$A:$J,"t",'Villkor 1 år (2015)'!$A675:$J676)</f>
        <v>-251</v>
      </c>
      <c r="R80" s="2">
        <f>DSUM(Kontoutdrag_officiella!$A:$J,"t",'Villkor 1 år (2015)'!$A741:$J742)</f>
        <v>0</v>
      </c>
      <c r="S80" s="25">
        <f t="shared" si="46"/>
        <v>-2240</v>
      </c>
      <c r="T80" s="7" t="s">
        <v>103</v>
      </c>
      <c r="U80" s="7"/>
      <c r="V80" s="6">
        <f t="shared" si="47"/>
        <v>-186.6666667</v>
      </c>
      <c r="W80" s="6">
        <f t="shared" si="48"/>
        <v>-186.6666667</v>
      </c>
      <c r="X80" s="6">
        <f t="shared" si="49"/>
        <v>200</v>
      </c>
      <c r="Y80" s="6">
        <f t="shared" si="50"/>
        <v>13.33333333</v>
      </c>
      <c r="Z80" s="7"/>
      <c r="AA80" s="7"/>
      <c r="AB80" s="7"/>
      <c r="AC80" s="7"/>
      <c r="AD80" s="7"/>
      <c r="AE80" s="7"/>
      <c r="AF80" s="7"/>
      <c r="AG80" s="7"/>
      <c r="AH80" s="7"/>
      <c r="AI80" s="7"/>
      <c r="AJ80" s="7"/>
      <c r="AK80" s="7"/>
      <c r="AL80" s="7"/>
    </row>
    <row r="81" ht="12.75" customHeight="1">
      <c r="A81" s="2" t="s">
        <v>822</v>
      </c>
      <c r="B81" s="2" t="s">
        <v>22</v>
      </c>
      <c r="C81" s="7"/>
      <c r="D81" s="7"/>
      <c r="E81" s="7"/>
      <c r="F81" s="7"/>
      <c r="G81" s="2">
        <f>DSUM(Kontoutdrag_officiella!$A:$J,"t",'Villkor 1 år (2015)'!$A17:$J18)</f>
        <v>-299</v>
      </c>
      <c r="H81" s="2">
        <f>DSUM(Kontoutdrag_officiella!$A:$J,"t",'Villkor 1 år (2015)'!$A83:$J84)</f>
        <v>-299</v>
      </c>
      <c r="I81" s="2">
        <f>DSUM(Kontoutdrag_officiella!$A:$J,"t",'Villkor 1 år (2015)'!$A149:$J150)</f>
        <v>-96</v>
      </c>
      <c r="J81" s="2">
        <f>DSUM(Kontoutdrag_officiella!$A:$J,"t",'Villkor 1 år (2015)'!$A215:$J216)</f>
        <v>0</v>
      </c>
      <c r="K81" s="2">
        <f>DSUM(Kontoutdrag_officiella!$A:$J,"t",'Villkor 1 år (2015)'!$A281:$J282)</f>
        <v>0</v>
      </c>
      <c r="L81" s="2">
        <f>DSUM(Kontoutdrag_officiella!$A:$J,"t",'Villkor 1 år (2015)'!$A347:$J348)</f>
        <v>0</v>
      </c>
      <c r="M81" s="2">
        <f>DSUM(Kontoutdrag_officiella!$A:$J,"t",'Villkor 1 år (2015)'!$A413:$J414)</f>
        <v>-2268</v>
      </c>
      <c r="N81" s="2">
        <f>DSUM(Kontoutdrag_officiella!$A:$J,"t",'Villkor 1 år (2015)'!$A479:$J480)</f>
        <v>-299</v>
      </c>
      <c r="O81" s="2">
        <f>DSUM(Kontoutdrag_officiella!$A:$J,"t",'Villkor 1 år (2015)'!$A545:$J546)</f>
        <v>-299</v>
      </c>
      <c r="P81" s="2">
        <f>DSUM(Kontoutdrag_officiella!$A:$J,"t",'Villkor 1 år (2015)'!$A611:$J612)</f>
        <v>-1140</v>
      </c>
      <c r="Q81" s="2">
        <f>DSUM(Kontoutdrag_officiella!$A:$J,"t",'Villkor 1 år (2015)'!$A677:$J678)</f>
        <v>-299</v>
      </c>
      <c r="R81" s="2">
        <f>DSUM(Kontoutdrag_officiella!$A:$J,"t",'Villkor 1 år (2015)'!$A743:$J744)</f>
        <v>-299</v>
      </c>
      <c r="S81" s="25">
        <f t="shared" si="46"/>
        <v>-5298</v>
      </c>
      <c r="T81" s="7" t="s">
        <v>22</v>
      </c>
      <c r="U81" s="7"/>
      <c r="V81" s="6">
        <f t="shared" si="47"/>
        <v>-441.5</v>
      </c>
      <c r="W81" s="6">
        <f t="shared" si="48"/>
        <v>-441.5</v>
      </c>
      <c r="X81" s="6">
        <f t="shared" si="49"/>
        <v>299</v>
      </c>
      <c r="Y81" s="6">
        <f t="shared" si="50"/>
        <v>-142.5</v>
      </c>
      <c r="Z81" s="7"/>
      <c r="AA81" s="7"/>
      <c r="AB81" s="7"/>
      <c r="AC81" s="7"/>
      <c r="AD81" s="7"/>
      <c r="AE81" s="7"/>
      <c r="AF81" s="7"/>
      <c r="AG81" s="7"/>
      <c r="AH81" s="7"/>
      <c r="AI81" s="12"/>
      <c r="AJ81" s="7"/>
      <c r="AK81" s="7"/>
      <c r="AL81" s="7"/>
    </row>
    <row r="82" ht="12.75" customHeight="1">
      <c r="A82" s="2" t="s">
        <v>822</v>
      </c>
      <c r="B82" s="2" t="s">
        <v>428</v>
      </c>
      <c r="C82" s="7"/>
      <c r="D82" s="7"/>
      <c r="E82" s="7"/>
      <c r="F82" s="7"/>
      <c r="G82" s="2">
        <f>DSUM(Kontoutdrag_officiella!$A:$J,"t",'Villkor 1 år (2015)'!$A19:$J20)</f>
        <v>-569</v>
      </c>
      <c r="H82" s="2">
        <f>DSUM(Kontoutdrag_officiella!$A:$J,"t",'Villkor 1 år (2015)'!$A85:$J86)</f>
        <v>0</v>
      </c>
      <c r="I82" s="2">
        <f>DSUM(Kontoutdrag_officiella!$A:$J,"t",'Villkor 1 år (2015)'!$A151:$J152)</f>
        <v>0</v>
      </c>
      <c r="J82" s="2">
        <f>DSUM(Kontoutdrag_officiella!$A:$J,"t",'Villkor 1 år (2015)'!$A217:$J218)</f>
        <v>0</v>
      </c>
      <c r="K82" s="2">
        <f>DSUM(Kontoutdrag_officiella!$A:$J,"t",'Villkor 1 år (2015)'!$A283:$J284)</f>
        <v>0</v>
      </c>
      <c r="L82" s="2">
        <f>DSUM(Kontoutdrag_officiella!$A:$J,"t",'Villkor 1 år (2015)'!$A349:$J350)</f>
        <v>0</v>
      </c>
      <c r="M82" s="2">
        <f>DSUM(Kontoutdrag_officiella!$A:$J,"t",'Villkor 1 år (2015)'!$A415:$J416)</f>
        <v>0</v>
      </c>
      <c r="N82" s="2">
        <f>DSUM(Kontoutdrag_officiella!$A:$J,"t",'Villkor 1 år (2015)'!$A481:$J482)</f>
        <v>0</v>
      </c>
      <c r="O82" s="2">
        <f>DSUM(Kontoutdrag_officiella!$A:$J,"t",'Villkor 1 år (2015)'!$A547:$J548)</f>
        <v>0</v>
      </c>
      <c r="P82" s="2">
        <f>DSUM(Kontoutdrag_officiella!$A:$J,"t",'Villkor 1 år (2015)'!$A613:$J614)</f>
        <v>0</v>
      </c>
      <c r="Q82" s="2">
        <f>DSUM(Kontoutdrag_officiella!$A:$J,"t",'Villkor 1 år (2015)'!$A679:$J680)</f>
        <v>0</v>
      </c>
      <c r="R82" s="2">
        <f>DSUM(Kontoutdrag_officiella!$A:$J,"t",'Villkor 1 år (2015)'!$A745:$J746)</f>
        <v>0</v>
      </c>
      <c r="S82" s="25">
        <f t="shared" si="46"/>
        <v>-569</v>
      </c>
      <c r="T82" s="7" t="s">
        <v>428</v>
      </c>
      <c r="U82" s="7"/>
      <c r="V82" s="6">
        <f t="shared" si="47"/>
        <v>-47.41666667</v>
      </c>
      <c r="W82" s="6">
        <f t="shared" si="48"/>
        <v>-47.41666667</v>
      </c>
      <c r="X82" s="6">
        <f t="shared" si="49"/>
        <v>519</v>
      </c>
      <c r="Y82" s="6">
        <f t="shared" si="50"/>
        <v>471.5833333</v>
      </c>
      <c r="Z82" s="7"/>
      <c r="AA82" s="7"/>
      <c r="AB82" s="7"/>
      <c r="AC82" s="7"/>
      <c r="AD82" s="7"/>
      <c r="AE82" s="7"/>
      <c r="AF82" s="7"/>
      <c r="AG82" s="7"/>
      <c r="AH82" s="7"/>
      <c r="AI82" s="7"/>
      <c r="AJ82" s="7"/>
      <c r="AK82" s="7"/>
      <c r="AL82" s="7"/>
    </row>
    <row r="83" ht="25.5" customHeight="1">
      <c r="A83" s="2" t="s">
        <v>822</v>
      </c>
      <c r="B83" s="2" t="s">
        <v>800</v>
      </c>
      <c r="C83" s="7"/>
      <c r="D83" s="7"/>
      <c r="E83" s="7"/>
      <c r="F83" s="7"/>
      <c r="G83" s="2">
        <f>DSUM(Kontoutdrag_officiella!$A:$J,"t",'Villkor 1 år (2015)'!$A21:$J22)</f>
        <v>0</v>
      </c>
      <c r="H83" s="2">
        <f>DSUM(Kontoutdrag_officiella!$A:$J,"t",'Villkor 1 år (2015)'!$A87:$J88)</f>
        <v>0</v>
      </c>
      <c r="I83" s="2">
        <f>DSUM(Kontoutdrag_officiella!$A:$J,"t",'Villkor 1 år (2015)'!$A153:$J154)</f>
        <v>0</v>
      </c>
      <c r="J83" s="2">
        <f>DSUM(Kontoutdrag_officiella!$A:$J,"t",'Villkor 1 år (2015)'!$A219:$J220)</f>
        <v>0</v>
      </c>
      <c r="K83" s="2">
        <f>DSUM(Kontoutdrag_officiella!$A:$J,"t",'Villkor 1 år (2015)'!$A285:$J286)</f>
        <v>0</v>
      </c>
      <c r="L83" s="2">
        <f>DSUM(Kontoutdrag_officiella!$A:$J,"t",'Villkor 1 år (2015)'!$A351:$J352)</f>
        <v>0</v>
      </c>
      <c r="M83" s="2">
        <f>DSUM(Kontoutdrag_officiella!$A:$J,"t",'Villkor 1 år (2015)'!$A417:$J418)</f>
        <v>0</v>
      </c>
      <c r="N83" s="2">
        <f>DSUM(Kontoutdrag_officiella!$A:$J,"t",'Villkor 1 år (2015)'!$A483:$J484)</f>
        <v>0</v>
      </c>
      <c r="O83" s="2">
        <f>DSUM(Kontoutdrag_officiella!$A:$J,"t",'Villkor 1 år (2015)'!$A549:$J550)</f>
        <v>0</v>
      </c>
      <c r="P83" s="2">
        <f>DSUM(Kontoutdrag_officiella!$A:$J,"t",'Villkor 1 år (2015)'!$A615:$J616)</f>
        <v>0</v>
      </c>
      <c r="Q83" s="2">
        <f>DSUM(Kontoutdrag_officiella!$A:$J,"t",'Villkor 1 år (2015)'!$A681:$J682)</f>
        <v>0</v>
      </c>
      <c r="R83" s="2">
        <f>DSUM(Kontoutdrag_officiella!$A:$J,"t",'Villkor 1 år (2015)'!$A747:$J748)</f>
        <v>0</v>
      </c>
      <c r="S83" s="25">
        <f t="shared" si="46"/>
        <v>0</v>
      </c>
      <c r="T83" s="7" t="s">
        <v>800</v>
      </c>
      <c r="U83" s="7"/>
      <c r="V83" s="6">
        <f t="shared" si="47"/>
        <v>0</v>
      </c>
      <c r="W83" s="6">
        <f t="shared" si="48"/>
        <v>0</v>
      </c>
      <c r="X83" s="6">
        <f t="shared" si="49"/>
        <v>30</v>
      </c>
      <c r="Y83" s="6">
        <f t="shared" si="50"/>
        <v>30</v>
      </c>
      <c r="Z83" s="7"/>
      <c r="AA83" s="7"/>
      <c r="AB83" s="7"/>
      <c r="AC83" s="7"/>
      <c r="AD83" s="7"/>
      <c r="AE83" s="7"/>
      <c r="AF83" s="7"/>
      <c r="AG83" s="7"/>
      <c r="AH83" s="7"/>
      <c r="AI83" s="7"/>
      <c r="AJ83" s="7"/>
      <c r="AK83" s="7"/>
      <c r="AL83" s="7"/>
    </row>
    <row r="84" ht="12.75" customHeight="1">
      <c r="A84" s="2" t="s">
        <v>822</v>
      </c>
      <c r="B84" s="2" t="s">
        <v>54</v>
      </c>
      <c r="C84" s="7"/>
      <c r="D84" s="7"/>
      <c r="E84" s="7"/>
      <c r="F84" s="7"/>
      <c r="G84" s="2">
        <f>DSUM(Kontoutdrag_officiella!$A:$J,"t",'Villkor 1 år (2015)'!$A23:$J24)</f>
        <v>-608.6</v>
      </c>
      <c r="H84" s="2">
        <f>DSUM(Kontoutdrag_officiella!$A:$J,"t",'Villkor 1 år (2015)'!$A89:$J90)</f>
        <v>0</v>
      </c>
      <c r="I84" s="2">
        <f>DSUM(Kontoutdrag_officiella!$A:$J,"t",'Villkor 1 år (2015)'!$A155:$J156)</f>
        <v>0</v>
      </c>
      <c r="J84" s="2">
        <f>DSUM(Kontoutdrag_officiella!$A:$J,"t",'Villkor 1 år (2015)'!$A221:$J222)</f>
        <v>0</v>
      </c>
      <c r="K84" s="2">
        <f>DSUM(Kontoutdrag_officiella!$A:$J,"t",'Villkor 1 år (2015)'!$A287:$J288)</f>
        <v>0</v>
      </c>
      <c r="L84" s="2">
        <f>DSUM(Kontoutdrag_officiella!$A:$J,"t",'Villkor 1 år (2015)'!$A353:$J354)</f>
        <v>0</v>
      </c>
      <c r="M84" s="2">
        <f>DSUM(Kontoutdrag_officiella!$A:$J,"t",'Villkor 1 år (2015)'!$A419:$J420)</f>
        <v>-2272.13</v>
      </c>
      <c r="N84" s="2">
        <f>DSUM(Kontoutdrag_officiella!$A:$J,"t",'Villkor 1 år (2015)'!$A485:$J486)</f>
        <v>-110</v>
      </c>
      <c r="O84" s="2">
        <f>DSUM(Kontoutdrag_officiella!$A:$J,"t",'Villkor 1 år (2015)'!$A551:$J552)</f>
        <v>-177.86</v>
      </c>
      <c r="P84" s="2">
        <f>DSUM(Kontoutdrag_officiella!$A:$J,"t",'Villkor 1 år (2015)'!$A617:$J618)</f>
        <v>-483.14</v>
      </c>
      <c r="Q84" s="2">
        <f>DSUM(Kontoutdrag_officiella!$A:$J,"t",'Villkor 1 år (2015)'!$A683:$J684)</f>
        <v>-915.3</v>
      </c>
      <c r="R84" s="2">
        <f>DSUM(Kontoutdrag_officiella!$A:$J,"t",'Villkor 1 år (2015)'!$A749:$J750)</f>
        <v>-2616.66</v>
      </c>
      <c r="S84" s="25">
        <f t="shared" si="46"/>
        <v>-7183.69</v>
      </c>
      <c r="T84" s="7" t="s">
        <v>54</v>
      </c>
      <c r="U84" s="7"/>
      <c r="V84" s="6">
        <f t="shared" si="47"/>
        <v>-598.6408333</v>
      </c>
      <c r="W84" s="6">
        <f t="shared" si="48"/>
        <v>-598.6408333</v>
      </c>
      <c r="X84" s="6">
        <f t="shared" si="49"/>
        <v>600</v>
      </c>
      <c r="Y84" s="6">
        <f t="shared" si="50"/>
        <v>1.359166667</v>
      </c>
      <c r="AA84" s="7"/>
      <c r="AB84" s="7"/>
      <c r="AC84" s="7"/>
      <c r="AD84" s="7"/>
      <c r="AE84" s="7"/>
      <c r="AF84" s="7"/>
      <c r="AG84" s="7"/>
      <c r="AH84" s="7"/>
      <c r="AI84" s="7"/>
      <c r="AJ84" s="7"/>
      <c r="AK84" s="7"/>
      <c r="AL84" s="7"/>
    </row>
    <row r="85" ht="12.75" customHeight="1">
      <c r="A85" s="2" t="s">
        <v>822</v>
      </c>
      <c r="B85" s="2" t="s">
        <v>801</v>
      </c>
      <c r="C85" s="7"/>
      <c r="D85" s="7"/>
      <c r="E85" s="7"/>
      <c r="F85" s="7"/>
      <c r="G85" s="2">
        <f>DSUM(Kontoutdrag_officiella!$A:$J,"t",'Villkor 1 år (2015)'!$A25:$J26)</f>
        <v>0</v>
      </c>
      <c r="H85" s="2">
        <f>DSUM(Kontoutdrag_officiella!$A:$J,"t",'Villkor 1 år (2015)'!$A91:$J92)</f>
        <v>0</v>
      </c>
      <c r="I85" s="2">
        <f>DSUM(Kontoutdrag_officiella!$A:$J,"t",'Villkor 1 år (2015)'!$A157:$J158)</f>
        <v>0</v>
      </c>
      <c r="J85" s="2">
        <f>DSUM(Kontoutdrag_officiella!$A:$J,"t",'Villkor 1 år (2015)'!$A223:$J224)</f>
        <v>0</v>
      </c>
      <c r="K85" s="2">
        <f>DSUM(Kontoutdrag_officiella!$A:$J,"t",'Villkor 1 år (2015)'!$A289:$J290)</f>
        <v>0</v>
      </c>
      <c r="L85" s="2">
        <f>DSUM(Kontoutdrag_officiella!$A:$J,"t",'Villkor 1 år (2015)'!$A355:$J356)</f>
        <v>0</v>
      </c>
      <c r="M85" s="2">
        <f>DSUM(Kontoutdrag_officiella!$A:$J,"t",'Villkor 1 år (2015)'!$A421:$J422)</f>
        <v>0</v>
      </c>
      <c r="N85" s="2">
        <f>DSUM(Kontoutdrag_officiella!$A:$J,"t",'Villkor 1 år (2015)'!$A487:$J488)</f>
        <v>0</v>
      </c>
      <c r="O85" s="2">
        <f>DSUM(Kontoutdrag_officiella!$A:$J,"t",'Villkor 1 år (2015)'!$A553:$J554)</f>
        <v>0</v>
      </c>
      <c r="P85" s="2">
        <f>DSUM(Kontoutdrag_officiella!$A:$J,"t",'Villkor 1 år (2015)'!$A619:$J620)</f>
        <v>0</v>
      </c>
      <c r="Q85" s="2">
        <f>DSUM(Kontoutdrag_officiella!$A:$J,"t",'Villkor 1 år (2015)'!$A685:$J686)</f>
        <v>0</v>
      </c>
      <c r="R85" s="2">
        <f>DSUM(Kontoutdrag_officiella!$A:$J,"t",'Villkor 1 år (2015)'!$A751:$J752)</f>
        <v>0</v>
      </c>
      <c r="S85" s="25">
        <f t="shared" si="46"/>
        <v>0</v>
      </c>
      <c r="T85" s="7" t="s">
        <v>801</v>
      </c>
      <c r="U85" s="7"/>
      <c r="V85" s="6">
        <f t="shared" si="47"/>
        <v>0</v>
      </c>
      <c r="W85" s="6">
        <f t="shared" si="48"/>
        <v>0</v>
      </c>
      <c r="X85" s="6">
        <f t="shared" si="49"/>
        <v>0</v>
      </c>
      <c r="Y85" s="6">
        <f t="shared" si="50"/>
        <v>0</v>
      </c>
      <c r="Z85" s="7" t="s">
        <v>827</v>
      </c>
      <c r="AA85" s="7"/>
      <c r="AB85" s="7"/>
      <c r="AC85" s="7"/>
      <c r="AD85" s="7"/>
      <c r="AE85" s="7"/>
      <c r="AF85" s="7"/>
      <c r="AG85" s="7"/>
      <c r="AH85" s="7"/>
      <c r="AI85" s="7"/>
      <c r="AJ85" s="7"/>
      <c r="AK85" s="7"/>
      <c r="AL85" s="7"/>
    </row>
    <row r="86" ht="12.75" customHeight="1">
      <c r="A86" s="2" t="s">
        <v>822</v>
      </c>
      <c r="B86" s="2" t="s">
        <v>38</v>
      </c>
      <c r="C86" s="8"/>
      <c r="D86" s="7"/>
      <c r="E86" s="7"/>
      <c r="F86" s="7"/>
      <c r="G86" s="2">
        <f>DSUM(Kontoutdrag_officiella!$A:$J,"t",'Villkor 1 år (2015)'!$A27:$J28)</f>
        <v>-1219</v>
      </c>
      <c r="H86" s="2">
        <f>DSUM(Kontoutdrag_officiella!$A:$J,"t",'Villkor 1 år (2015)'!$A93:$J94)</f>
        <v>-1299</v>
      </c>
      <c r="I86" s="2">
        <f>DSUM(Kontoutdrag_officiella!$A:$J,"t",'Villkor 1 år (2015)'!$A159:$J160)</f>
        <v>-1549</v>
      </c>
      <c r="J86" s="2">
        <f>DSUM(Kontoutdrag_officiella!$A:$J,"t",'Villkor 1 år (2015)'!$A225:$J226)</f>
        <v>-1515</v>
      </c>
      <c r="K86" s="2">
        <f>DSUM(Kontoutdrag_officiella!$A:$J,"t",'Villkor 1 år (2015)'!$A291:$J292)</f>
        <v>-666</v>
      </c>
      <c r="L86" s="2">
        <f>DSUM(Kontoutdrag_officiella!$A:$J,"t",'Villkor 1 år (2015)'!$A357:$J358)</f>
        <v>-524</v>
      </c>
      <c r="M86" s="2">
        <f>DSUM(Kontoutdrag_officiella!$A:$J,"t",'Villkor 1 år (2015)'!$A423:$J424)</f>
        <v>-890</v>
      </c>
      <c r="N86" s="2">
        <f>DSUM(Kontoutdrag_officiella!$A:$J,"t",'Villkor 1 år (2015)'!$A489:$J490)</f>
        <v>-1470</v>
      </c>
      <c r="O86" s="2">
        <f>DSUM(Kontoutdrag_officiella!$A:$J,"t",'Villkor 1 år (2015)'!$A555:$J556)</f>
        <v>-2704</v>
      </c>
      <c r="P86" s="2">
        <f>DSUM(Kontoutdrag_officiella!$A:$J,"t",'Villkor 1 år (2015)'!$A621:$J622)</f>
        <v>-1569</v>
      </c>
      <c r="Q86" s="2">
        <f>DSUM(Kontoutdrag_officiella!$A:$J,"t",'Villkor 1 år (2015)'!$A687:$J688)</f>
        <v>-1655</v>
      </c>
      <c r="R86" s="2">
        <f>DSUM(Kontoutdrag_officiella!$A:$J,"t",'Villkor 1 år (2015)'!$A753:$J754)</f>
        <v>-647</v>
      </c>
      <c r="S86" s="25">
        <f t="shared" si="46"/>
        <v>-15707</v>
      </c>
      <c r="T86" s="6" t="s">
        <v>38</v>
      </c>
      <c r="U86" s="7"/>
      <c r="V86" s="6">
        <f t="shared" si="47"/>
        <v>-1308.916667</v>
      </c>
      <c r="W86" s="6">
        <f t="shared" si="48"/>
        <v>-1308.916667</v>
      </c>
      <c r="X86" s="6">
        <f t="shared" si="49"/>
        <v>1441.363636</v>
      </c>
      <c r="Y86" s="6">
        <f t="shared" si="50"/>
        <v>132.4469697</v>
      </c>
      <c r="Z86" s="7">
        <f>0.5*(P86+Q86)</f>
        <v>-1612</v>
      </c>
      <c r="AA86" s="7"/>
      <c r="AB86" s="7"/>
      <c r="AC86" s="7"/>
      <c r="AD86" s="7"/>
      <c r="AE86" s="7"/>
      <c r="AF86" s="7"/>
      <c r="AG86" s="7"/>
      <c r="AH86" s="7"/>
      <c r="AI86" s="7"/>
      <c r="AJ86" s="7"/>
      <c r="AK86" s="7"/>
      <c r="AL86" s="7"/>
    </row>
    <row r="87" ht="12.75" customHeight="1">
      <c r="A87" s="2" t="s">
        <v>822</v>
      </c>
      <c r="B87" s="2" t="s">
        <v>47</v>
      </c>
      <c r="C87" s="7"/>
      <c r="D87" s="7"/>
      <c r="E87" s="7"/>
      <c r="F87" s="7"/>
      <c r="G87" s="2">
        <f>DSUM(Kontoutdrag_officiella!$A:$J,"t",'Villkor 1 år (2015)'!$A29:$J30)</f>
        <v>-1517</v>
      </c>
      <c r="H87" s="2">
        <f>DSUM(Kontoutdrag_officiella!$A:$J,"t",'Villkor 1 år (2015)'!$A95:$J96)</f>
        <v>-2026</v>
      </c>
      <c r="I87" s="2">
        <f>DSUM(Kontoutdrag_officiella!$A:$J,"t",'Villkor 1 år (2015)'!$A161:$J162)</f>
        <v>-4319.21</v>
      </c>
      <c r="J87" s="2">
        <f>DSUM(Kontoutdrag_officiella!$A:$J,"t",'Villkor 1 år (2015)'!$A227:$J228)</f>
        <v>-2256</v>
      </c>
      <c r="K87" s="2">
        <f>DSUM(Kontoutdrag_officiella!$A:$J,"t",'Villkor 1 år (2015)'!$A293:$J294)</f>
        <v>-2544.94</v>
      </c>
      <c r="L87" s="2">
        <f>DSUM(Kontoutdrag_officiella!$A:$J,"t",'Villkor 1 år (2015)'!$A359:$J360)</f>
        <v>-2730</v>
      </c>
      <c r="M87" s="2">
        <f>DSUM(Kontoutdrag_officiella!$A:$J,"t",'Villkor 1 år (2015)'!$A425:$J426)</f>
        <v>-1147</v>
      </c>
      <c r="N87" s="2">
        <f>DSUM(Kontoutdrag_officiella!$A:$J,"t",'Villkor 1 år (2015)'!$A491:$J492)</f>
        <v>-3152</v>
      </c>
      <c r="O87" s="2">
        <f>DSUM(Kontoutdrag_officiella!$A:$J,"t",'Villkor 1 år (2015)'!$A557:$J558)</f>
        <v>-798</v>
      </c>
      <c r="P87" s="2">
        <f>DSUM(Kontoutdrag_officiella!$A:$J,"t",'Villkor 1 år (2015)'!$A623:$J624)</f>
        <v>-3218</v>
      </c>
      <c r="Q87" s="2">
        <f>DSUM(Kontoutdrag_officiella!$A:$J,"t",'Villkor 1 år (2015)'!$A689:$J690)</f>
        <v>-886</v>
      </c>
      <c r="R87" s="2">
        <f>DSUM(Kontoutdrag_officiella!$A:$J,"t",'Villkor 1 år (2015)'!$A755:$J756)</f>
        <v>-755</v>
      </c>
      <c r="S87" s="25">
        <f t="shared" si="46"/>
        <v>-25349.15</v>
      </c>
      <c r="T87" s="7" t="s">
        <v>47</v>
      </c>
      <c r="U87" s="7"/>
      <c r="V87" s="6">
        <f t="shared" si="47"/>
        <v>-2112.429167</v>
      </c>
      <c r="W87" s="6">
        <f t="shared" si="48"/>
        <v>-2112.429167</v>
      </c>
      <c r="X87" s="6">
        <f t="shared" si="49"/>
        <v>2100</v>
      </c>
      <c r="Y87" s="6">
        <f t="shared" si="50"/>
        <v>-12.42916667</v>
      </c>
      <c r="Z87" s="7"/>
      <c r="AA87" s="7"/>
      <c r="AB87" s="7"/>
      <c r="AC87" s="7"/>
      <c r="AD87" s="7"/>
      <c r="AE87" s="7"/>
      <c r="AF87" s="7"/>
      <c r="AG87" s="7"/>
      <c r="AH87" s="7"/>
      <c r="AI87" s="7"/>
      <c r="AJ87" s="7"/>
      <c r="AK87" s="7"/>
    </row>
    <row r="88" ht="27.75" customHeight="1">
      <c r="A88" s="2" t="s">
        <v>822</v>
      </c>
      <c r="B88" s="2" t="s">
        <v>52</v>
      </c>
      <c r="C88" s="7"/>
      <c r="D88" s="7"/>
      <c r="E88" s="7"/>
      <c r="F88" s="7"/>
      <c r="G88" s="2">
        <f>DSUM(Kontoutdrag_officiella!$A:$J,"t",'Villkor 1 år (2015)'!$A31:$J32)</f>
        <v>0</v>
      </c>
      <c r="H88" s="2">
        <f>DSUM(Kontoutdrag_officiella!$A:$J,"t",'Villkor 1 år (2015)'!$A97:$J98)</f>
        <v>-1870</v>
      </c>
      <c r="I88" s="2">
        <f>DSUM(Kontoutdrag_officiella!$A:$J,"t",'Villkor 1 år (2015)'!$A163:$J164)</f>
        <v>-1274.3</v>
      </c>
      <c r="J88" s="2">
        <f>DSUM(Kontoutdrag_officiella!$A:$J,"t",'Villkor 1 år (2015)'!$A229:$J230)</f>
        <v>-4322.25</v>
      </c>
      <c r="K88" s="2">
        <f>DSUM(Kontoutdrag_officiella!$A:$J,"t",'Villkor 1 år (2015)'!$A295:$J296)</f>
        <v>-3812</v>
      </c>
      <c r="L88" s="2">
        <f>DSUM(Kontoutdrag_officiella!$A:$J,"t",'Villkor 1 år (2015)'!$A361:$J362)</f>
        <v>0</v>
      </c>
      <c r="M88" s="2">
        <f>DSUM(Kontoutdrag_officiella!$A:$J,"t",'Villkor 1 år (2015)'!$A427:$J428)</f>
        <v>-915</v>
      </c>
      <c r="N88" s="2">
        <f>DSUM(Kontoutdrag_officiella!$A:$J,"t",'Villkor 1 år (2015)'!$A493:$J494)</f>
        <v>-3289</v>
      </c>
      <c r="O88" s="2">
        <f>DSUM(Kontoutdrag_officiella!$A:$J,"t",'Villkor 1 år (2015)'!$A559:$J560)</f>
        <v>-1573.51</v>
      </c>
      <c r="P88" s="2">
        <f>DSUM(Kontoutdrag_officiella!$A:$J,"t",'Villkor 1 år (2015)'!$A625:$J626)</f>
        <v>-10214.5</v>
      </c>
      <c r="Q88" s="2">
        <f>DSUM(Kontoutdrag_officiella!$A:$J,"t",'Villkor 1 år (2015)'!$A691:$J692)</f>
        <v>-3327</v>
      </c>
      <c r="R88" s="2">
        <f>DSUM(Kontoutdrag_officiella!$A:$J,"t",'Villkor 1 år (2015)'!$A757:$J758)</f>
        <v>-951</v>
      </c>
      <c r="S88" s="25">
        <f t="shared" si="46"/>
        <v>-31548.56</v>
      </c>
      <c r="T88" s="7" t="s">
        <v>52</v>
      </c>
      <c r="U88" s="7"/>
      <c r="V88" s="6">
        <f t="shared" si="47"/>
        <v>-2629.046667</v>
      </c>
      <c r="W88" s="6">
        <f t="shared" si="48"/>
        <v>-2629.046667</v>
      </c>
      <c r="X88" s="6">
        <f t="shared" si="49"/>
        <v>1477.499697</v>
      </c>
      <c r="Y88" s="6">
        <f t="shared" si="50"/>
        <v>-1151.54697</v>
      </c>
      <c r="Z88" s="7"/>
      <c r="AA88" s="7"/>
      <c r="AB88" s="7"/>
      <c r="AC88" s="7"/>
      <c r="AD88" s="7"/>
      <c r="AE88" s="7"/>
      <c r="AF88" s="7"/>
      <c r="AG88" s="7"/>
      <c r="AH88" s="7"/>
      <c r="AI88" s="7"/>
      <c r="AJ88" s="7"/>
      <c r="AK88" s="7"/>
      <c r="AL88" s="7"/>
    </row>
    <row r="89" ht="12.75" customHeight="1">
      <c r="A89" s="2" t="s">
        <v>822</v>
      </c>
      <c r="B89" s="2" t="s">
        <v>42</v>
      </c>
      <c r="C89" s="7"/>
      <c r="D89" s="7"/>
      <c r="E89" s="7"/>
      <c r="F89" s="6"/>
      <c r="G89" s="2">
        <f>DSUM(Kontoutdrag_officiella!$A:$J,"t",'Villkor 1 år (2015)'!$A33:$J34)</f>
        <v>-202</v>
      </c>
      <c r="H89" s="2">
        <f>DSUM(Kontoutdrag_officiella!$A:$J,"t",'Villkor 1 år (2015)'!$A99:$J100)</f>
        <v>-132</v>
      </c>
      <c r="I89" s="2">
        <f>DSUM(Kontoutdrag_officiella!$A:$J,"t",'Villkor 1 år (2015)'!$A165:$J166)</f>
        <v>-146</v>
      </c>
      <c r="J89" s="2">
        <f>DSUM(Kontoutdrag_officiella!$A:$J,"t",'Villkor 1 år (2015)'!$A231:$J232)</f>
        <v>-449</v>
      </c>
      <c r="K89" s="2">
        <f>DSUM(Kontoutdrag_officiella!$A:$J,"t",'Villkor 1 år (2015)'!$A297:$J298)</f>
        <v>-385</v>
      </c>
      <c r="L89" s="2">
        <f>DSUM(Kontoutdrag_officiella!$A:$J,"t",'Villkor 1 år (2015)'!$A363:$J364)</f>
        <v>0</v>
      </c>
      <c r="M89" s="2">
        <f>DSUM(Kontoutdrag_officiella!$A:$J,"t",'Villkor 1 år (2015)'!$A429:$J430)</f>
        <v>-180</v>
      </c>
      <c r="N89" s="2">
        <f>DSUM(Kontoutdrag_officiella!$A:$J,"t",'Villkor 1 år (2015)'!$A495:$J496)</f>
        <v>-336</v>
      </c>
      <c r="O89" s="2">
        <f>DSUM(Kontoutdrag_officiella!$A:$J,"t",'Villkor 1 år (2015)'!$A561:$J562)</f>
        <v>-124</v>
      </c>
      <c r="P89" s="2">
        <f>DSUM(Kontoutdrag_officiella!$A:$J,"t",'Villkor 1 år (2015)'!$A627:$J628)</f>
        <v>-270</v>
      </c>
      <c r="Q89" s="2">
        <f>DSUM(Kontoutdrag_officiella!$A:$J,"t",'Villkor 1 år (2015)'!$A693:$J694)</f>
        <v>-110</v>
      </c>
      <c r="R89" s="2">
        <f>DSUM(Kontoutdrag_officiella!$A:$J,"t",'Villkor 1 år (2015)'!$A759:$J760)</f>
        <v>-125</v>
      </c>
      <c r="S89" s="25">
        <f t="shared" si="46"/>
        <v>-2459</v>
      </c>
      <c r="T89" s="7" t="s">
        <v>42</v>
      </c>
      <c r="U89" s="7"/>
      <c r="V89" s="6">
        <f t="shared" si="47"/>
        <v>-204.9166667</v>
      </c>
      <c r="W89" s="6">
        <f t="shared" si="48"/>
        <v>-204.9166667</v>
      </c>
      <c r="X89" s="6">
        <f t="shared" si="49"/>
        <v>247.5</v>
      </c>
      <c r="Y89" s="6">
        <f t="shared" si="50"/>
        <v>42.58333333</v>
      </c>
      <c r="Z89" s="7"/>
      <c r="AA89" s="7"/>
      <c r="AB89" s="7"/>
      <c r="AC89" s="7"/>
      <c r="AD89" s="7"/>
      <c r="AE89" s="7"/>
      <c r="AF89" s="7"/>
      <c r="AG89" s="7"/>
      <c r="AH89" s="7"/>
      <c r="AI89" s="7"/>
      <c r="AJ89" s="7"/>
      <c r="AK89" s="7"/>
      <c r="AL89" s="7"/>
    </row>
    <row r="90" ht="12.75" customHeight="1">
      <c r="A90" s="2" t="s">
        <v>822</v>
      </c>
      <c r="B90" s="2" t="s">
        <v>133</v>
      </c>
      <c r="C90" s="7"/>
      <c r="D90" s="7"/>
      <c r="E90" s="7"/>
      <c r="F90" s="6"/>
      <c r="G90" s="2">
        <f>DSUM(Kontoutdrag_officiella!$A:$J,"t",'Villkor 1 år (2015)'!$A35:$J36)</f>
        <v>0</v>
      </c>
      <c r="H90" s="2">
        <f>DSUM(Kontoutdrag_officiella!$A:$J,"t",'Villkor 1 år (2015)'!$A101:$J102)</f>
        <v>0</v>
      </c>
      <c r="I90" s="2">
        <f>DSUM(Kontoutdrag_officiella!$A:$J,"t",'Villkor 1 år (2015)'!$A167:$J168)</f>
        <v>0</v>
      </c>
      <c r="J90" s="2">
        <f>DSUM(Kontoutdrag_officiella!$A:$J,"t",'Villkor 1 år (2015)'!$A233:$J234)</f>
        <v>0</v>
      </c>
      <c r="K90" s="2">
        <f>DSUM(Kontoutdrag_officiella!$A:$J,"t",'Villkor 1 år (2015)'!$A299:$J300)</f>
        <v>0</v>
      </c>
      <c r="L90" s="2">
        <f>DSUM(Kontoutdrag_officiella!$A:$J,"t",'Villkor 1 år (2015)'!$A365:$J366)</f>
        <v>0</v>
      </c>
      <c r="M90" s="2">
        <f>DSUM(Kontoutdrag_officiella!$A:$J,"t",'Villkor 1 år (2015)'!$A431:$J432)</f>
        <v>0</v>
      </c>
      <c r="N90" s="2">
        <f>DSUM(Kontoutdrag_officiella!$A:$J,"t",'Villkor 1 år (2015)'!$A497:$J498)</f>
        <v>-200</v>
      </c>
      <c r="O90" s="2">
        <f>DSUM(Kontoutdrag_officiella!$A:$J,"t",'Villkor 1 år (2015)'!$A563:$J564)</f>
        <v>0</v>
      </c>
      <c r="P90" s="2">
        <f>DSUM(Kontoutdrag_officiella!$A:$J,"t",'Villkor 1 år (2015)'!$A629:$J630)</f>
        <v>-300</v>
      </c>
      <c r="Q90" s="2">
        <f>DSUM(Kontoutdrag_officiella!$A:$J,"t",'Villkor 1 år (2015)'!$A695:$J696)</f>
        <v>0</v>
      </c>
      <c r="R90" s="2">
        <f>DSUM(Kontoutdrag_officiella!$A:$J,"t",'Villkor 1 år (2015)'!$A761:$J762)</f>
        <v>0</v>
      </c>
      <c r="S90" s="25">
        <f t="shared" si="46"/>
        <v>-500</v>
      </c>
      <c r="T90" s="7" t="s">
        <v>133</v>
      </c>
      <c r="U90" s="7"/>
      <c r="V90" s="6">
        <f t="shared" si="47"/>
        <v>-41.66666667</v>
      </c>
      <c r="W90" s="6">
        <f t="shared" si="48"/>
        <v>-41.66666667</v>
      </c>
      <c r="X90" s="6">
        <f t="shared" si="49"/>
        <v>0</v>
      </c>
      <c r="Y90" s="6">
        <f t="shared" si="50"/>
        <v>-41.66666667</v>
      </c>
      <c r="Z90" s="7"/>
      <c r="AA90" s="7"/>
      <c r="AB90" s="7"/>
      <c r="AC90" s="7"/>
      <c r="AD90" s="7"/>
      <c r="AE90" s="7"/>
      <c r="AF90" s="7"/>
      <c r="AG90" s="7"/>
      <c r="AH90" s="7"/>
      <c r="AI90" s="7"/>
      <c r="AJ90" s="7"/>
      <c r="AK90" s="7"/>
      <c r="AL90" s="7"/>
    </row>
    <row r="91" ht="12.75" customHeight="1">
      <c r="A91" s="2" t="s">
        <v>822</v>
      </c>
      <c r="B91" s="2" t="s">
        <v>803</v>
      </c>
      <c r="C91" s="7"/>
      <c r="D91" s="7"/>
      <c r="E91" s="7"/>
      <c r="F91" s="6"/>
      <c r="G91" s="2">
        <f>DSUM(Kontoutdrag_officiella!$A:$J,"t",'Villkor 1 år (2015)'!$A37:$J38)</f>
        <v>0</v>
      </c>
      <c r="H91" s="2">
        <f>DSUM(Kontoutdrag_officiella!$A:$J,"t",'Villkor 1 år (2015)'!$A103:$J104)</f>
        <v>0</v>
      </c>
      <c r="I91" s="2">
        <f>DSUM(Kontoutdrag_officiella!$A:$J,"t",'Villkor 1 år (2015)'!$A169:$J170)</f>
        <v>0</v>
      </c>
      <c r="J91" s="2">
        <f>DSUM(Kontoutdrag_officiella!$A:$J,"t",'Villkor 1 år (2015)'!$A235:$J236)</f>
        <v>0</v>
      </c>
      <c r="K91" s="2">
        <f>DSUM(Kontoutdrag_officiella!$A:$J,"t",'Villkor 1 år (2015)'!$A301:$J302)</f>
        <v>0</v>
      </c>
      <c r="L91" s="2">
        <f>DSUM(Kontoutdrag_officiella!$A:$J,"t",'Villkor 1 år (2015)'!$A367:$J368)</f>
        <v>0</v>
      </c>
      <c r="M91" s="2">
        <f>DSUM(Kontoutdrag_officiella!$A:$J,"t",'Villkor 1 år (2015)'!$A433:$J434)</f>
        <v>0</v>
      </c>
      <c r="N91" s="2">
        <f>DSUM(Kontoutdrag_officiella!$A:$J,"t",'Villkor 1 år (2015)'!$A499:$J500)</f>
        <v>0</v>
      </c>
      <c r="O91" s="2">
        <f>DSUM(Kontoutdrag_officiella!$A:$J,"t",'Villkor 1 år (2015)'!$A565:$J566)</f>
        <v>0</v>
      </c>
      <c r="P91" s="2">
        <f>DSUM(Kontoutdrag_officiella!$A:$J,"t",'Villkor 1 år (2015)'!$A631:$J632)</f>
        <v>0</v>
      </c>
      <c r="Q91" s="2">
        <f>DSUM(Kontoutdrag_officiella!$A:$J,"t",'Villkor 1 år (2015)'!$A697:$J698)</f>
        <v>0</v>
      </c>
      <c r="R91" s="2">
        <f>DSUM(Kontoutdrag_officiella!$A:$J,"t",'Villkor 1 år (2015)'!$A763:$J764)</f>
        <v>0</v>
      </c>
      <c r="S91" s="25">
        <f t="shared" si="46"/>
        <v>0</v>
      </c>
      <c r="T91" s="7" t="s">
        <v>803</v>
      </c>
      <c r="U91" s="7"/>
      <c r="V91" s="6">
        <f t="shared" si="47"/>
        <v>0</v>
      </c>
      <c r="W91" s="6">
        <f t="shared" si="48"/>
        <v>0</v>
      </c>
      <c r="X91" s="6">
        <f t="shared" si="49"/>
        <v>0</v>
      </c>
      <c r="Y91" s="6">
        <f t="shared" si="50"/>
        <v>0</v>
      </c>
      <c r="Z91" s="7"/>
      <c r="AA91" s="7"/>
      <c r="AB91" s="7"/>
      <c r="AC91" s="7"/>
      <c r="AD91" s="7"/>
      <c r="AE91" s="7"/>
      <c r="AF91" s="7"/>
      <c r="AG91" s="7"/>
      <c r="AH91" s="7"/>
      <c r="AI91" s="7"/>
      <c r="AJ91" s="7"/>
      <c r="AK91" s="7"/>
      <c r="AL91" s="7"/>
    </row>
    <row r="92" ht="27.75" customHeight="1">
      <c r="A92" s="2" t="s">
        <v>822</v>
      </c>
      <c r="B92" s="2" t="s">
        <v>164</v>
      </c>
      <c r="C92" s="7"/>
      <c r="D92" s="7"/>
      <c r="E92" s="7"/>
      <c r="F92" s="6"/>
      <c r="G92" s="2">
        <f>DSUM(Kontoutdrag_officiella!$A:$J,"t",'Villkor 1 år (2015)'!$A39:$J40)</f>
        <v>0</v>
      </c>
      <c r="H92" s="2">
        <f>DSUM(Kontoutdrag_officiella!$A:$J,"t",'Villkor 1 år (2015)'!$A105:$J106)</f>
        <v>-439</v>
      </c>
      <c r="I92" s="2">
        <f>DSUM(Kontoutdrag_officiella!$A:$J,"t",'Villkor 1 år (2015)'!$A171:$J172)</f>
        <v>397</v>
      </c>
      <c r="J92" s="2">
        <f>DSUM(Kontoutdrag_officiella!$A:$J,"t",'Villkor 1 år (2015)'!$A237:$J238)</f>
        <v>30</v>
      </c>
      <c r="K92" s="2">
        <f>DSUM(Kontoutdrag_officiella!$A:$J,"t",'Villkor 1 år (2015)'!$A303:$J304)</f>
        <v>-280</v>
      </c>
      <c r="L92" s="2">
        <f>DSUM(Kontoutdrag_officiella!$A:$J,"t",'Villkor 1 år (2015)'!$A369:$J370)</f>
        <v>242</v>
      </c>
      <c r="M92" s="2">
        <f>DSUM(Kontoutdrag_officiella!$A:$J,"t",'Villkor 1 år (2015)'!$A435:$J436)</f>
        <v>0</v>
      </c>
      <c r="N92" s="2">
        <f>DSUM(Kontoutdrag_officiella!$A:$J,"t",'Villkor 1 år (2015)'!$A501:$J502)</f>
        <v>18</v>
      </c>
      <c r="O92" s="2">
        <f>DSUM(Kontoutdrag_officiella!$A:$J,"t",'Villkor 1 år (2015)'!$A567:$J568)</f>
        <v>0</v>
      </c>
      <c r="P92" s="2">
        <f>DSUM(Kontoutdrag_officiella!$A:$J,"t",'Villkor 1 år (2015)'!$A633:$J634)</f>
        <v>0</v>
      </c>
      <c r="Q92" s="2">
        <f>DSUM(Kontoutdrag_officiella!$A:$J,"t",'Villkor 1 år (2015)'!$A699:$J700)</f>
        <v>0</v>
      </c>
      <c r="R92" s="2">
        <f>DSUM(Kontoutdrag_officiella!$A:$J,"t",'Villkor 1 år (2015)'!$A765:$J766)</f>
        <v>0</v>
      </c>
      <c r="S92" s="25">
        <f t="shared" si="46"/>
        <v>-32</v>
      </c>
      <c r="T92" s="7" t="s">
        <v>164</v>
      </c>
      <c r="U92" s="7"/>
      <c r="V92" s="6">
        <f t="shared" si="47"/>
        <v>-2.666666667</v>
      </c>
      <c r="W92" s="6">
        <f t="shared" si="48"/>
        <v>-2.666666667</v>
      </c>
      <c r="X92" s="6">
        <f t="shared" si="49"/>
        <v>100</v>
      </c>
      <c r="Y92" s="6">
        <f t="shared" si="50"/>
        <v>97.33333333</v>
      </c>
      <c r="Z92" s="7"/>
      <c r="AA92" s="7"/>
      <c r="AB92" s="7"/>
      <c r="AC92" s="7"/>
      <c r="AD92" s="7"/>
      <c r="AE92" s="7"/>
      <c r="AF92" s="7"/>
      <c r="AG92" s="7"/>
      <c r="AH92" s="7"/>
      <c r="AI92" s="7"/>
      <c r="AJ92" s="7"/>
      <c r="AK92" s="7"/>
      <c r="AL92" s="7"/>
    </row>
    <row r="93" ht="22.5" customHeight="1">
      <c r="A93" s="2" t="s">
        <v>822</v>
      </c>
      <c r="B93" s="2" t="s">
        <v>50</v>
      </c>
      <c r="C93" s="7"/>
      <c r="D93" s="7"/>
      <c r="E93" s="7"/>
      <c r="F93" s="6"/>
      <c r="G93" s="2">
        <f>DSUM(Kontoutdrag_officiella!$A:$J,"t",'Villkor 1 år (2015)'!$A41:$J42)</f>
        <v>-580</v>
      </c>
      <c r="H93" s="2">
        <f>DSUM(Kontoutdrag_officiella!$A:$J,"t",'Villkor 1 år (2015)'!$A107:$J108)</f>
        <v>0</v>
      </c>
      <c r="I93" s="2">
        <f>DSUM(Kontoutdrag_officiella!$A:$J,"t",'Villkor 1 år (2015)'!$A173:$J174)</f>
        <v>-580</v>
      </c>
      <c r="J93" s="2">
        <f>DSUM(Kontoutdrag_officiella!$A:$J,"t",'Villkor 1 år (2015)'!$A239:$J240)</f>
        <v>-1565</v>
      </c>
      <c r="K93" s="2">
        <f>DSUM(Kontoutdrag_officiella!$A:$J,"t",'Villkor 1 år (2015)'!$A305:$J306)</f>
        <v>0</v>
      </c>
      <c r="L93" s="2">
        <f>DSUM(Kontoutdrag_officiella!$A:$J,"t",'Villkor 1 år (2015)'!$A371:$J372)</f>
        <v>0</v>
      </c>
      <c r="M93" s="2">
        <f>DSUM(Kontoutdrag_officiella!$A:$J,"t",'Villkor 1 år (2015)'!$A437:$J438)</f>
        <v>0</v>
      </c>
      <c r="N93" s="2">
        <f>DSUM(Kontoutdrag_officiella!$A:$J,"t",'Villkor 1 år (2015)'!$A503:$J504)</f>
        <v>-280</v>
      </c>
      <c r="O93" s="2">
        <f>DSUM(Kontoutdrag_officiella!$A:$J,"t",'Villkor 1 år (2015)'!$A569:$J570)</f>
        <v>-430</v>
      </c>
      <c r="P93" s="2">
        <f>DSUM(Kontoutdrag_officiella!$A:$J,"t",'Villkor 1 år (2015)'!$A635:$J636)</f>
        <v>-450</v>
      </c>
      <c r="Q93" s="2">
        <f>DSUM(Kontoutdrag_officiella!$A:$J,"t",'Villkor 1 år (2015)'!$A701:$J702)</f>
        <v>0</v>
      </c>
      <c r="R93" s="2">
        <f>DSUM(Kontoutdrag_officiella!$A:$J,"t",'Villkor 1 år (2015)'!$A767:$J768)</f>
        <v>-374</v>
      </c>
      <c r="S93" s="25">
        <f t="shared" si="46"/>
        <v>-4259</v>
      </c>
      <c r="T93" s="7" t="s">
        <v>50</v>
      </c>
      <c r="U93" s="7"/>
      <c r="V93" s="6">
        <f t="shared" si="47"/>
        <v>-354.9166667</v>
      </c>
      <c r="W93" s="6">
        <f t="shared" si="48"/>
        <v>-354.9166667</v>
      </c>
      <c r="X93" s="6">
        <f t="shared" si="49"/>
        <v>285</v>
      </c>
      <c r="Y93" s="6">
        <f t="shared" si="50"/>
        <v>-69.91666667</v>
      </c>
      <c r="Z93" s="7"/>
      <c r="AA93" s="7"/>
      <c r="AB93" s="7"/>
      <c r="AC93" s="7"/>
      <c r="AD93" s="7"/>
      <c r="AE93" s="7"/>
      <c r="AF93" s="7"/>
      <c r="AG93" s="7"/>
      <c r="AH93" s="7"/>
      <c r="AI93" s="7"/>
      <c r="AJ93" s="7"/>
      <c r="AK93" s="7"/>
      <c r="AL93" s="7"/>
    </row>
    <row r="94" ht="12.75" customHeight="1">
      <c r="A94" s="2" t="s">
        <v>822</v>
      </c>
      <c r="B94" s="2" t="s">
        <v>304</v>
      </c>
      <c r="C94" s="7"/>
      <c r="D94" s="12"/>
      <c r="E94" s="12"/>
      <c r="F94" s="6"/>
      <c r="G94" s="2">
        <f>DSUM(Kontoutdrag_officiella!$A:$J,"t",'Villkor 1 år (2015)'!$A43:$J44)</f>
        <v>0</v>
      </c>
      <c r="H94" s="2">
        <f>DSUM(Kontoutdrag_officiella!$A:$J,"t",'Villkor 1 år (2015)'!$A109:$J110)</f>
        <v>0</v>
      </c>
      <c r="I94" s="2">
        <f>DSUM(Kontoutdrag_officiella!$A:$J,"t",'Villkor 1 år (2015)'!$A175:$J176)</f>
        <v>0</v>
      </c>
      <c r="J94" s="2">
        <f>DSUM(Kontoutdrag_officiella!$A:$J,"t",'Villkor 1 år (2015)'!$A241:$J242)</f>
        <v>-500</v>
      </c>
      <c r="K94" s="2">
        <f>DSUM(Kontoutdrag_officiella!$A:$J,"t",'Villkor 1 år (2015)'!$A307:$J308)</f>
        <v>-749</v>
      </c>
      <c r="L94" s="2">
        <f>DSUM(Kontoutdrag_officiella!$A:$J,"t",'Villkor 1 år (2015)'!$A373:$J374)</f>
        <v>0</v>
      </c>
      <c r="M94" s="2">
        <f>DSUM(Kontoutdrag_officiella!$A:$J,"t",'Villkor 1 år (2015)'!$A439:$J440)</f>
        <v>0</v>
      </c>
      <c r="N94" s="2">
        <f>DSUM(Kontoutdrag_officiella!$A:$J,"t",'Villkor 1 år (2015)'!$A505:$J506)</f>
        <v>0</v>
      </c>
      <c r="O94" s="2">
        <f>DSUM(Kontoutdrag_officiella!$A:$J,"t",'Villkor 1 år (2015)'!$A571:$J572)</f>
        <v>0</v>
      </c>
      <c r="P94" s="2">
        <f>DSUM(Kontoutdrag_officiella!$A:$J,"t",'Villkor 1 år (2015)'!$A637:$J638)</f>
        <v>0</v>
      </c>
      <c r="Q94" s="2">
        <f>DSUM(Kontoutdrag_officiella!$A:$J,"t",'Villkor 1 år (2015)'!$A703:$J704)</f>
        <v>0</v>
      </c>
      <c r="R94" s="2">
        <f>DSUM(Kontoutdrag_officiella!$A:$J,"t",'Villkor 1 år (2015)'!$A769:$J770)</f>
        <v>0</v>
      </c>
      <c r="S94" s="25">
        <f t="shared" si="46"/>
        <v>-1249</v>
      </c>
      <c r="T94" s="7" t="s">
        <v>304</v>
      </c>
      <c r="U94" s="7"/>
      <c r="V94" s="6">
        <f t="shared" si="47"/>
        <v>-104.0833333</v>
      </c>
      <c r="W94" s="6">
        <f t="shared" si="48"/>
        <v>-104.0833333</v>
      </c>
      <c r="X94" s="6">
        <f t="shared" si="49"/>
        <v>250</v>
      </c>
      <c r="Y94" s="6">
        <f t="shared" si="50"/>
        <v>145.9166667</v>
      </c>
      <c r="Z94" s="7"/>
      <c r="AA94" s="7"/>
      <c r="AB94" s="7"/>
      <c r="AC94" s="7"/>
      <c r="AD94" s="7"/>
      <c r="AE94" s="7"/>
      <c r="AF94" s="7"/>
      <c r="AG94" s="7"/>
      <c r="AH94" s="7"/>
      <c r="AI94" s="7"/>
      <c r="AJ94" s="7"/>
      <c r="AK94" s="7"/>
      <c r="AL94" s="7"/>
    </row>
    <row r="95" ht="12.75" customHeight="1">
      <c r="A95" s="2" t="s">
        <v>822</v>
      </c>
      <c r="B95" s="2" t="s">
        <v>72</v>
      </c>
      <c r="C95" s="7"/>
      <c r="D95" s="7"/>
      <c r="E95" s="7"/>
      <c r="F95" s="6"/>
      <c r="G95" s="2">
        <f>DSUM(Kontoutdrag_officiella!$A:$J,"t",'Villkor 1 år (2015)'!$A45:$J46)</f>
        <v>-416</v>
      </c>
      <c r="H95" s="2">
        <f>DSUM(Kontoutdrag_officiella!$A:$J,"t",'Villkor 1 år (2015)'!$A111:$J112)</f>
        <v>-505</v>
      </c>
      <c r="I95" s="2">
        <f>DSUM(Kontoutdrag_officiella!$A:$J,"t",'Villkor 1 år (2015)'!$A177:$J178)</f>
        <v>0</v>
      </c>
      <c r="J95" s="2">
        <f>DSUM(Kontoutdrag_officiella!$A:$J,"t",'Villkor 1 år (2015)'!$A243:$J244)</f>
        <v>0</v>
      </c>
      <c r="K95" s="2">
        <f>DSUM(Kontoutdrag_officiella!$A:$J,"t",'Villkor 1 år (2015)'!$A309:$J310)</f>
        <v>-552</v>
      </c>
      <c r="L95" s="2">
        <f>DSUM(Kontoutdrag_officiella!$A:$J,"t",'Villkor 1 år (2015)'!$A375:$J376)</f>
        <v>0</v>
      </c>
      <c r="M95" s="2">
        <f>DSUM(Kontoutdrag_officiella!$A:$J,"t",'Villkor 1 år (2015)'!$A441:$J442)</f>
        <v>0</v>
      </c>
      <c r="N95" s="2">
        <f>DSUM(Kontoutdrag_officiella!$A:$J,"t",'Villkor 1 år (2015)'!$A507:$J508)</f>
        <v>-569</v>
      </c>
      <c r="O95" s="2">
        <f>DSUM(Kontoutdrag_officiella!$A:$J,"t",'Villkor 1 år (2015)'!$A573:$J574)</f>
        <v>0</v>
      </c>
      <c r="P95" s="2">
        <f>DSUM(Kontoutdrag_officiella!$A:$J,"t",'Villkor 1 år (2015)'!$A639:$J640)</f>
        <v>0</v>
      </c>
      <c r="Q95" s="2">
        <f>DSUM(Kontoutdrag_officiella!$A:$J,"t",'Villkor 1 år (2015)'!$A705:$J706)</f>
        <v>-251</v>
      </c>
      <c r="R95" s="2">
        <f>DSUM(Kontoutdrag_officiella!$A:$J,"t",'Villkor 1 år (2015)'!$A771:$J772)</f>
        <v>-228</v>
      </c>
      <c r="S95" s="25">
        <f t="shared" si="46"/>
        <v>-2521</v>
      </c>
      <c r="T95" s="7" t="s">
        <v>72</v>
      </c>
      <c r="U95" s="7"/>
      <c r="V95" s="6">
        <f t="shared" si="47"/>
        <v>-210.0833333</v>
      </c>
      <c r="W95" s="6">
        <f t="shared" si="48"/>
        <v>-210.0833333</v>
      </c>
      <c r="X95" s="6">
        <f t="shared" si="49"/>
        <v>200</v>
      </c>
      <c r="Y95" s="6">
        <f t="shared" si="50"/>
        <v>-10.08333333</v>
      </c>
      <c r="Z95" s="7"/>
      <c r="AA95" s="7"/>
      <c r="AB95" s="7"/>
      <c r="AC95" s="7"/>
      <c r="AD95" s="7"/>
      <c r="AE95" s="7"/>
      <c r="AF95" s="7"/>
      <c r="AG95" s="7"/>
      <c r="AH95" s="7"/>
      <c r="AI95" s="7"/>
      <c r="AJ95" s="7"/>
      <c r="AK95" s="7"/>
      <c r="AL95" s="7"/>
    </row>
    <row r="96" ht="27.75" customHeight="1">
      <c r="A96" s="2" t="s">
        <v>822</v>
      </c>
      <c r="B96" s="2" t="s">
        <v>13</v>
      </c>
      <c r="C96" s="7"/>
      <c r="D96" s="7"/>
      <c r="E96" s="7"/>
      <c r="F96" s="6"/>
      <c r="G96" s="2">
        <f>DSUM(Kontoutdrag_officiella!$A:$J,"t",'Villkor 1 år (2015)'!$A47:$J48)</f>
        <v>0</v>
      </c>
      <c r="H96" s="2">
        <f>DSUM(Kontoutdrag_officiella!$A:$J,"t",'Villkor 1 år (2015)'!$A113:$J114)</f>
        <v>0</v>
      </c>
      <c r="I96" s="2">
        <f>DSUM(Kontoutdrag_officiella!$A:$J,"t",'Villkor 1 år (2015)'!$A179:$J180)</f>
        <v>0</v>
      </c>
      <c r="J96" s="2">
        <f>DSUM(Kontoutdrag_officiella!$A:$J,"t",'Villkor 1 år (2015)'!$A245:$J246)</f>
        <v>300</v>
      </c>
      <c r="K96" s="2">
        <f>DSUM(Kontoutdrag_officiella!$A:$J,"t",'Villkor 1 år (2015)'!$A311:$J312)</f>
        <v>-15133</v>
      </c>
      <c r="L96" s="2">
        <f>DSUM(Kontoutdrag_officiella!$A:$J,"t",'Villkor 1 år (2015)'!$A377:$J378)</f>
        <v>0</v>
      </c>
      <c r="M96" s="2">
        <f>DSUM(Kontoutdrag_officiella!$A:$J,"t",'Villkor 1 år (2015)'!$A443:$J444)</f>
        <v>-18357.4</v>
      </c>
      <c r="N96" s="2">
        <f>DSUM(Kontoutdrag_officiella!$A:$J,"t",'Villkor 1 år (2015)'!$A509:$J510)</f>
        <v>-18046.89</v>
      </c>
      <c r="O96" s="2">
        <f>DSUM(Kontoutdrag_officiella!$A:$J,"t",'Villkor 1 år (2015)'!$A575:$J576)</f>
        <v>-94353.69</v>
      </c>
      <c r="P96" s="2">
        <f>DSUM(Kontoutdrag_officiella!$A:$J,"t",'Villkor 1 år (2015)'!$A641:$J642)</f>
        <v>-20387.86</v>
      </c>
      <c r="Q96" s="2">
        <f>DSUM(Kontoutdrag_officiella!$A:$J,"t",'Villkor 1 år (2015)'!$A707:$J708)</f>
        <v>-17301.64</v>
      </c>
      <c r="R96" s="2">
        <f>DSUM(Kontoutdrag_officiella!$A:$J,"t",'Villkor 1 år (2015)'!$A773:$J774)</f>
        <v>-11093.58</v>
      </c>
      <c r="S96" s="25">
        <f t="shared" si="46"/>
        <v>-194374.06</v>
      </c>
      <c r="T96" s="7" t="s">
        <v>13</v>
      </c>
      <c r="U96" s="7"/>
      <c r="V96" s="6">
        <f t="shared" si="47"/>
        <v>-16197.83833</v>
      </c>
      <c r="W96" s="6">
        <f t="shared" si="48"/>
        <v>-16197.83833</v>
      </c>
      <c r="X96" s="6">
        <f t="shared" si="49"/>
        <v>1131.72</v>
      </c>
      <c r="Y96" s="6">
        <f t="shared" si="50"/>
        <v>-15066.11833</v>
      </c>
      <c r="Z96" s="7"/>
      <c r="AA96" s="7"/>
      <c r="AB96" s="7"/>
      <c r="AC96" s="7"/>
      <c r="AD96" s="7"/>
      <c r="AE96" s="7"/>
      <c r="AF96" s="7"/>
      <c r="AG96" s="7"/>
      <c r="AH96" s="7"/>
      <c r="AI96" s="7"/>
      <c r="AJ96" s="7"/>
      <c r="AK96" s="7"/>
      <c r="AL96" s="7"/>
    </row>
    <row r="97" ht="12.75" customHeight="1">
      <c r="A97" s="2" t="s">
        <v>822</v>
      </c>
      <c r="B97" s="2" t="s">
        <v>18</v>
      </c>
      <c r="C97" s="7"/>
      <c r="D97" s="7"/>
      <c r="E97" s="7"/>
      <c r="F97" s="6"/>
      <c r="G97" s="2">
        <f>DSUM(Kontoutdrag_officiella!$A:$J,"t",'Villkor 1 år (2015)'!$A49:$J50)</f>
        <v>-250</v>
      </c>
      <c r="H97" s="2">
        <f>DSUM(Kontoutdrag_officiella!$A:$J,"t",'Villkor 1 år (2015)'!$A115:$J116)</f>
        <v>-250</v>
      </c>
      <c r="I97" s="2">
        <f>DSUM(Kontoutdrag_officiella!$A:$J,"t",'Villkor 1 år (2015)'!$A181:$J182)</f>
        <v>-250</v>
      </c>
      <c r="J97" s="2">
        <f>DSUM(Kontoutdrag_officiella!$A:$J,"t",'Villkor 1 år (2015)'!$A247:$J248)</f>
        <v>-250</v>
      </c>
      <c r="K97" s="2">
        <f>DSUM(Kontoutdrag_officiella!$A:$J,"t",'Villkor 1 år (2015)'!$A313:$J314)</f>
        <v>49750</v>
      </c>
      <c r="L97" s="2">
        <f>DSUM(Kontoutdrag_officiella!$A:$J,"t",'Villkor 1 år (2015)'!$A379:$J380)</f>
        <v>10015</v>
      </c>
      <c r="M97" s="2">
        <f>DSUM(Kontoutdrag_officiella!$A:$J,"t",'Villkor 1 år (2015)'!$A445:$J446)</f>
        <v>-250</v>
      </c>
      <c r="N97" s="2">
        <f>DSUM(Kontoutdrag_officiella!$A:$J,"t",'Villkor 1 år (2015)'!$A511:$J512)</f>
        <v>-1250</v>
      </c>
      <c r="O97" s="2">
        <f>DSUM(Kontoutdrag_officiella!$A:$J,"t",'Villkor 1 år (2015)'!$A577:$J578)</f>
        <v>750</v>
      </c>
      <c r="P97" s="2">
        <f>DSUM(Kontoutdrag_officiella!$A:$J,"t",'Villkor 1 år (2015)'!$A643:$J644)</f>
        <v>-250</v>
      </c>
      <c r="Q97" s="2">
        <f>DSUM(Kontoutdrag_officiella!$A:$J,"t",'Villkor 1 år (2015)'!$A709:$J710)</f>
        <v>-250</v>
      </c>
      <c r="R97" s="2">
        <f>DSUM(Kontoutdrag_officiella!$A:$J,"t",'Villkor 1 år (2015)'!$A775:$J776)</f>
        <v>-250</v>
      </c>
      <c r="S97" s="25">
        <f t="shared" si="46"/>
        <v>57265</v>
      </c>
      <c r="T97" s="7" t="s">
        <v>18</v>
      </c>
      <c r="U97" s="7"/>
      <c r="V97" s="6">
        <f t="shared" si="47"/>
        <v>4772.083333</v>
      </c>
      <c r="W97" s="6">
        <f t="shared" si="48"/>
        <v>4772.083333</v>
      </c>
      <c r="X97" s="6">
        <f t="shared" si="49"/>
        <v>2507</v>
      </c>
      <c r="Y97" s="6">
        <f t="shared" si="50"/>
        <v>7279.083333</v>
      </c>
      <c r="Z97" s="7"/>
      <c r="AA97" s="7"/>
      <c r="AB97" s="7"/>
      <c r="AC97" s="7"/>
      <c r="AD97" s="7"/>
      <c r="AE97" s="7"/>
      <c r="AF97" s="7"/>
      <c r="AG97" s="7"/>
      <c r="AH97" s="7"/>
      <c r="AI97" s="7"/>
      <c r="AJ97" s="7"/>
      <c r="AK97" s="7"/>
      <c r="AL97" s="7"/>
    </row>
    <row r="98" ht="12.75" customHeight="1">
      <c r="A98" s="2" t="s">
        <v>822</v>
      </c>
      <c r="B98" s="2" t="s">
        <v>153</v>
      </c>
      <c r="C98" s="7"/>
      <c r="D98" s="7"/>
      <c r="E98" s="7"/>
      <c r="F98" s="6"/>
      <c r="G98" s="2">
        <f>DSUM(Kontoutdrag_officiella!$A:$J,"t",'Villkor 1 år (2015)'!$A51:$J52)</f>
        <v>0</v>
      </c>
      <c r="H98" s="2">
        <f>DSUM(Kontoutdrag_officiella!$A:$J,"t",'Villkor 1 år (2015)'!$A117:$J118)</f>
        <v>0</v>
      </c>
      <c r="I98" s="2">
        <f>DSUM(Kontoutdrag_officiella!$A:$J,"t",'Villkor 1 år (2015)'!$A183:$J184)</f>
        <v>0</v>
      </c>
      <c r="J98" s="2">
        <f>DSUM(Kontoutdrag_officiella!$A:$J,"t",'Villkor 1 år (2015)'!$A249:$J250)</f>
        <v>0</v>
      </c>
      <c r="K98" s="2">
        <f>DSUM(Kontoutdrag_officiella!$A:$J,"t",'Villkor 1 år (2015)'!$A315:$J316)</f>
        <v>0</v>
      </c>
      <c r="L98" s="2">
        <f>DSUM(Kontoutdrag_officiella!$A:$J,"t",'Villkor 1 år (2015)'!$A381:$J382)</f>
        <v>-12718.25</v>
      </c>
      <c r="M98" s="2">
        <f>DSUM(Kontoutdrag_officiella!$A:$J,"t",'Villkor 1 år (2015)'!$A447:$J448)</f>
        <v>1184.06</v>
      </c>
      <c r="N98" s="2">
        <f>DSUM(Kontoutdrag_officiella!$A:$J,"t",'Villkor 1 år (2015)'!$A513:$J514)</f>
        <v>3502</v>
      </c>
      <c r="O98" s="2">
        <f>DSUM(Kontoutdrag_officiella!$A:$J,"t",'Villkor 1 år (2015)'!$A579:$J580)</f>
        <v>-693.16</v>
      </c>
      <c r="P98" s="2">
        <f>DSUM(Kontoutdrag_officiella!$A:$J,"t",'Villkor 1 år (2015)'!$A645:$J646)</f>
        <v>0</v>
      </c>
      <c r="Q98" s="2">
        <f>DSUM(Kontoutdrag_officiella!$A:$J,"t",'Villkor 1 år (2015)'!$A711:$J712)</f>
        <v>0</v>
      </c>
      <c r="R98" s="2">
        <f>DSUM(Kontoutdrag_officiella!$A:$J,"t",'Villkor 1 år (2015)'!$A777:$J778)</f>
        <v>0</v>
      </c>
      <c r="S98" s="25">
        <f t="shared" si="46"/>
        <v>-8725.35</v>
      </c>
      <c r="T98" s="6" t="s">
        <v>153</v>
      </c>
      <c r="U98" s="7"/>
      <c r="V98" s="6">
        <f t="shared" si="47"/>
        <v>-727.1125</v>
      </c>
      <c r="W98" s="6">
        <f t="shared" si="48"/>
        <v>-727.1125</v>
      </c>
      <c r="X98" s="6">
        <f t="shared" si="49"/>
        <v>1250</v>
      </c>
      <c r="Y98" s="6">
        <f t="shared" si="50"/>
        <v>522.8875</v>
      </c>
      <c r="Z98" s="7"/>
      <c r="AA98" s="7"/>
      <c r="AB98" s="7"/>
      <c r="AC98" s="7"/>
      <c r="AD98" s="7"/>
      <c r="AE98" s="7"/>
      <c r="AF98" s="7"/>
      <c r="AG98" s="7"/>
      <c r="AH98" s="7"/>
      <c r="AI98" s="7"/>
      <c r="AJ98" s="7"/>
      <c r="AK98" s="7"/>
      <c r="AL98" s="7"/>
    </row>
    <row r="99" ht="12.75" customHeight="1">
      <c r="A99" s="2" t="s">
        <v>822</v>
      </c>
      <c r="B99" s="2" t="s">
        <v>805</v>
      </c>
      <c r="C99" s="7"/>
      <c r="D99" s="7"/>
      <c r="E99" s="7"/>
      <c r="F99" s="6"/>
      <c r="G99" s="2">
        <f>DSUM(Kontoutdrag_officiella!$A:$J,"t",'Villkor 1 år (2015)'!$A53:$J54)</f>
        <v>0</v>
      </c>
      <c r="H99" s="2">
        <f>DSUM(Kontoutdrag_officiella!$A:$J,"t",'Villkor 1 år (2015)'!$A119:$J120)</f>
        <v>0</v>
      </c>
      <c r="I99" s="2">
        <f>DSUM(Kontoutdrag_officiella!$A:$J,"t",'Villkor 1 år (2015)'!$A185:$J186)</f>
        <v>0</v>
      </c>
      <c r="J99" s="2">
        <f>DSUM(Kontoutdrag_officiella!$A:$J,"t",'Villkor 1 år (2015)'!$A251:$J252)</f>
        <v>0</v>
      </c>
      <c r="K99" s="2">
        <f>DSUM(Kontoutdrag_officiella!$A:$J,"t",'Villkor 1 år (2015)'!$A317:$J318)</f>
        <v>0</v>
      </c>
      <c r="L99" s="2">
        <f>DSUM(Kontoutdrag_officiella!$A:$J,"t",'Villkor 1 år (2015)'!$A383:$J384)</f>
        <v>0</v>
      </c>
      <c r="M99" s="2">
        <f>DSUM(Kontoutdrag_officiella!$A:$J,"t",'Villkor 1 år (2015)'!$A449:$J450)</f>
        <v>0</v>
      </c>
      <c r="N99" s="2">
        <f>DSUM(Kontoutdrag_officiella!$A:$J,"t",'Villkor 1 år (2015)'!$A515:$J516)</f>
        <v>0</v>
      </c>
      <c r="O99" s="2">
        <f>DSUM(Kontoutdrag_officiella!$A:$J,"t",'Villkor 1 år (2015)'!$A581:$J582)</f>
        <v>0</v>
      </c>
      <c r="P99" s="2">
        <f>DSUM(Kontoutdrag_officiella!$A:$J,"t",'Villkor 1 år (2015)'!$A647:$J648)</f>
        <v>0</v>
      </c>
      <c r="Q99" s="2">
        <f>DSUM(Kontoutdrag_officiella!$A:$J,"t",'Villkor 1 år (2015)'!$A713:$J714)</f>
        <v>0</v>
      </c>
      <c r="R99" s="2">
        <f>DSUM(Kontoutdrag_officiella!$A:$J,"t",'Villkor 1 år (2015)'!$A779:$J780)</f>
        <v>0</v>
      </c>
      <c r="S99" s="25">
        <f t="shared" si="46"/>
        <v>0</v>
      </c>
      <c r="T99" s="7" t="s">
        <v>805</v>
      </c>
      <c r="U99" s="7"/>
      <c r="V99" s="6">
        <f t="shared" si="47"/>
        <v>0</v>
      </c>
      <c r="W99" s="6">
        <f t="shared" si="48"/>
        <v>0</v>
      </c>
      <c r="X99" s="6">
        <f t="shared" si="49"/>
        <v>350</v>
      </c>
      <c r="Y99" s="6">
        <f t="shared" si="50"/>
        <v>350</v>
      </c>
      <c r="Z99" s="7"/>
      <c r="AA99" s="7"/>
      <c r="AB99" s="7"/>
      <c r="AC99" s="7"/>
      <c r="AD99" s="7"/>
      <c r="AE99" s="7"/>
      <c r="AF99" s="7"/>
      <c r="AG99" s="7"/>
      <c r="AH99" s="7"/>
      <c r="AI99" s="7"/>
      <c r="AJ99" s="7"/>
      <c r="AK99" s="7"/>
      <c r="AL99" s="7"/>
    </row>
    <row r="100" ht="12.75" customHeight="1">
      <c r="A100" s="2" t="s">
        <v>822</v>
      </c>
      <c r="B100" s="2" t="s">
        <v>31</v>
      </c>
      <c r="C100" s="7"/>
      <c r="D100" s="12"/>
      <c r="E100" s="12"/>
      <c r="F100" s="6"/>
      <c r="G100" s="2">
        <f>DSUM(Kontoutdrag_officiella!$A:$J,"t",'Villkor 1 år (2015)'!$A55:$J56)</f>
        <v>-748.07</v>
      </c>
      <c r="H100" s="2">
        <f>DSUM(Kontoutdrag_officiella!$A:$J,"t",'Villkor 1 år (2015)'!$A121:$J122)</f>
        <v>-836.6</v>
      </c>
      <c r="I100" s="2">
        <f>DSUM(Kontoutdrag_officiella!$A:$J,"t",'Villkor 1 år (2015)'!$A187:$J188)</f>
        <v>0</v>
      </c>
      <c r="J100" s="2">
        <f>DSUM(Kontoutdrag_officiella!$A:$J,"t",'Villkor 1 år (2015)'!$A253:$J254)</f>
        <v>0</v>
      </c>
      <c r="K100" s="2">
        <f>DSUM(Kontoutdrag_officiella!$A:$J,"t",'Villkor 1 år (2015)'!$A319:$J320)</f>
        <v>0</v>
      </c>
      <c r="L100" s="2">
        <f>DSUM(Kontoutdrag_officiella!$A:$J,"t",'Villkor 1 år (2015)'!$A385:$J386)</f>
        <v>-354.26</v>
      </c>
      <c r="M100" s="2">
        <f>DSUM(Kontoutdrag_officiella!$A:$J,"t",'Villkor 1 år (2015)'!$A451:$J452)</f>
        <v>0</v>
      </c>
      <c r="N100" s="2">
        <f>DSUM(Kontoutdrag_officiella!$A:$J,"t",'Villkor 1 år (2015)'!$A517:$J518)</f>
        <v>1500</v>
      </c>
      <c r="O100" s="2">
        <f>DSUM(Kontoutdrag_officiella!$A:$J,"t",'Villkor 1 år (2015)'!$A583:$J584)</f>
        <v>-790</v>
      </c>
      <c r="P100" s="2">
        <f>DSUM(Kontoutdrag_officiella!$A:$J,"t",'Villkor 1 år (2015)'!$A649:$J650)</f>
        <v>-6389</v>
      </c>
      <c r="Q100" s="2">
        <f>DSUM(Kontoutdrag_officiella!$A:$J,"t",'Villkor 1 år (2015)'!$A715:$J716)</f>
        <v>-232</v>
      </c>
      <c r="R100" s="2">
        <f>DSUM(Kontoutdrag_officiella!$A:$J,"t",'Villkor 1 år (2015)'!$A781:$J782)</f>
        <v>-545.22</v>
      </c>
      <c r="S100" s="25">
        <f t="shared" si="46"/>
        <v>-8395.15</v>
      </c>
      <c r="T100" s="7" t="s">
        <v>31</v>
      </c>
      <c r="U100" s="7"/>
      <c r="V100" s="6">
        <f t="shared" si="47"/>
        <v>-699.5958333</v>
      </c>
      <c r="W100" s="6">
        <f t="shared" si="48"/>
        <v>-699.5958333</v>
      </c>
      <c r="X100" s="6">
        <f t="shared" si="49"/>
        <v>450</v>
      </c>
      <c r="Y100" s="6">
        <f t="shared" si="50"/>
        <v>-249.5958333</v>
      </c>
      <c r="Z100" s="7"/>
      <c r="AA100" s="7"/>
      <c r="AB100" s="7"/>
      <c r="AC100" s="7"/>
      <c r="AD100" s="7"/>
      <c r="AE100" s="7"/>
      <c r="AF100" s="7"/>
      <c r="AG100" s="7"/>
      <c r="AH100" s="7"/>
      <c r="AI100" s="7"/>
      <c r="AJ100" s="7"/>
      <c r="AK100" s="7"/>
      <c r="AL100" s="7"/>
      <c r="AM100" s="7"/>
      <c r="AN100" s="7"/>
      <c r="AO100" s="7"/>
    </row>
    <row r="101" ht="12.75" customHeight="1">
      <c r="A101" s="2" t="s">
        <v>822</v>
      </c>
      <c r="B101" s="2" t="s">
        <v>123</v>
      </c>
      <c r="C101" s="7"/>
      <c r="D101" s="7"/>
      <c r="E101" s="7"/>
      <c r="F101" s="6"/>
      <c r="G101" s="2">
        <f>DSUM(Kontoutdrag_officiella!$A:$J,"t",'Villkor 1 år (2015)'!$A57:$J58)</f>
        <v>0</v>
      </c>
      <c r="H101" s="2">
        <f>DSUM(Kontoutdrag_officiella!$A:$J,"t",'Villkor 1 år (2015)'!$A123:$J124)</f>
        <v>0</v>
      </c>
      <c r="I101" s="2">
        <f>DSUM(Kontoutdrag_officiella!$A:$J,"t",'Villkor 1 år (2015)'!$A189:$J190)</f>
        <v>0</v>
      </c>
      <c r="J101" s="2">
        <f>DSUM(Kontoutdrag_officiella!$A:$J,"t",'Villkor 1 år (2015)'!$A255:$J256)</f>
        <v>0</v>
      </c>
      <c r="K101" s="2">
        <f>DSUM(Kontoutdrag_officiella!$A:$J,"t",'Villkor 1 år (2015)'!$A321:$J322)</f>
        <v>-249</v>
      </c>
      <c r="L101" s="2">
        <f>DSUM(Kontoutdrag_officiella!$A:$J,"t",'Villkor 1 år (2015)'!$A387:$J388)</f>
        <v>0</v>
      </c>
      <c r="M101" s="2">
        <f>DSUM(Kontoutdrag_officiella!$A:$J,"t",'Villkor 1 år (2015)'!$A453:$J454)</f>
        <v>0</v>
      </c>
      <c r="N101" s="2">
        <f>DSUM(Kontoutdrag_officiella!$A:$J,"t",'Villkor 1 år (2015)'!$A519:$J520)</f>
        <v>0</v>
      </c>
      <c r="O101" s="2">
        <f>DSUM(Kontoutdrag_officiella!$A:$J,"t",'Villkor 1 år (2015)'!$A585:$J586)</f>
        <v>0</v>
      </c>
      <c r="P101" s="2">
        <f>DSUM(Kontoutdrag_officiella!$A:$J,"t",'Villkor 1 år (2015)'!$A651:$J652)</f>
        <v>-3559</v>
      </c>
      <c r="Q101" s="2">
        <f>DSUM(Kontoutdrag_officiella!$A:$J,"t",'Villkor 1 år (2015)'!$A717:$J718)</f>
        <v>0</v>
      </c>
      <c r="R101" s="2">
        <f>DSUM(Kontoutdrag_officiella!$A:$J,"t",'Villkor 1 år (2015)'!$A783:$J784)</f>
        <v>0</v>
      </c>
      <c r="S101" s="25">
        <f t="shared" si="46"/>
        <v>-3808</v>
      </c>
      <c r="T101" s="7" t="s">
        <v>123</v>
      </c>
      <c r="U101" s="7"/>
      <c r="V101" s="6">
        <f t="shared" si="47"/>
        <v>-317.3333333</v>
      </c>
      <c r="W101" s="6">
        <f t="shared" si="48"/>
        <v>-317.3333333</v>
      </c>
      <c r="X101" s="6">
        <f t="shared" si="49"/>
        <v>150</v>
      </c>
      <c r="Y101" s="6">
        <f t="shared" si="50"/>
        <v>-167.3333333</v>
      </c>
      <c r="Z101" s="7"/>
      <c r="AA101" s="7"/>
      <c r="AB101" s="7"/>
      <c r="AC101" s="7"/>
      <c r="AD101" s="7"/>
      <c r="AE101" s="7"/>
      <c r="AF101" s="7"/>
      <c r="AG101" s="7"/>
      <c r="AH101" s="7"/>
      <c r="AI101" s="7"/>
      <c r="AJ101" s="7"/>
      <c r="AK101" s="7"/>
      <c r="AL101" s="7"/>
    </row>
    <row r="102" ht="12.75" customHeight="1">
      <c r="A102" s="2" t="s">
        <v>822</v>
      </c>
      <c r="B102" s="2" t="s">
        <v>35</v>
      </c>
      <c r="C102" s="7"/>
      <c r="G102" s="2">
        <f>DSUM(Kontoutdrag_officiella!$A:$J,"t",'Villkor 1 år (2015)'!$A59:$J60)</f>
        <v>0</v>
      </c>
      <c r="H102" s="2">
        <f>DSUM(Kontoutdrag_officiella!$A:$J,"t",'Villkor 1 år (2015)'!$A125:$J126)</f>
        <v>-1985</v>
      </c>
      <c r="I102" s="2">
        <f>DSUM(Kontoutdrag_officiella!$A:$J,"t",'Villkor 1 år (2015)'!$A191:$J192)</f>
        <v>-111.1</v>
      </c>
      <c r="J102" s="2">
        <f>DSUM(Kontoutdrag_officiella!$A:$J,"t",'Villkor 1 år (2015)'!$A257:$J258)</f>
        <v>-13146</v>
      </c>
      <c r="K102" s="2">
        <f>DSUM(Kontoutdrag_officiella!$A:$J,"t",'Villkor 1 år (2015)'!$A323:$J324)</f>
        <v>-1879</v>
      </c>
      <c r="L102" s="2">
        <f>DSUM(Kontoutdrag_officiella!$A:$J,"t",'Villkor 1 år (2015)'!$A389:$J390)</f>
        <v>-230</v>
      </c>
      <c r="M102" s="2">
        <f>DSUM(Kontoutdrag_officiella!$A:$J,"t",'Villkor 1 år (2015)'!$A455:$J456)</f>
        <v>-145.01</v>
      </c>
      <c r="N102" s="2">
        <f>DSUM(Kontoutdrag_officiella!$A:$J,"t",'Villkor 1 år (2015)'!$A521:$J522)</f>
        <v>-640</v>
      </c>
      <c r="O102" s="2">
        <f>DSUM(Kontoutdrag_officiella!$A:$J,"t",'Villkor 1 år (2015)'!$A587:$J588)</f>
        <v>-129</v>
      </c>
      <c r="P102" s="2">
        <f>DSUM(Kontoutdrag_officiella!$A:$J,"t",'Villkor 1 år (2015)'!$A653:$J654)</f>
        <v>0</v>
      </c>
      <c r="Q102" s="2">
        <f>DSUM(Kontoutdrag_officiella!$A:$J,"t",'Villkor 1 år (2015)'!$A719:$J720)</f>
        <v>-129</v>
      </c>
      <c r="R102" s="2">
        <f>DSUM(Kontoutdrag_officiella!$A:$J,"t",'Villkor 1 år (2015)'!$A785:$J786)</f>
        <v>-3131.8</v>
      </c>
      <c r="S102" s="25">
        <f t="shared" si="46"/>
        <v>-21525.91</v>
      </c>
      <c r="T102" s="7" t="s">
        <v>35</v>
      </c>
      <c r="U102" s="7"/>
      <c r="V102" s="6">
        <f t="shared" si="47"/>
        <v>-1793.825833</v>
      </c>
      <c r="W102" s="6">
        <f t="shared" si="48"/>
        <v>-1793.825833</v>
      </c>
      <c r="X102" s="6">
        <f t="shared" si="49"/>
        <v>1000</v>
      </c>
      <c r="Y102" s="6">
        <f t="shared" si="50"/>
        <v>-793.8258333</v>
      </c>
    </row>
    <row r="103" ht="12.75" customHeight="1">
      <c r="A103" s="2" t="s">
        <v>822</v>
      </c>
      <c r="B103" s="2" t="s">
        <v>210</v>
      </c>
      <c r="C103" s="7"/>
      <c r="G103" s="2">
        <f>DSUM(Kontoutdrag_officiella!$A:$J,"t",'Villkor 1 år (2015)'!$A61:$J62)</f>
        <v>0</v>
      </c>
      <c r="H103" s="2">
        <f>DSUM(Kontoutdrag_officiella!$A:$J,"t",'Villkor 1 år (2015)'!$A127:$J128)</f>
        <v>0</v>
      </c>
      <c r="I103" s="2">
        <f>DSUM(Kontoutdrag_officiella!$A:$J,"t",'Villkor 1 år (2015)'!$A193:$J194)</f>
        <v>0</v>
      </c>
      <c r="J103" s="2">
        <f>DSUM(Kontoutdrag_officiella!$A:$J,"t",'Villkor 1 år (2015)'!$A259:$J260)</f>
        <v>0</v>
      </c>
      <c r="K103" s="2">
        <f>DSUM(Kontoutdrag_officiella!$A:$J,"t",'Villkor 1 år (2015)'!$A325:$J326)</f>
        <v>0</v>
      </c>
      <c r="L103" s="2">
        <f>DSUM(Kontoutdrag_officiella!$A:$J,"t",'Villkor 1 år (2015)'!$A391:$J392)</f>
        <v>-906</v>
      </c>
      <c r="M103" s="2">
        <f>DSUM(Kontoutdrag_officiella!$A:$J,"t",'Villkor 1 år (2015)'!$A457:$J458)</f>
        <v>-4498.16</v>
      </c>
      <c r="N103" s="2">
        <f>DSUM(Kontoutdrag_officiella!$A:$J,"t",'Villkor 1 år (2015)'!$A523:$J524)</f>
        <v>0</v>
      </c>
      <c r="O103" s="2">
        <f>DSUM(Kontoutdrag_officiella!$A:$J,"t",'Villkor 1 år (2015)'!$A589:$J590)</f>
        <v>0</v>
      </c>
      <c r="P103" s="2">
        <f>DSUM(Kontoutdrag_officiella!$A:$J,"t",'Villkor 1 år (2015)'!$A655:$J656)</f>
        <v>0</v>
      </c>
      <c r="Q103" s="2">
        <f>DSUM(Kontoutdrag_officiella!$A:$J,"t",'Villkor 1 år (2015)'!$A721:$J722)</f>
        <v>0</v>
      </c>
      <c r="R103" s="2">
        <f>DSUM(Kontoutdrag_officiella!$A:$J,"t",'Villkor 1 år (2015)'!$A787:$J788)</f>
        <v>0</v>
      </c>
      <c r="S103" s="25">
        <f t="shared" si="46"/>
        <v>-5404.16</v>
      </c>
      <c r="T103" s="7" t="s">
        <v>210</v>
      </c>
      <c r="U103" s="7"/>
      <c r="V103" s="6">
        <f t="shared" si="47"/>
        <v>-450.3466667</v>
      </c>
      <c r="W103" s="6">
        <f t="shared" si="48"/>
        <v>-450.3466667</v>
      </c>
      <c r="X103" s="6">
        <f t="shared" si="49"/>
        <v>0</v>
      </c>
      <c r="Y103" s="6">
        <f t="shared" si="50"/>
        <v>-450.3466667</v>
      </c>
    </row>
    <row r="104" ht="12.75" customHeight="1">
      <c r="A104" s="2" t="s">
        <v>822</v>
      </c>
      <c r="B104" s="2" t="s">
        <v>808</v>
      </c>
      <c r="C104" s="7"/>
      <c r="G104" s="2">
        <f>DSUM(Kontoutdrag_officiella!$A:$J,"t",'Villkor 1 år (2015)'!$A63:$J64)</f>
        <v>0</v>
      </c>
      <c r="H104" s="2">
        <f>DSUM(Kontoutdrag_officiella!$A:$J,"t",'Villkor 1 år (2015)'!$A129:$J130)</f>
        <v>0</v>
      </c>
      <c r="I104" s="2">
        <f>DSUM(Kontoutdrag_officiella!$A:$J,"t",'Villkor 1 år (2015)'!$A195:$J196)</f>
        <v>0</v>
      </c>
      <c r="J104" s="2">
        <f>DSUM(Kontoutdrag_officiella!$A:$J,"t",'Villkor 1 år (2015)'!$A261:$J262)</f>
        <v>0</v>
      </c>
      <c r="K104" s="2">
        <f>DSUM(Kontoutdrag_officiella!$A:$J,"t",'Villkor 1 år (2015)'!$A327:$J328)</f>
        <v>0</v>
      </c>
      <c r="L104" s="2">
        <f>DSUM(Kontoutdrag_officiella!$A:$J,"t",'Villkor 1 år (2015)'!$A393:$J394)</f>
        <v>0</v>
      </c>
      <c r="M104" s="2">
        <f>DSUM(Kontoutdrag_officiella!$A:$J,"t",'Villkor 1 år (2015)'!$A459:$J460)</f>
        <v>0</v>
      </c>
      <c r="N104" s="2">
        <f>DSUM(Kontoutdrag_officiella!$A:$J,"t",'Villkor 1 år (2015)'!$A525:$J526)</f>
        <v>0</v>
      </c>
      <c r="O104" s="2">
        <f>DSUM(Kontoutdrag_officiella!$A:$J,"t",'Villkor 1 år (2015)'!$A591:$J592)</f>
        <v>0</v>
      </c>
      <c r="P104" s="2">
        <f>DSUM(Kontoutdrag_officiella!$A:$J,"t",'Villkor 1 år (2015)'!$A657:$J658)</f>
        <v>0</v>
      </c>
      <c r="Q104" s="2">
        <f>DSUM(Kontoutdrag_officiella!$A:$J,"t",'Villkor 1 år (2015)'!$A723:$J724)</f>
        <v>0</v>
      </c>
      <c r="R104" s="2">
        <f>DSUM(Kontoutdrag_officiella!$A:$J,"t",'Villkor 1 år (2015)'!$A789:$J790)</f>
        <v>0</v>
      </c>
      <c r="S104" s="25">
        <f t="shared" si="46"/>
        <v>0</v>
      </c>
      <c r="T104" s="7" t="s">
        <v>808</v>
      </c>
      <c r="U104" s="7"/>
      <c r="V104" s="6">
        <f t="shared" si="47"/>
        <v>0</v>
      </c>
      <c r="W104" s="6">
        <f t="shared" si="48"/>
        <v>0</v>
      </c>
      <c r="X104" s="6">
        <f t="shared" si="49"/>
        <v>0</v>
      </c>
      <c r="Y104" s="6">
        <f t="shared" si="50"/>
        <v>0</v>
      </c>
    </row>
    <row r="105" ht="12.75" customHeight="1">
      <c r="A105" s="2" t="s">
        <v>822</v>
      </c>
      <c r="B105" s="2" t="s">
        <v>810</v>
      </c>
      <c r="C105" s="7"/>
      <c r="G105" s="2">
        <f>DSUM(Kontoutdrag_officiella!$A:$J,"t",'Villkor 1 år (2015)'!$A65:$J66)</f>
        <v>0</v>
      </c>
      <c r="H105" s="2">
        <f>DSUM(Kontoutdrag_officiella!$A:$J,"t",'Villkor 1 år (2015)'!$A131:$J132)</f>
        <v>0</v>
      </c>
      <c r="I105" s="2">
        <f>DSUM(Kontoutdrag_officiella!$A:$J,"t",'Villkor 1 år (2015)'!$A197:$J198)</f>
        <v>0</v>
      </c>
      <c r="J105" s="2">
        <f>DSUM(Kontoutdrag_officiella!$A:$J,"t",'Villkor 1 år (2015)'!$A263:$J264)</f>
        <v>0</v>
      </c>
      <c r="K105" s="2">
        <f>DSUM(Kontoutdrag_officiella!$A:$J,"t",'Villkor 1 år (2015)'!$A329:$J330)</f>
        <v>0</v>
      </c>
      <c r="L105" s="2">
        <f>DSUM(Kontoutdrag_officiella!$A:$J,"t",'Villkor 1 år (2015)'!$A395:$J396)</f>
        <v>0</v>
      </c>
      <c r="M105" s="2">
        <f>DSUM(Kontoutdrag_officiella!$A:$J,"t",'Villkor 1 år (2015)'!$A461:$J462)</f>
        <v>0</v>
      </c>
      <c r="N105" s="2">
        <f>DSUM(Kontoutdrag_officiella!$A:$J,"t",'Villkor 1 år (2015)'!$A527:$J528)</f>
        <v>0</v>
      </c>
      <c r="O105" s="2">
        <f>DSUM(Kontoutdrag_officiella!$A:$J,"t",'Villkor 1 år (2015)'!$A593:$J594)</f>
        <v>0</v>
      </c>
      <c r="P105" s="2">
        <f>DSUM(Kontoutdrag_officiella!$A:$J,"t",'Villkor 1 år (2015)'!$A659:$J660)</f>
        <v>0</v>
      </c>
      <c r="Q105" s="2">
        <f>DSUM(Kontoutdrag_officiella!$A:$J,"t",'Villkor 1 år (2015)'!$A725:$J726)</f>
        <v>0</v>
      </c>
      <c r="R105" s="2">
        <f>DSUM(Kontoutdrag_officiella!$A:$J,"t",'Villkor 1 år (2015)'!$A791:$J792)</f>
        <v>0</v>
      </c>
      <c r="S105" s="25">
        <f t="shared" si="46"/>
        <v>0</v>
      </c>
      <c r="T105" s="7" t="s">
        <v>810</v>
      </c>
      <c r="U105" s="7"/>
      <c r="V105" s="6">
        <f t="shared" si="47"/>
        <v>0</v>
      </c>
      <c r="W105" s="6">
        <f t="shared" si="48"/>
        <v>0</v>
      </c>
      <c r="X105" s="6">
        <f t="shared" si="49"/>
        <v>280</v>
      </c>
      <c r="Y105" s="6">
        <f t="shared" si="50"/>
        <v>280</v>
      </c>
    </row>
    <row r="106" ht="12.75" customHeight="1">
      <c r="A106" s="2" t="s">
        <v>822</v>
      </c>
      <c r="B106" s="2" t="s">
        <v>744</v>
      </c>
      <c r="C106" s="7"/>
      <c r="G106" s="2">
        <f t="shared" ref="G106:R106" si="51">SUM(G73:G105)</f>
        <v>-20105.47</v>
      </c>
      <c r="H106" s="2">
        <f t="shared" si="51"/>
        <v>-25640.6</v>
      </c>
      <c r="I106" s="2">
        <f t="shared" si="51"/>
        <v>-21222.61</v>
      </c>
      <c r="J106" s="2">
        <f t="shared" si="51"/>
        <v>-40920.05</v>
      </c>
      <c r="K106" s="2">
        <f t="shared" si="51"/>
        <v>5432.66</v>
      </c>
      <c r="L106" s="2">
        <f t="shared" si="51"/>
        <v>-36779.51</v>
      </c>
      <c r="M106" s="2">
        <f t="shared" si="51"/>
        <v>-51903.24</v>
      </c>
      <c r="N106" s="2">
        <f t="shared" si="51"/>
        <v>-49431.69</v>
      </c>
      <c r="O106" s="2">
        <f t="shared" si="51"/>
        <v>-109779.02</v>
      </c>
      <c r="P106" s="2">
        <f t="shared" si="51"/>
        <v>-59033.3</v>
      </c>
      <c r="Q106" s="2">
        <f t="shared" si="51"/>
        <v>-50542.74</v>
      </c>
      <c r="R106" s="2">
        <f t="shared" si="51"/>
        <v>-50673.06</v>
      </c>
      <c r="S106" s="25">
        <f t="shared" si="46"/>
        <v>-510598.63</v>
      </c>
      <c r="T106" s="25"/>
      <c r="U106" s="7"/>
      <c r="V106" s="6">
        <f>SUM(V73:V102)</f>
        <v>-42099.53917</v>
      </c>
      <c r="W106" s="6">
        <f>SUM(W73:W105)</f>
        <v>-42549.88583</v>
      </c>
      <c r="X106" s="6">
        <f t="shared" si="49"/>
        <v>29051</v>
      </c>
      <c r="Y106" s="6">
        <f t="shared" si="50"/>
        <v>-13048.53917</v>
      </c>
    </row>
    <row r="107" ht="12.75" customHeight="1">
      <c r="C107" s="7"/>
      <c r="S107" s="25"/>
      <c r="T107" s="25"/>
      <c r="V107" s="6">
        <f>V106-V97</f>
        <v>-46871.6225</v>
      </c>
    </row>
    <row r="108" ht="12.75" customHeight="1">
      <c r="C108" s="7"/>
      <c r="S108" s="25"/>
      <c r="T108" s="25"/>
      <c r="V108" s="6"/>
    </row>
    <row r="109" ht="12.75" customHeight="1">
      <c r="A109" s="2" t="s">
        <v>828</v>
      </c>
      <c r="B109" s="14" t="s">
        <v>829</v>
      </c>
      <c r="C109" s="14" t="s">
        <v>829</v>
      </c>
      <c r="D109" s="14" t="s">
        <v>829</v>
      </c>
      <c r="E109" s="14"/>
      <c r="F109" s="14" t="s">
        <v>829</v>
      </c>
      <c r="G109" s="14" t="s">
        <v>829</v>
      </c>
      <c r="H109" s="14" t="s">
        <v>829</v>
      </c>
      <c r="I109" s="14" t="s">
        <v>829</v>
      </c>
      <c r="J109" s="14" t="s">
        <v>829</v>
      </c>
      <c r="K109" s="14" t="s">
        <v>829</v>
      </c>
      <c r="L109" s="14" t="s">
        <v>829</v>
      </c>
      <c r="M109" s="14" t="s">
        <v>829</v>
      </c>
      <c r="N109" s="14" t="s">
        <v>829</v>
      </c>
      <c r="O109" s="14" t="s">
        <v>829</v>
      </c>
      <c r="P109" s="14" t="s">
        <v>829</v>
      </c>
      <c r="Q109" s="14" t="s">
        <v>829</v>
      </c>
      <c r="R109" s="14" t="s">
        <v>829</v>
      </c>
      <c r="S109" s="28" t="s">
        <v>829</v>
      </c>
      <c r="T109" s="28"/>
      <c r="V109" s="6"/>
    </row>
    <row r="110" ht="9.0" customHeight="1">
      <c r="A110" s="2" t="s">
        <v>828</v>
      </c>
      <c r="C110" s="14" t="s">
        <v>829</v>
      </c>
      <c r="S110" s="25"/>
      <c r="T110" s="25"/>
      <c r="V110" s="6"/>
    </row>
    <row r="111" ht="12.75" customHeight="1">
      <c r="A111" s="2" t="s">
        <v>828</v>
      </c>
      <c r="B111" s="2" t="s">
        <v>10</v>
      </c>
      <c r="C111" s="14" t="s">
        <v>829</v>
      </c>
      <c r="F111" s="43">
        <f t="shared" ref="F111:R111" si="52">IF(ISBLANK(F25),"",F25+F73)</f>
        <v>21176.6</v>
      </c>
      <c r="G111" s="2">
        <f t="shared" si="52"/>
        <v>-117.8</v>
      </c>
      <c r="H111" s="2">
        <f t="shared" si="52"/>
        <v>101</v>
      </c>
      <c r="I111" s="2">
        <f t="shared" si="52"/>
        <v>142</v>
      </c>
      <c r="J111" s="2">
        <f t="shared" si="52"/>
        <v>-1030.8</v>
      </c>
      <c r="K111" s="2">
        <f t="shared" si="52"/>
        <v>-1435.4</v>
      </c>
      <c r="L111" s="2">
        <f t="shared" si="52"/>
        <v>-16172</v>
      </c>
      <c r="M111" s="2">
        <f t="shared" si="52"/>
        <v>-8827.6</v>
      </c>
      <c r="N111" s="2">
        <f t="shared" si="52"/>
        <v>-8609.8</v>
      </c>
      <c r="O111" s="2">
        <f t="shared" si="52"/>
        <v>5281.2</v>
      </c>
      <c r="P111" s="2">
        <f t="shared" si="52"/>
        <v>2356.2</v>
      </c>
      <c r="Q111" s="2">
        <f t="shared" si="52"/>
        <v>-8717.8</v>
      </c>
      <c r="R111" s="2">
        <f t="shared" si="52"/>
        <v>-16502.8</v>
      </c>
      <c r="S111" s="25">
        <f t="shared" ref="S111:S144" si="54">SUM(F111:R111)</f>
        <v>-32357</v>
      </c>
      <c r="T111" s="7" t="s">
        <v>10</v>
      </c>
      <c r="U111" s="2">
        <f>8950-6550</f>
        <v>2400</v>
      </c>
      <c r="V111" s="6" t="s">
        <v>830</v>
      </c>
      <c r="W111" s="2">
        <f>-1*S111</f>
        <v>32357</v>
      </c>
    </row>
    <row r="112" ht="12.75" customHeight="1">
      <c r="A112" s="2" t="s">
        <v>828</v>
      </c>
      <c r="B112" s="2" t="s">
        <v>20</v>
      </c>
      <c r="C112" s="14" t="s">
        <v>829</v>
      </c>
      <c r="F112" s="43">
        <f t="shared" ref="F112:R112" si="53">IF(ISBLANK(F26),"",F26+F74)</f>
        <v>0</v>
      </c>
      <c r="G112" s="2">
        <f t="shared" si="53"/>
        <v>0</v>
      </c>
      <c r="H112" s="2">
        <f t="shared" si="53"/>
        <v>0</v>
      </c>
      <c r="I112" s="2">
        <f t="shared" si="53"/>
        <v>0</v>
      </c>
      <c r="J112" s="2">
        <f t="shared" si="53"/>
        <v>0</v>
      </c>
      <c r="K112" s="2">
        <f t="shared" si="53"/>
        <v>0</v>
      </c>
      <c r="L112" s="2">
        <f t="shared" si="53"/>
        <v>0</v>
      </c>
      <c r="M112" s="2">
        <f t="shared" si="53"/>
        <v>0</v>
      </c>
      <c r="N112" s="2">
        <f t="shared" si="53"/>
        <v>0</v>
      </c>
      <c r="O112" s="2">
        <f t="shared" si="53"/>
        <v>0</v>
      </c>
      <c r="P112" s="2">
        <f t="shared" si="53"/>
        <v>0</v>
      </c>
      <c r="Q112" s="2">
        <f t="shared" si="53"/>
        <v>0</v>
      </c>
      <c r="R112" s="2">
        <f t="shared" si="53"/>
        <v>0</v>
      </c>
      <c r="S112" s="25">
        <f t="shared" si="54"/>
        <v>0</v>
      </c>
      <c r="T112" s="7" t="s">
        <v>20</v>
      </c>
      <c r="V112" s="18">
        <f>S111+S135</f>
        <v>110467</v>
      </c>
    </row>
    <row r="113" ht="12.75" customHeight="1">
      <c r="A113" s="2" t="s">
        <v>828</v>
      </c>
      <c r="B113" s="2" t="s">
        <v>17</v>
      </c>
      <c r="C113" s="14" t="s">
        <v>829</v>
      </c>
      <c r="F113" s="43">
        <f t="shared" ref="F113:R113" si="55">IF(ISBLANK(F27),"",F27+F75)</f>
        <v>-46</v>
      </c>
      <c r="G113" s="2">
        <f t="shared" si="55"/>
        <v>-11</v>
      </c>
      <c r="H113" s="2">
        <f t="shared" si="55"/>
        <v>-11</v>
      </c>
      <c r="I113" s="2">
        <f t="shared" si="55"/>
        <v>-11</v>
      </c>
      <c r="J113" s="2">
        <f t="shared" si="55"/>
        <v>-11</v>
      </c>
      <c r="K113" s="2">
        <f t="shared" si="55"/>
        <v>-11</v>
      </c>
      <c r="L113" s="2">
        <f t="shared" si="55"/>
        <v>-11</v>
      </c>
      <c r="M113" s="2">
        <f t="shared" si="55"/>
        <v>-11</v>
      </c>
      <c r="N113" s="2">
        <f t="shared" si="55"/>
        <v>-11</v>
      </c>
      <c r="O113" s="2">
        <f t="shared" si="55"/>
        <v>-172</v>
      </c>
      <c r="P113" s="2">
        <f t="shared" si="55"/>
        <v>-34</v>
      </c>
      <c r="Q113" s="2">
        <f t="shared" si="55"/>
        <v>-32</v>
      </c>
      <c r="R113" s="2">
        <f t="shared" si="55"/>
        <v>-34</v>
      </c>
      <c r="S113" s="25">
        <f t="shared" si="54"/>
        <v>-406</v>
      </c>
      <c r="T113" s="7" t="s">
        <v>17</v>
      </c>
      <c r="V113" s="31"/>
      <c r="W113" s="2">
        <f>-1*S113</f>
        <v>406</v>
      </c>
      <c r="X113" s="31"/>
    </row>
    <row r="114" ht="12.75" customHeight="1">
      <c r="A114" s="2" t="s">
        <v>828</v>
      </c>
      <c r="B114" s="2" t="s">
        <v>24</v>
      </c>
      <c r="C114" s="14" t="s">
        <v>829</v>
      </c>
      <c r="F114" s="43">
        <f t="shared" ref="F114:R114" si="56">IF(ISBLANK(F28),"",F28+F76)</f>
        <v>-78</v>
      </c>
      <c r="G114" s="2">
        <f t="shared" si="56"/>
        <v>-23</v>
      </c>
      <c r="H114" s="2">
        <f t="shared" si="56"/>
        <v>-23</v>
      </c>
      <c r="I114" s="2">
        <f t="shared" si="56"/>
        <v>-23</v>
      </c>
      <c r="J114" s="2">
        <f t="shared" si="56"/>
        <v>-23</v>
      </c>
      <c r="K114" s="2">
        <f t="shared" si="56"/>
        <v>-23</v>
      </c>
      <c r="L114" s="2">
        <f t="shared" si="56"/>
        <v>-23</v>
      </c>
      <c r="M114" s="2">
        <f t="shared" si="56"/>
        <v>-23</v>
      </c>
      <c r="N114" s="2">
        <f t="shared" si="56"/>
        <v>-23</v>
      </c>
      <c r="O114" s="2">
        <f t="shared" si="56"/>
        <v>-23</v>
      </c>
      <c r="P114" s="2">
        <f t="shared" si="56"/>
        <v>-23</v>
      </c>
      <c r="Q114" s="2">
        <f t="shared" si="56"/>
        <v>-23</v>
      </c>
      <c r="R114" s="2">
        <f t="shared" si="56"/>
        <v>-18</v>
      </c>
      <c r="S114" s="25">
        <f t="shared" si="54"/>
        <v>-349</v>
      </c>
      <c r="T114" s="7" t="s">
        <v>24</v>
      </c>
      <c r="V114" s="31"/>
      <c r="W114" s="31"/>
      <c r="X114" s="31"/>
    </row>
    <row r="115" ht="12.75" customHeight="1">
      <c r="A115" s="2" t="s">
        <v>828</v>
      </c>
      <c r="B115" s="2" t="s">
        <v>651</v>
      </c>
      <c r="C115" s="14" t="s">
        <v>829</v>
      </c>
      <c r="F115" s="43">
        <f t="shared" ref="F115:R115" si="57">IF(ISBLANK(F29),"",F29+F77)</f>
        <v>0</v>
      </c>
      <c r="G115" s="2">
        <f t="shared" si="57"/>
        <v>18.75</v>
      </c>
      <c r="H115" s="2">
        <f t="shared" si="57"/>
        <v>18.75</v>
      </c>
      <c r="I115" s="2">
        <f t="shared" si="57"/>
        <v>18.75</v>
      </c>
      <c r="J115" s="2">
        <f t="shared" si="57"/>
        <v>18.75</v>
      </c>
      <c r="K115" s="2">
        <f t="shared" si="57"/>
        <v>18.75</v>
      </c>
      <c r="L115" s="2">
        <f t="shared" si="57"/>
        <v>18.75</v>
      </c>
      <c r="M115" s="2">
        <f t="shared" si="57"/>
        <v>18.75</v>
      </c>
      <c r="N115" s="2">
        <f t="shared" si="57"/>
        <v>18.75</v>
      </c>
      <c r="O115" s="2">
        <f t="shared" si="57"/>
        <v>18.75</v>
      </c>
      <c r="P115" s="2">
        <f t="shared" si="57"/>
        <v>18.75</v>
      </c>
      <c r="Q115" s="2">
        <f t="shared" si="57"/>
        <v>18.75</v>
      </c>
      <c r="R115" s="2">
        <f t="shared" si="57"/>
        <v>18.75</v>
      </c>
      <c r="S115" s="25">
        <f t="shared" si="54"/>
        <v>225</v>
      </c>
      <c r="T115" s="7" t="s">
        <v>651</v>
      </c>
      <c r="V115" s="44"/>
      <c r="W115" s="31"/>
      <c r="X115" s="24"/>
    </row>
    <row r="116" ht="12.75" customHeight="1">
      <c r="A116" s="2" t="s">
        <v>828</v>
      </c>
      <c r="B116" s="2" t="s">
        <v>76</v>
      </c>
      <c r="C116" s="14" t="s">
        <v>829</v>
      </c>
      <c r="F116" s="43">
        <f t="shared" ref="F116:R116" si="58">IF(ISBLANK(F30),"",F30+F78)</f>
        <v>18</v>
      </c>
      <c r="G116" s="2">
        <f t="shared" si="58"/>
        <v>1012.166667</v>
      </c>
      <c r="H116" s="2">
        <f t="shared" si="58"/>
        <v>-2051.833333</v>
      </c>
      <c r="I116" s="2">
        <f t="shared" si="58"/>
        <v>1012.166667</v>
      </c>
      <c r="J116" s="2">
        <f t="shared" si="58"/>
        <v>1012.166667</v>
      </c>
      <c r="K116" s="2">
        <f t="shared" si="58"/>
        <v>-2051.833333</v>
      </c>
      <c r="L116" s="2">
        <f t="shared" si="58"/>
        <v>1012.166667</v>
      </c>
      <c r="M116" s="2">
        <f t="shared" si="58"/>
        <v>1012.166667</v>
      </c>
      <c r="N116" s="2">
        <f t="shared" si="58"/>
        <v>-2051.833333</v>
      </c>
      <c r="O116" s="2">
        <f t="shared" si="58"/>
        <v>1012.166667</v>
      </c>
      <c r="P116" s="2">
        <f t="shared" si="58"/>
        <v>1012.166667</v>
      </c>
      <c r="Q116" s="2">
        <f t="shared" si="58"/>
        <v>-2048.833333</v>
      </c>
      <c r="R116" s="2">
        <f t="shared" si="58"/>
        <v>1012.166667</v>
      </c>
      <c r="S116" s="25">
        <f t="shared" si="54"/>
        <v>-89</v>
      </c>
      <c r="T116" s="7" t="s">
        <v>76</v>
      </c>
    </row>
    <row r="117" ht="12.75" customHeight="1">
      <c r="A117" s="2" t="s">
        <v>828</v>
      </c>
      <c r="B117" s="2" t="s">
        <v>26</v>
      </c>
      <c r="C117" s="14" t="s">
        <v>829</v>
      </c>
      <c r="F117" s="40">
        <f t="shared" ref="F117:R117" si="59">IF(ISBLANK(F31),"",F31+F79)</f>
        <v>600</v>
      </c>
      <c r="G117" s="40">
        <f t="shared" si="59"/>
        <v>50</v>
      </c>
      <c r="H117" s="40">
        <f t="shared" si="59"/>
        <v>150</v>
      </c>
      <c r="I117" s="2">
        <f t="shared" si="59"/>
        <v>-50</v>
      </c>
      <c r="J117" s="2">
        <f t="shared" si="59"/>
        <v>-2774</v>
      </c>
      <c r="K117" s="2">
        <f t="shared" si="59"/>
        <v>-200</v>
      </c>
      <c r="L117" s="2">
        <f t="shared" si="59"/>
        <v>50</v>
      </c>
      <c r="M117" s="2">
        <f t="shared" si="59"/>
        <v>50</v>
      </c>
      <c r="N117" s="2">
        <f t="shared" si="59"/>
        <v>50</v>
      </c>
      <c r="O117" s="2">
        <f t="shared" si="59"/>
        <v>50</v>
      </c>
      <c r="P117" s="2">
        <f t="shared" si="59"/>
        <v>50</v>
      </c>
      <c r="Q117" s="2">
        <f t="shared" si="59"/>
        <v>50</v>
      </c>
      <c r="R117" s="2">
        <f t="shared" si="59"/>
        <v>50</v>
      </c>
      <c r="S117" s="25">
        <f t="shared" si="54"/>
        <v>-1874</v>
      </c>
      <c r="T117" s="7" t="s">
        <v>26</v>
      </c>
    </row>
    <row r="118" ht="12.75" customHeight="1">
      <c r="A118" s="2" t="s">
        <v>828</v>
      </c>
      <c r="B118" s="2" t="s">
        <v>103</v>
      </c>
      <c r="C118" s="14" t="s">
        <v>829</v>
      </c>
      <c r="F118" s="40">
        <f t="shared" ref="F118:R118" si="60">IF(ISBLANK(F32),"",F32+F80)</f>
        <v>373</v>
      </c>
      <c r="G118" s="40">
        <f t="shared" si="60"/>
        <v>-243</v>
      </c>
      <c r="H118" s="40">
        <f t="shared" si="60"/>
        <v>200</v>
      </c>
      <c r="I118" s="2">
        <f t="shared" si="60"/>
        <v>0</v>
      </c>
      <c r="J118" s="2">
        <f t="shared" si="60"/>
        <v>-56</v>
      </c>
      <c r="K118" s="2">
        <f t="shared" si="60"/>
        <v>18</v>
      </c>
      <c r="L118" s="2">
        <f t="shared" si="60"/>
        <v>-66</v>
      </c>
      <c r="M118" s="2">
        <f t="shared" si="60"/>
        <v>-1</v>
      </c>
      <c r="N118" s="2">
        <f t="shared" si="60"/>
        <v>200</v>
      </c>
      <c r="O118" s="2">
        <f t="shared" si="60"/>
        <v>-241</v>
      </c>
      <c r="P118" s="2">
        <f t="shared" si="60"/>
        <v>200</v>
      </c>
      <c r="Q118" s="2">
        <f t="shared" si="60"/>
        <v>-51</v>
      </c>
      <c r="R118" s="2">
        <f t="shared" si="60"/>
        <v>200</v>
      </c>
      <c r="S118" s="25">
        <f t="shared" si="54"/>
        <v>533</v>
      </c>
      <c r="T118" s="7" t="s">
        <v>103</v>
      </c>
    </row>
    <row r="119" ht="12.75" customHeight="1">
      <c r="A119" s="2" t="s">
        <v>828</v>
      </c>
      <c r="B119" s="2" t="s">
        <v>22</v>
      </c>
      <c r="C119" s="14" t="s">
        <v>829</v>
      </c>
      <c r="F119" s="40">
        <f t="shared" ref="F119:R119" si="61">IF(ISBLANK(F33),"",F33+F81)</f>
        <v>0</v>
      </c>
      <c r="G119" s="40">
        <f t="shared" si="61"/>
        <v>0</v>
      </c>
      <c r="H119" s="40">
        <f t="shared" si="61"/>
        <v>0</v>
      </c>
      <c r="I119" s="2">
        <f t="shared" si="61"/>
        <v>203</v>
      </c>
      <c r="J119" s="2">
        <f t="shared" si="61"/>
        <v>299</v>
      </c>
      <c r="K119" s="2">
        <f t="shared" si="61"/>
        <v>299</v>
      </c>
      <c r="L119" s="2">
        <f t="shared" si="61"/>
        <v>299</v>
      </c>
      <c r="M119" s="2">
        <f t="shared" si="61"/>
        <v>-1969</v>
      </c>
      <c r="N119" s="2">
        <f t="shared" si="61"/>
        <v>0</v>
      </c>
      <c r="O119" s="2">
        <f t="shared" si="61"/>
        <v>0</v>
      </c>
      <c r="P119" s="2">
        <f t="shared" si="61"/>
        <v>-841</v>
      </c>
      <c r="Q119" s="2">
        <f t="shared" si="61"/>
        <v>0</v>
      </c>
      <c r="R119" s="2">
        <f t="shared" si="61"/>
        <v>0</v>
      </c>
      <c r="S119" s="25">
        <f t="shared" si="54"/>
        <v>-1710</v>
      </c>
      <c r="T119" s="7" t="s">
        <v>22</v>
      </c>
    </row>
    <row r="120" ht="26.25" customHeight="1">
      <c r="A120" s="2" t="s">
        <v>828</v>
      </c>
      <c r="B120" s="2" t="s">
        <v>428</v>
      </c>
      <c r="C120" s="14" t="s">
        <v>829</v>
      </c>
      <c r="F120" s="40">
        <f t="shared" ref="F120:R120" si="62">IF(ISBLANK(F34),"",F34+F82)</f>
        <v>255</v>
      </c>
      <c r="G120" s="40">
        <f t="shared" si="62"/>
        <v>-50</v>
      </c>
      <c r="H120" s="40">
        <f t="shared" si="62"/>
        <v>519</v>
      </c>
      <c r="I120" s="2">
        <f t="shared" si="62"/>
        <v>519</v>
      </c>
      <c r="J120" s="2">
        <f t="shared" si="62"/>
        <v>519</v>
      </c>
      <c r="K120" s="2">
        <f t="shared" si="62"/>
        <v>519</v>
      </c>
      <c r="L120" s="2">
        <f t="shared" si="62"/>
        <v>519</v>
      </c>
      <c r="M120" s="2">
        <f t="shared" si="62"/>
        <v>519</v>
      </c>
      <c r="N120" s="2">
        <f t="shared" si="62"/>
        <v>519</v>
      </c>
      <c r="O120" s="2">
        <f t="shared" si="62"/>
        <v>519</v>
      </c>
      <c r="P120" s="2">
        <f t="shared" si="62"/>
        <v>519</v>
      </c>
      <c r="Q120" s="2">
        <f t="shared" si="62"/>
        <v>519</v>
      </c>
      <c r="R120" s="2">
        <f t="shared" si="62"/>
        <v>519</v>
      </c>
      <c r="S120" s="25">
        <f t="shared" si="54"/>
        <v>5914</v>
      </c>
      <c r="T120" s="7" t="s">
        <v>428</v>
      </c>
    </row>
    <row r="121" ht="12.75" customHeight="1">
      <c r="A121" s="2" t="s">
        <v>828</v>
      </c>
      <c r="B121" s="2" t="s">
        <v>800</v>
      </c>
      <c r="C121" s="14" t="s">
        <v>829</v>
      </c>
      <c r="F121" s="40">
        <f t="shared" ref="F121:R121" si="63">IF(ISBLANK(F35),"",F35+F83)</f>
        <v>360</v>
      </c>
      <c r="G121" s="40">
        <f t="shared" si="63"/>
        <v>30</v>
      </c>
      <c r="H121" s="40">
        <f t="shared" si="63"/>
        <v>30</v>
      </c>
      <c r="I121" s="2">
        <f t="shared" si="63"/>
        <v>30</v>
      </c>
      <c r="J121" s="2">
        <f t="shared" si="63"/>
        <v>30</v>
      </c>
      <c r="K121" s="2">
        <f t="shared" si="63"/>
        <v>30</v>
      </c>
      <c r="L121" s="2">
        <f t="shared" si="63"/>
        <v>30</v>
      </c>
      <c r="M121" s="2">
        <f t="shared" si="63"/>
        <v>30</v>
      </c>
      <c r="N121" s="2">
        <f t="shared" si="63"/>
        <v>30</v>
      </c>
      <c r="O121" s="2">
        <f t="shared" si="63"/>
        <v>30</v>
      </c>
      <c r="P121" s="2">
        <f t="shared" si="63"/>
        <v>30</v>
      </c>
      <c r="Q121" s="2">
        <f t="shared" si="63"/>
        <v>30</v>
      </c>
      <c r="R121" s="2">
        <f t="shared" si="63"/>
        <v>30</v>
      </c>
      <c r="S121" s="25">
        <f t="shared" si="54"/>
        <v>720</v>
      </c>
      <c r="T121" s="7" t="s">
        <v>800</v>
      </c>
      <c r="U121" s="6"/>
      <c r="W121" s="2">
        <f t="shared" ref="W121:W125" si="65">-1*S121</f>
        <v>-720</v>
      </c>
    </row>
    <row r="122" ht="12.75" customHeight="1">
      <c r="A122" s="2" t="s">
        <v>828</v>
      </c>
      <c r="B122" s="2" t="s">
        <v>54</v>
      </c>
      <c r="C122" s="14" t="s">
        <v>829</v>
      </c>
      <c r="F122" s="40">
        <f t="shared" ref="F122:R122" si="64">IF(ISBLANK(F36),"",F36+F84)</f>
        <v>3492.93</v>
      </c>
      <c r="G122" s="40">
        <f t="shared" si="64"/>
        <v>-8.6</v>
      </c>
      <c r="H122" s="40">
        <f t="shared" si="64"/>
        <v>600</v>
      </c>
      <c r="I122" s="2">
        <f t="shared" si="64"/>
        <v>600</v>
      </c>
      <c r="J122" s="2">
        <f t="shared" si="64"/>
        <v>600</v>
      </c>
      <c r="K122" s="2">
        <f t="shared" si="64"/>
        <v>600</v>
      </c>
      <c r="L122" s="2">
        <f t="shared" si="64"/>
        <v>600</v>
      </c>
      <c r="M122" s="2">
        <f t="shared" si="64"/>
        <v>-1672.13</v>
      </c>
      <c r="N122" s="2">
        <f t="shared" si="64"/>
        <v>490</v>
      </c>
      <c r="O122" s="2">
        <f t="shared" si="64"/>
        <v>422.14</v>
      </c>
      <c r="P122" s="2">
        <f t="shared" si="64"/>
        <v>116.86</v>
      </c>
      <c r="Q122" s="2">
        <f t="shared" si="64"/>
        <v>-315.3</v>
      </c>
      <c r="R122" s="2">
        <f t="shared" si="64"/>
        <v>-2016.66</v>
      </c>
      <c r="S122" s="25">
        <f t="shared" si="54"/>
        <v>3509.24</v>
      </c>
      <c r="T122" s="7" t="s">
        <v>54</v>
      </c>
      <c r="V122" s="6"/>
      <c r="W122" s="2">
        <f t="shared" si="65"/>
        <v>-3509.24</v>
      </c>
    </row>
    <row r="123" ht="12.75" customHeight="1">
      <c r="A123" s="2" t="s">
        <v>828</v>
      </c>
      <c r="B123" s="2" t="s">
        <v>801</v>
      </c>
      <c r="C123" s="14" t="s">
        <v>829</v>
      </c>
      <c r="F123" s="40">
        <f t="shared" ref="F123:R123" si="66">IF(ISBLANK(F37),"",F37+F85)</f>
        <v>0</v>
      </c>
      <c r="G123" s="40">
        <f t="shared" si="66"/>
        <v>0</v>
      </c>
      <c r="H123" s="40">
        <f t="shared" si="66"/>
        <v>0</v>
      </c>
      <c r="I123" s="2">
        <f t="shared" si="66"/>
        <v>0</v>
      </c>
      <c r="J123" s="2">
        <f t="shared" si="66"/>
        <v>0</v>
      </c>
      <c r="K123" s="2">
        <f t="shared" si="66"/>
        <v>0</v>
      </c>
      <c r="L123" s="2">
        <f t="shared" si="66"/>
        <v>0</v>
      </c>
      <c r="M123" s="2">
        <f t="shared" si="66"/>
        <v>0</v>
      </c>
      <c r="N123" s="2">
        <f t="shared" si="66"/>
        <v>0</v>
      </c>
      <c r="O123" s="2">
        <f t="shared" si="66"/>
        <v>0</v>
      </c>
      <c r="P123" s="2">
        <f t="shared" si="66"/>
        <v>0</v>
      </c>
      <c r="Q123" s="2">
        <f t="shared" si="66"/>
        <v>0</v>
      </c>
      <c r="R123" s="2">
        <f t="shared" si="66"/>
        <v>0</v>
      </c>
      <c r="S123" s="25">
        <f t="shared" si="54"/>
        <v>0</v>
      </c>
      <c r="T123" s="7" t="s">
        <v>801</v>
      </c>
      <c r="V123" s="2" t="s">
        <v>831</v>
      </c>
      <c r="W123" s="2">
        <f t="shared" si="65"/>
        <v>0</v>
      </c>
    </row>
    <row r="124" ht="12.75" customHeight="1">
      <c r="A124" s="2" t="s">
        <v>828</v>
      </c>
      <c r="B124" s="2" t="s">
        <v>38</v>
      </c>
      <c r="C124" s="14" t="s">
        <v>829</v>
      </c>
      <c r="F124" s="40">
        <f t="shared" ref="F124:R124" si="67">IF(ISBLANK(F38),"",F38+F86)</f>
        <v>2622.363636</v>
      </c>
      <c r="G124" s="40">
        <f t="shared" si="67"/>
        <v>222.3636364</v>
      </c>
      <c r="H124" s="40">
        <f t="shared" si="67"/>
        <v>142.3636364</v>
      </c>
      <c r="I124" s="2">
        <f t="shared" si="67"/>
        <v>-107.6363636</v>
      </c>
      <c r="J124" s="2">
        <f t="shared" si="67"/>
        <v>-73.63636364</v>
      </c>
      <c r="K124" s="2">
        <f t="shared" si="67"/>
        <v>775.3636364</v>
      </c>
      <c r="L124" s="2">
        <f t="shared" si="67"/>
        <v>917.3636364</v>
      </c>
      <c r="M124" s="2">
        <f t="shared" si="67"/>
        <v>551.3636364</v>
      </c>
      <c r="N124" s="2">
        <f t="shared" si="67"/>
        <v>-28.63636364</v>
      </c>
      <c r="O124" s="2">
        <f t="shared" si="67"/>
        <v>-1262.636364</v>
      </c>
      <c r="P124" s="2">
        <f t="shared" si="67"/>
        <v>-127.6363636</v>
      </c>
      <c r="Q124" s="2">
        <f t="shared" si="67"/>
        <v>-213.6363636</v>
      </c>
      <c r="R124" s="2">
        <f t="shared" si="67"/>
        <v>794.3636364</v>
      </c>
      <c r="S124" s="25">
        <f t="shared" si="54"/>
        <v>4211.727273</v>
      </c>
      <c r="T124" s="6" t="s">
        <v>38</v>
      </c>
      <c r="W124" s="2">
        <f t="shared" si="65"/>
        <v>-4211.727273</v>
      </c>
    </row>
    <row r="125" ht="12.75" customHeight="1">
      <c r="A125" s="2" t="s">
        <v>828</v>
      </c>
      <c r="B125" s="2" t="s">
        <v>47</v>
      </c>
      <c r="C125" s="14" t="s">
        <v>829</v>
      </c>
      <c r="F125" s="40">
        <f t="shared" ref="F125:R125" si="68">IF(ISBLANK(F39),"",F39+F87)</f>
        <v>7804.36</v>
      </c>
      <c r="G125" s="40">
        <f t="shared" si="68"/>
        <v>583</v>
      </c>
      <c r="H125" s="40">
        <f t="shared" si="68"/>
        <v>74</v>
      </c>
      <c r="I125" s="2">
        <f t="shared" si="68"/>
        <v>-2219.21</v>
      </c>
      <c r="J125" s="2">
        <f t="shared" si="68"/>
        <v>-156</v>
      </c>
      <c r="K125" s="2">
        <f t="shared" si="68"/>
        <v>-444.94</v>
      </c>
      <c r="L125" s="2">
        <f t="shared" si="68"/>
        <v>-630</v>
      </c>
      <c r="M125" s="2">
        <f t="shared" si="68"/>
        <v>953</v>
      </c>
      <c r="N125" s="2">
        <f t="shared" si="68"/>
        <v>-1052</v>
      </c>
      <c r="O125" s="2">
        <f t="shared" si="68"/>
        <v>1302</v>
      </c>
      <c r="P125" s="2">
        <f t="shared" si="68"/>
        <v>-1118</v>
      </c>
      <c r="Q125" s="2">
        <f t="shared" si="68"/>
        <v>1214</v>
      </c>
      <c r="R125" s="2">
        <f t="shared" si="68"/>
        <v>1345</v>
      </c>
      <c r="S125" s="25">
        <f t="shared" si="54"/>
        <v>7655.21</v>
      </c>
      <c r="T125" s="7" t="s">
        <v>47</v>
      </c>
      <c r="W125" s="2">
        <f t="shared" si="65"/>
        <v>-7655.21</v>
      </c>
    </row>
    <row r="126" ht="23.25" customHeight="1">
      <c r="A126" s="2" t="s">
        <v>828</v>
      </c>
      <c r="B126" s="2" t="s">
        <v>52</v>
      </c>
      <c r="C126" s="14" t="s">
        <v>829</v>
      </c>
      <c r="F126" s="40">
        <f t="shared" ref="F126:R126" si="69">IF(ISBLANK(F40),"",F40+F88)</f>
        <v>7266.196364</v>
      </c>
      <c r="G126" s="40">
        <f t="shared" si="69"/>
        <v>1477.499697</v>
      </c>
      <c r="H126" s="40">
        <f t="shared" si="69"/>
        <v>-392.500303</v>
      </c>
      <c r="I126" s="2">
        <f t="shared" si="69"/>
        <v>203.199697</v>
      </c>
      <c r="J126" s="2">
        <f t="shared" si="69"/>
        <v>-2844.750303</v>
      </c>
      <c r="K126" s="2">
        <f t="shared" si="69"/>
        <v>-2334.500303</v>
      </c>
      <c r="L126" s="2">
        <f t="shared" si="69"/>
        <v>1477.499697</v>
      </c>
      <c r="M126" s="2">
        <f t="shared" si="69"/>
        <v>562.499697</v>
      </c>
      <c r="N126" s="2">
        <f t="shared" si="69"/>
        <v>-1811.500303</v>
      </c>
      <c r="O126" s="2">
        <f t="shared" si="69"/>
        <v>-96.01030303</v>
      </c>
      <c r="P126" s="2">
        <f t="shared" si="69"/>
        <v>-8737.000303</v>
      </c>
      <c r="Q126" s="2">
        <f t="shared" si="69"/>
        <v>-1849.500303</v>
      </c>
      <c r="R126" s="2">
        <f t="shared" si="69"/>
        <v>526.499697</v>
      </c>
      <c r="S126" s="25">
        <f t="shared" si="54"/>
        <v>-6552.367273</v>
      </c>
      <c r="T126" s="7" t="s">
        <v>52</v>
      </c>
      <c r="W126" s="2">
        <f>-3644.5+250</f>
        <v>-3394.5</v>
      </c>
    </row>
    <row r="127" ht="12.75" customHeight="1">
      <c r="A127" s="2" t="s">
        <v>828</v>
      </c>
      <c r="B127" s="2" t="s">
        <v>42</v>
      </c>
      <c r="C127" s="14" t="s">
        <v>829</v>
      </c>
      <c r="F127" s="40">
        <f t="shared" ref="F127:R127" si="70">IF(ISBLANK(F41),"",F41+F89)</f>
        <v>-1699</v>
      </c>
      <c r="G127" s="40">
        <f t="shared" si="70"/>
        <v>45.5</v>
      </c>
      <c r="H127" s="40">
        <f t="shared" si="70"/>
        <v>115.5</v>
      </c>
      <c r="I127" s="2">
        <f t="shared" si="70"/>
        <v>101.5</v>
      </c>
      <c r="J127" s="2">
        <f t="shared" si="70"/>
        <v>-201.5</v>
      </c>
      <c r="K127" s="2">
        <f t="shared" si="70"/>
        <v>-137.5</v>
      </c>
      <c r="L127" s="2">
        <f t="shared" si="70"/>
        <v>247.5</v>
      </c>
      <c r="M127" s="2">
        <f t="shared" si="70"/>
        <v>67.5</v>
      </c>
      <c r="N127" s="2">
        <f t="shared" si="70"/>
        <v>-88.5</v>
      </c>
      <c r="O127" s="2">
        <f t="shared" si="70"/>
        <v>123.5</v>
      </c>
      <c r="P127" s="2">
        <f t="shared" si="70"/>
        <v>-22.5</v>
      </c>
      <c r="Q127" s="2">
        <f t="shared" si="70"/>
        <v>137.5</v>
      </c>
      <c r="R127" s="2">
        <f t="shared" si="70"/>
        <v>122.5</v>
      </c>
      <c r="S127" s="25">
        <f t="shared" si="54"/>
        <v>-1188</v>
      </c>
      <c r="T127" s="7" t="s">
        <v>42</v>
      </c>
      <c r="W127" s="6">
        <v>4786.5</v>
      </c>
    </row>
    <row r="128" ht="12.75" customHeight="1">
      <c r="A128" s="2" t="s">
        <v>828</v>
      </c>
      <c r="B128" s="2" t="s">
        <v>133</v>
      </c>
      <c r="C128" s="14" t="s">
        <v>829</v>
      </c>
      <c r="F128" s="40">
        <f t="shared" ref="F128:R128" si="71">IF(ISBLANK(F42),"",F42+F90)</f>
        <v>-488</v>
      </c>
      <c r="G128" s="40">
        <f t="shared" si="71"/>
        <v>0</v>
      </c>
      <c r="H128" s="40">
        <f t="shared" si="71"/>
        <v>0</v>
      </c>
      <c r="I128" s="2">
        <f t="shared" si="71"/>
        <v>0</v>
      </c>
      <c r="J128" s="2">
        <f t="shared" si="71"/>
        <v>0</v>
      </c>
      <c r="K128" s="2">
        <f t="shared" si="71"/>
        <v>0</v>
      </c>
      <c r="L128" s="2">
        <f t="shared" si="71"/>
        <v>0</v>
      </c>
      <c r="M128" s="2">
        <f t="shared" si="71"/>
        <v>0</v>
      </c>
      <c r="N128" s="2">
        <f t="shared" si="71"/>
        <v>-200</v>
      </c>
      <c r="O128" s="2">
        <f t="shared" si="71"/>
        <v>0</v>
      </c>
      <c r="P128" s="2">
        <f t="shared" si="71"/>
        <v>-300</v>
      </c>
      <c r="Q128" s="2">
        <f t="shared" si="71"/>
        <v>0</v>
      </c>
      <c r="R128" s="2">
        <f t="shared" si="71"/>
        <v>0</v>
      </c>
      <c r="S128" s="25">
        <f t="shared" si="54"/>
        <v>-988</v>
      </c>
      <c r="T128" s="7" t="s">
        <v>133</v>
      </c>
    </row>
    <row r="129" ht="12.75" customHeight="1">
      <c r="A129" s="2" t="s">
        <v>828</v>
      </c>
      <c r="B129" s="2" t="s">
        <v>803</v>
      </c>
      <c r="C129" s="14" t="s">
        <v>829</v>
      </c>
      <c r="F129" s="40">
        <f t="shared" ref="F129:R129" si="72">IF(ISBLANK(F43),"",F43+F91)</f>
        <v>0</v>
      </c>
      <c r="G129" s="40">
        <f t="shared" si="72"/>
        <v>0</v>
      </c>
      <c r="H129" s="40">
        <f t="shared" si="72"/>
        <v>0</v>
      </c>
      <c r="I129" s="2">
        <f t="shared" si="72"/>
        <v>0</v>
      </c>
      <c r="J129" s="2">
        <f t="shared" si="72"/>
        <v>0</v>
      </c>
      <c r="K129" s="2">
        <f t="shared" si="72"/>
        <v>0</v>
      </c>
      <c r="L129" s="2">
        <f t="shared" si="72"/>
        <v>0</v>
      </c>
      <c r="M129" s="2">
        <f t="shared" si="72"/>
        <v>0</v>
      </c>
      <c r="N129" s="2">
        <f t="shared" si="72"/>
        <v>0</v>
      </c>
      <c r="O129" s="2">
        <f t="shared" si="72"/>
        <v>0</v>
      </c>
      <c r="P129" s="2">
        <f t="shared" si="72"/>
        <v>0</v>
      </c>
      <c r="Q129" s="2">
        <f t="shared" si="72"/>
        <v>0</v>
      </c>
      <c r="R129" s="2">
        <f t="shared" si="72"/>
        <v>0</v>
      </c>
      <c r="S129" s="25">
        <f t="shared" si="54"/>
        <v>0</v>
      </c>
      <c r="T129" s="7" t="s">
        <v>803</v>
      </c>
      <c r="W129" s="2">
        <f>20-267</f>
        <v>-247</v>
      </c>
      <c r="AC129" s="7"/>
    </row>
    <row r="130" ht="27.0" customHeight="1">
      <c r="A130" s="2" t="s">
        <v>828</v>
      </c>
      <c r="B130" s="2" t="s">
        <v>164</v>
      </c>
      <c r="C130" s="14" t="s">
        <v>829</v>
      </c>
      <c r="F130" s="40">
        <f t="shared" ref="F130:R130" si="73">IF(ISBLANK(F44),"",F44+F92)</f>
        <v>24</v>
      </c>
      <c r="G130" s="40">
        <f t="shared" si="73"/>
        <v>100</v>
      </c>
      <c r="H130" s="40">
        <f t="shared" si="73"/>
        <v>-339</v>
      </c>
      <c r="I130" s="2">
        <f t="shared" si="73"/>
        <v>497</v>
      </c>
      <c r="J130" s="2">
        <f t="shared" si="73"/>
        <v>130</v>
      </c>
      <c r="K130" s="2">
        <f t="shared" si="73"/>
        <v>-180</v>
      </c>
      <c r="L130" s="2">
        <f t="shared" si="73"/>
        <v>342</v>
      </c>
      <c r="M130" s="2">
        <f t="shared" si="73"/>
        <v>100</v>
      </c>
      <c r="N130" s="2">
        <f t="shared" si="73"/>
        <v>118</v>
      </c>
      <c r="O130" s="2">
        <f t="shared" si="73"/>
        <v>100</v>
      </c>
      <c r="P130" s="2">
        <f t="shared" si="73"/>
        <v>100</v>
      </c>
      <c r="Q130" s="2">
        <f t="shared" si="73"/>
        <v>100</v>
      </c>
      <c r="R130" s="2">
        <f t="shared" si="73"/>
        <v>100</v>
      </c>
      <c r="S130" s="25">
        <f t="shared" si="54"/>
        <v>1192</v>
      </c>
      <c r="T130" s="7" t="s">
        <v>164</v>
      </c>
      <c r="W130" s="2">
        <v>146.0</v>
      </c>
      <c r="AC130" s="7"/>
    </row>
    <row r="131" ht="30.75" customHeight="1">
      <c r="A131" s="2" t="s">
        <v>828</v>
      </c>
      <c r="B131" s="2" t="s">
        <v>50</v>
      </c>
      <c r="C131" s="14" t="s">
        <v>829</v>
      </c>
      <c r="F131" s="40">
        <f t="shared" ref="F131:R131" si="74">IF(ISBLANK(F45),"",F45+F93)</f>
        <v>-3362</v>
      </c>
      <c r="G131" s="40">
        <f t="shared" si="74"/>
        <v>-295</v>
      </c>
      <c r="H131" s="40">
        <f t="shared" si="74"/>
        <v>285</v>
      </c>
      <c r="I131" s="2">
        <f t="shared" si="74"/>
        <v>-295</v>
      </c>
      <c r="J131" s="2">
        <f t="shared" si="74"/>
        <v>-1280</v>
      </c>
      <c r="K131" s="2">
        <f t="shared" si="74"/>
        <v>285</v>
      </c>
      <c r="L131" s="2">
        <f t="shared" si="74"/>
        <v>285</v>
      </c>
      <c r="M131" s="2">
        <f t="shared" si="74"/>
        <v>285</v>
      </c>
      <c r="N131" s="2">
        <f t="shared" si="74"/>
        <v>5</v>
      </c>
      <c r="O131" s="2">
        <f t="shared" si="74"/>
        <v>-145</v>
      </c>
      <c r="P131" s="2">
        <f t="shared" si="74"/>
        <v>-165</v>
      </c>
      <c r="Q131" s="2">
        <f t="shared" si="74"/>
        <v>285</v>
      </c>
      <c r="R131" s="2">
        <f t="shared" si="74"/>
        <v>-89</v>
      </c>
      <c r="S131" s="25">
        <f t="shared" si="54"/>
        <v>-4201</v>
      </c>
      <c r="T131" s="7" t="s">
        <v>50</v>
      </c>
      <c r="W131" s="2">
        <f>-1*S131</f>
        <v>4201</v>
      </c>
      <c r="AC131" s="7"/>
    </row>
    <row r="132" ht="12.75" customHeight="1">
      <c r="A132" s="2" t="s">
        <v>828</v>
      </c>
      <c r="B132" s="2" t="s">
        <v>304</v>
      </c>
      <c r="C132" s="14" t="s">
        <v>829</v>
      </c>
      <c r="F132" s="43">
        <f t="shared" ref="F132:R132" si="75">IF(ISBLANK(F46),"",F46+F94)</f>
        <v>1453</v>
      </c>
      <c r="G132" s="2">
        <f t="shared" si="75"/>
        <v>250</v>
      </c>
      <c r="H132" s="2">
        <f t="shared" si="75"/>
        <v>250</v>
      </c>
      <c r="I132" s="2">
        <f t="shared" si="75"/>
        <v>250</v>
      </c>
      <c r="J132" s="2">
        <f t="shared" si="75"/>
        <v>-250</v>
      </c>
      <c r="K132" s="2">
        <f t="shared" si="75"/>
        <v>-499</v>
      </c>
      <c r="L132" s="2">
        <f t="shared" si="75"/>
        <v>250</v>
      </c>
      <c r="M132" s="2">
        <f t="shared" si="75"/>
        <v>250</v>
      </c>
      <c r="N132" s="2">
        <f t="shared" si="75"/>
        <v>250</v>
      </c>
      <c r="O132" s="2">
        <f t="shared" si="75"/>
        <v>250</v>
      </c>
      <c r="P132" s="2">
        <f t="shared" si="75"/>
        <v>250</v>
      </c>
      <c r="Q132" s="2">
        <f t="shared" si="75"/>
        <v>250</v>
      </c>
      <c r="R132" s="2">
        <f t="shared" si="75"/>
        <v>250</v>
      </c>
      <c r="S132" s="25">
        <f t="shared" si="54"/>
        <v>3204</v>
      </c>
      <c r="T132" s="7" t="s">
        <v>304</v>
      </c>
      <c r="AC132" s="7"/>
    </row>
    <row r="133" ht="12.75" customHeight="1">
      <c r="A133" s="2" t="s">
        <v>828</v>
      </c>
      <c r="B133" s="2" t="s">
        <v>72</v>
      </c>
      <c r="C133" s="14" t="s">
        <v>829</v>
      </c>
      <c r="F133" s="43">
        <f t="shared" ref="F133:R133" si="76">IF(ISBLANK(F47),"",F47+F95)</f>
        <v>-1417</v>
      </c>
      <c r="G133" s="2">
        <f t="shared" si="76"/>
        <v>-216</v>
      </c>
      <c r="H133" s="2">
        <f t="shared" si="76"/>
        <v>-305</v>
      </c>
      <c r="I133" s="2">
        <f t="shared" si="76"/>
        <v>200</v>
      </c>
      <c r="J133" s="2">
        <f t="shared" si="76"/>
        <v>200</v>
      </c>
      <c r="K133" s="2">
        <f t="shared" si="76"/>
        <v>-352</v>
      </c>
      <c r="L133" s="2">
        <f t="shared" si="76"/>
        <v>200</v>
      </c>
      <c r="M133" s="2">
        <f t="shared" si="76"/>
        <v>200</v>
      </c>
      <c r="N133" s="2">
        <f t="shared" si="76"/>
        <v>-369</v>
      </c>
      <c r="O133" s="2">
        <f t="shared" si="76"/>
        <v>200</v>
      </c>
      <c r="P133" s="2">
        <f t="shared" si="76"/>
        <v>200</v>
      </c>
      <c r="Q133" s="2">
        <f t="shared" si="76"/>
        <v>-51</v>
      </c>
      <c r="R133" s="2">
        <f t="shared" si="76"/>
        <v>-28</v>
      </c>
      <c r="S133" s="25">
        <f t="shared" si="54"/>
        <v>-1538</v>
      </c>
      <c r="T133" s="7" t="s">
        <v>72</v>
      </c>
      <c r="W133" s="2">
        <f>-1*S133</f>
        <v>1538</v>
      </c>
      <c r="AC133" s="6"/>
    </row>
    <row r="134" ht="26.25" customHeight="1">
      <c r="A134" s="2" t="s">
        <v>828</v>
      </c>
      <c r="B134" s="2" t="s">
        <v>13</v>
      </c>
      <c r="C134" s="14" t="s">
        <v>829</v>
      </c>
      <c r="F134" s="43">
        <f t="shared" ref="F134:R134" si="77">IF(ISBLANK(F48),"",F48+F96)</f>
        <v>-8328.16</v>
      </c>
      <c r="G134" s="2">
        <f t="shared" si="77"/>
        <v>3481.72</v>
      </c>
      <c r="H134" s="2">
        <f t="shared" si="77"/>
        <v>353.72</v>
      </c>
      <c r="I134" s="2">
        <f t="shared" si="77"/>
        <v>1293.72</v>
      </c>
      <c r="J134" s="2">
        <f t="shared" si="77"/>
        <v>821.72</v>
      </c>
      <c r="K134" s="2">
        <f t="shared" si="77"/>
        <v>-15551.28</v>
      </c>
      <c r="L134" s="2">
        <f t="shared" si="77"/>
        <v>353.72</v>
      </c>
      <c r="M134" s="2">
        <f t="shared" si="77"/>
        <v>-16593.68</v>
      </c>
      <c r="N134" s="2">
        <f t="shared" si="77"/>
        <v>-13887.17</v>
      </c>
      <c r="O134" s="2">
        <f t="shared" si="77"/>
        <v>-92981.97</v>
      </c>
      <c r="P134" s="2">
        <f t="shared" si="77"/>
        <v>-17684.14</v>
      </c>
      <c r="Q134" s="2">
        <f t="shared" si="77"/>
        <v>-16415.92</v>
      </c>
      <c r="R134" s="2">
        <f t="shared" si="77"/>
        <v>-10325.86</v>
      </c>
      <c r="S134" s="25">
        <f t="shared" si="54"/>
        <v>-185463.58</v>
      </c>
      <c r="T134" s="7" t="s">
        <v>13</v>
      </c>
      <c r="W134" s="2">
        <f>8585.14-146-1111.575256917</f>
        <v>7327.564743</v>
      </c>
      <c r="AC134" s="6"/>
    </row>
    <row r="135" ht="12.75" customHeight="1">
      <c r="A135" s="2" t="s">
        <v>828</v>
      </c>
      <c r="B135" s="2" t="s">
        <v>18</v>
      </c>
      <c r="C135" s="14" t="s">
        <v>829</v>
      </c>
      <c r="F135" s="43">
        <f t="shared" ref="F135:R135" si="78">IF(ISBLANK(F49),"",F49+F97)</f>
        <v>55475</v>
      </c>
      <c r="G135" s="2">
        <f t="shared" si="78"/>
        <v>2257</v>
      </c>
      <c r="H135" s="2">
        <f t="shared" si="78"/>
        <v>2257</v>
      </c>
      <c r="I135" s="2">
        <f t="shared" si="78"/>
        <v>2257</v>
      </c>
      <c r="J135" s="2">
        <f t="shared" si="78"/>
        <v>2257</v>
      </c>
      <c r="K135" s="2">
        <f t="shared" si="78"/>
        <v>52257</v>
      </c>
      <c r="L135" s="2">
        <f t="shared" si="78"/>
        <v>12522</v>
      </c>
      <c r="M135" s="2">
        <f t="shared" si="78"/>
        <v>2257</v>
      </c>
      <c r="N135" s="2">
        <f t="shared" si="78"/>
        <v>1257</v>
      </c>
      <c r="O135" s="2">
        <f t="shared" si="78"/>
        <v>3257</v>
      </c>
      <c r="P135" s="2">
        <f t="shared" si="78"/>
        <v>2257</v>
      </c>
      <c r="Q135" s="2">
        <f t="shared" si="78"/>
        <v>2257</v>
      </c>
      <c r="R135" s="2">
        <f t="shared" si="78"/>
        <v>2257</v>
      </c>
      <c r="S135" s="25">
        <f t="shared" si="54"/>
        <v>142824</v>
      </c>
      <c r="T135" s="7" t="s">
        <v>18</v>
      </c>
      <c r="W135" s="2">
        <v>26739.06</v>
      </c>
      <c r="AC135" s="7"/>
    </row>
    <row r="136" ht="12.75" customHeight="1">
      <c r="A136" s="2" t="s">
        <v>828</v>
      </c>
      <c r="B136" s="2" t="s">
        <v>153</v>
      </c>
      <c r="C136" s="14" t="s">
        <v>829</v>
      </c>
      <c r="F136" s="12">
        <f t="shared" ref="F136:R136" si="79">IF(ISBLANK(F50),"",F50+F98)</f>
        <v>-4922.72</v>
      </c>
      <c r="G136" s="2">
        <f t="shared" si="79"/>
        <v>1250</v>
      </c>
      <c r="H136" s="2">
        <f t="shared" si="79"/>
        <v>1250</v>
      </c>
      <c r="I136" s="2">
        <f t="shared" si="79"/>
        <v>1250</v>
      </c>
      <c r="J136" s="2">
        <f t="shared" si="79"/>
        <v>1250</v>
      </c>
      <c r="K136" s="2">
        <f t="shared" si="79"/>
        <v>1250</v>
      </c>
      <c r="L136" s="7">
        <f t="shared" si="79"/>
        <v>-11468.25</v>
      </c>
      <c r="M136" s="7">
        <f t="shared" si="79"/>
        <v>2434.06</v>
      </c>
      <c r="N136" s="2">
        <f t="shared" si="79"/>
        <v>4752</v>
      </c>
      <c r="O136" s="2">
        <f t="shared" si="79"/>
        <v>556.84</v>
      </c>
      <c r="P136" s="2">
        <f t="shared" si="79"/>
        <v>1250</v>
      </c>
      <c r="Q136" s="2">
        <f t="shared" si="79"/>
        <v>1250</v>
      </c>
      <c r="R136" s="2">
        <f t="shared" si="79"/>
        <v>1250</v>
      </c>
      <c r="S136" s="25">
        <f t="shared" si="54"/>
        <v>1351.93</v>
      </c>
      <c r="T136" s="6" t="s">
        <v>153</v>
      </c>
      <c r="W136" s="2">
        <f>-1*S136</f>
        <v>-1351.93</v>
      </c>
      <c r="AC136" s="6"/>
    </row>
    <row r="137" ht="12.75" customHeight="1">
      <c r="A137" s="2" t="s">
        <v>828</v>
      </c>
      <c r="B137" s="2" t="s">
        <v>805</v>
      </c>
      <c r="C137" s="14" t="s">
        <v>829</v>
      </c>
      <c r="F137" s="43">
        <f t="shared" ref="F137:R137" si="80">IF(ISBLANK(F51),"",F51+F99)</f>
        <v>4700</v>
      </c>
      <c r="G137" s="2">
        <f t="shared" si="80"/>
        <v>350</v>
      </c>
      <c r="H137" s="2">
        <f t="shared" si="80"/>
        <v>350</v>
      </c>
      <c r="I137" s="2">
        <f t="shared" si="80"/>
        <v>350</v>
      </c>
      <c r="J137" s="2">
        <f t="shared" si="80"/>
        <v>350</v>
      </c>
      <c r="K137" s="2">
        <f t="shared" si="80"/>
        <v>350</v>
      </c>
      <c r="L137" s="2">
        <f t="shared" si="80"/>
        <v>350</v>
      </c>
      <c r="M137" s="2">
        <f t="shared" si="80"/>
        <v>350</v>
      </c>
      <c r="N137" s="2">
        <f t="shared" si="80"/>
        <v>350</v>
      </c>
      <c r="O137" s="2">
        <f t="shared" si="80"/>
        <v>350</v>
      </c>
      <c r="P137" s="2">
        <f t="shared" si="80"/>
        <v>350</v>
      </c>
      <c r="Q137" s="2">
        <f t="shared" si="80"/>
        <v>350</v>
      </c>
      <c r="R137" s="2">
        <f t="shared" si="80"/>
        <v>350</v>
      </c>
      <c r="S137" s="25">
        <f t="shared" si="54"/>
        <v>8900</v>
      </c>
      <c r="T137" s="7" t="s">
        <v>805</v>
      </c>
      <c r="AC137" s="7"/>
    </row>
    <row r="138" ht="12.75" customHeight="1">
      <c r="A138" s="2" t="s">
        <v>828</v>
      </c>
      <c r="B138" s="2" t="s">
        <v>31</v>
      </c>
      <c r="C138" s="14" t="s">
        <v>829</v>
      </c>
      <c r="F138" s="43">
        <f t="shared" ref="F138:R138" si="81">IF(ISBLANK(F52),"",F52+F100)</f>
        <v>-1344.01</v>
      </c>
      <c r="G138" s="2">
        <f t="shared" si="81"/>
        <v>-298.07</v>
      </c>
      <c r="H138" s="2">
        <f t="shared" si="81"/>
        <v>-386.6</v>
      </c>
      <c r="I138" s="2">
        <f t="shared" si="81"/>
        <v>450</v>
      </c>
      <c r="J138" s="2">
        <f t="shared" si="81"/>
        <v>450</v>
      </c>
      <c r="K138" s="2">
        <f t="shared" si="81"/>
        <v>450</v>
      </c>
      <c r="L138" s="2">
        <f t="shared" si="81"/>
        <v>95.74</v>
      </c>
      <c r="M138" s="2">
        <f t="shared" si="81"/>
        <v>450</v>
      </c>
      <c r="N138" s="2">
        <f t="shared" si="81"/>
        <v>1950</v>
      </c>
      <c r="O138" s="2">
        <f t="shared" si="81"/>
        <v>-340</v>
      </c>
      <c r="P138" s="2">
        <f t="shared" si="81"/>
        <v>-5939</v>
      </c>
      <c r="Q138" s="2">
        <f t="shared" si="81"/>
        <v>218</v>
      </c>
      <c r="R138" s="2">
        <f t="shared" si="81"/>
        <v>-95.22</v>
      </c>
      <c r="S138" s="25">
        <f t="shared" si="54"/>
        <v>-4339.16</v>
      </c>
      <c r="T138" s="7" t="s">
        <v>31</v>
      </c>
      <c r="AC138" s="7"/>
    </row>
    <row r="139" ht="12.75" customHeight="1">
      <c r="A139" s="2" t="s">
        <v>828</v>
      </c>
      <c r="B139" s="7" t="s">
        <v>123</v>
      </c>
      <c r="C139" s="14" t="s">
        <v>829</v>
      </c>
      <c r="F139" s="43">
        <f t="shared" ref="F139:R139" si="82">IF(ISBLANK(F53),"",F53+F101)</f>
        <v>-1522</v>
      </c>
      <c r="G139" s="2">
        <f t="shared" si="82"/>
        <v>150</v>
      </c>
      <c r="H139" s="2">
        <f t="shared" si="82"/>
        <v>150</v>
      </c>
      <c r="I139" s="2">
        <f t="shared" si="82"/>
        <v>150</v>
      </c>
      <c r="J139" s="2">
        <f t="shared" si="82"/>
        <v>150</v>
      </c>
      <c r="K139" s="2">
        <f t="shared" si="82"/>
        <v>-99</v>
      </c>
      <c r="L139" s="2">
        <f t="shared" si="82"/>
        <v>150</v>
      </c>
      <c r="M139" s="2">
        <f t="shared" si="82"/>
        <v>150</v>
      </c>
      <c r="N139" s="2">
        <f t="shared" si="82"/>
        <v>150</v>
      </c>
      <c r="O139" s="2">
        <f t="shared" si="82"/>
        <v>150</v>
      </c>
      <c r="P139" s="2">
        <f t="shared" si="82"/>
        <v>-3409</v>
      </c>
      <c r="Q139" s="2">
        <f t="shared" si="82"/>
        <v>150</v>
      </c>
      <c r="R139" s="2">
        <f t="shared" si="82"/>
        <v>150</v>
      </c>
      <c r="S139" s="25">
        <f t="shared" si="54"/>
        <v>-3530</v>
      </c>
      <c r="T139" s="7" t="s">
        <v>123</v>
      </c>
      <c r="AC139" s="7"/>
    </row>
    <row r="140" ht="12.75" customHeight="1">
      <c r="A140" s="2" t="s">
        <v>828</v>
      </c>
      <c r="B140" s="7" t="s">
        <v>35</v>
      </c>
      <c r="C140" s="14" t="s">
        <v>829</v>
      </c>
      <c r="F140" s="43">
        <f t="shared" ref="F140:R140" si="83">IF(ISBLANK(F54),"",F54+F102)</f>
        <v>-11506.74</v>
      </c>
      <c r="G140" s="2">
        <f t="shared" si="83"/>
        <v>1000</v>
      </c>
      <c r="H140" s="2">
        <f t="shared" si="83"/>
        <v>-985</v>
      </c>
      <c r="I140" s="2">
        <f t="shared" si="83"/>
        <v>888.9</v>
      </c>
      <c r="J140" s="2">
        <f t="shared" si="83"/>
        <v>-12146</v>
      </c>
      <c r="K140" s="2">
        <f t="shared" si="83"/>
        <v>-879</v>
      </c>
      <c r="L140" s="2">
        <f t="shared" si="83"/>
        <v>770</v>
      </c>
      <c r="M140" s="2">
        <f t="shared" si="83"/>
        <v>854.99</v>
      </c>
      <c r="N140" s="2">
        <f t="shared" si="83"/>
        <v>360</v>
      </c>
      <c r="O140" s="2">
        <f t="shared" si="83"/>
        <v>871</v>
      </c>
      <c r="P140" s="2">
        <f t="shared" si="83"/>
        <v>1000</v>
      </c>
      <c r="Q140" s="2">
        <f t="shared" si="83"/>
        <v>871</v>
      </c>
      <c r="R140" s="2">
        <f t="shared" si="83"/>
        <v>-2131.8</v>
      </c>
      <c r="S140" s="25">
        <f t="shared" si="54"/>
        <v>-21032.65</v>
      </c>
      <c r="T140" s="7" t="s">
        <v>35</v>
      </c>
      <c r="U140" s="2" t="s">
        <v>832</v>
      </c>
      <c r="V140" s="6">
        <f>S121+S123+S122</f>
        <v>4229.24</v>
      </c>
      <c r="W140" s="6"/>
      <c r="X140" s="6"/>
      <c r="AC140" s="7"/>
    </row>
    <row r="141" ht="12.75" customHeight="1">
      <c r="A141" s="2" t="s">
        <v>828</v>
      </c>
      <c r="B141" s="2" t="s">
        <v>210</v>
      </c>
      <c r="C141" s="14" t="s">
        <v>829</v>
      </c>
      <c r="F141" s="43">
        <f t="shared" ref="F141:R141" si="84">IF(ISBLANK(F55),"",F55+F103)</f>
        <v>-550</v>
      </c>
      <c r="G141" s="2">
        <f t="shared" si="84"/>
        <v>0</v>
      </c>
      <c r="H141" s="2">
        <f t="shared" si="84"/>
        <v>0</v>
      </c>
      <c r="I141" s="2">
        <f t="shared" si="84"/>
        <v>0</v>
      </c>
      <c r="J141" s="2">
        <f t="shared" si="84"/>
        <v>0</v>
      </c>
      <c r="K141" s="2">
        <f t="shared" si="84"/>
        <v>0</v>
      </c>
      <c r="L141" s="2">
        <f t="shared" si="84"/>
        <v>-906</v>
      </c>
      <c r="M141" s="2">
        <f t="shared" si="84"/>
        <v>-4498.16</v>
      </c>
      <c r="N141" s="2">
        <f t="shared" si="84"/>
        <v>0</v>
      </c>
      <c r="O141" s="2">
        <f t="shared" si="84"/>
        <v>0</v>
      </c>
      <c r="P141" s="2">
        <f t="shared" si="84"/>
        <v>0</v>
      </c>
      <c r="Q141" s="2">
        <f t="shared" si="84"/>
        <v>0</v>
      </c>
      <c r="R141" s="2">
        <f t="shared" si="84"/>
        <v>0</v>
      </c>
      <c r="S141" s="25">
        <f t="shared" si="54"/>
        <v>-5954.16</v>
      </c>
      <c r="T141" s="7" t="s">
        <v>210</v>
      </c>
      <c r="U141" s="2" t="s">
        <v>833</v>
      </c>
      <c r="V141" s="6">
        <f>SUM(S121:S129)-S124</f>
        <v>3156.082727</v>
      </c>
      <c r="W141" s="2">
        <f>-600+50</f>
        <v>-550</v>
      </c>
      <c r="AC141" s="7"/>
    </row>
    <row r="142" ht="12.75" customHeight="1">
      <c r="A142" s="2" t="s">
        <v>828</v>
      </c>
      <c r="B142" s="2" t="s">
        <v>808</v>
      </c>
      <c r="C142" s="14" t="s">
        <v>829</v>
      </c>
      <c r="F142" s="43">
        <f t="shared" ref="F142:R142" si="85">IF(ISBLANK(F56),"",F56+F104)</f>
        <v>0</v>
      </c>
      <c r="G142" s="2">
        <f t="shared" si="85"/>
        <v>0</v>
      </c>
      <c r="H142" s="2">
        <f t="shared" si="85"/>
        <v>0</v>
      </c>
      <c r="I142" s="2">
        <f t="shared" si="85"/>
        <v>0</v>
      </c>
      <c r="J142" s="2">
        <f t="shared" si="85"/>
        <v>0</v>
      </c>
      <c r="K142" s="2">
        <f t="shared" si="85"/>
        <v>0</v>
      </c>
      <c r="L142" s="2">
        <f t="shared" si="85"/>
        <v>0</v>
      </c>
      <c r="M142" s="2">
        <f t="shared" si="85"/>
        <v>0</v>
      </c>
      <c r="N142" s="2">
        <f t="shared" si="85"/>
        <v>0</v>
      </c>
      <c r="O142" s="2">
        <f t="shared" si="85"/>
        <v>0</v>
      </c>
      <c r="P142" s="2">
        <f t="shared" si="85"/>
        <v>0</v>
      </c>
      <c r="Q142" s="2">
        <f t="shared" si="85"/>
        <v>0</v>
      </c>
      <c r="R142" s="2">
        <f t="shared" si="85"/>
        <v>0</v>
      </c>
      <c r="S142" s="25">
        <f t="shared" si="54"/>
        <v>0</v>
      </c>
      <c r="T142" s="7" t="s">
        <v>808</v>
      </c>
      <c r="U142" s="7" t="s">
        <v>834</v>
      </c>
      <c r="V142" s="12">
        <f>V160+S122+S121+S123</f>
        <v>-2798.077273</v>
      </c>
      <c r="W142" s="2">
        <f>-275+5</f>
        <v>-270</v>
      </c>
      <c r="X142" s="6"/>
      <c r="AC142" s="7"/>
    </row>
    <row r="143" ht="12.75" customHeight="1">
      <c r="A143" s="2" t="s">
        <v>828</v>
      </c>
      <c r="B143" s="2" t="s">
        <v>810</v>
      </c>
      <c r="C143" s="14" t="s">
        <v>829</v>
      </c>
      <c r="F143" s="43">
        <f t="shared" ref="F143:R143" si="86">IF(ISBLANK(F57),"",F57+F105)</f>
        <v>3360</v>
      </c>
      <c r="G143" s="2">
        <f t="shared" si="86"/>
        <v>280</v>
      </c>
      <c r="H143" s="2">
        <f t="shared" si="86"/>
        <v>280</v>
      </c>
      <c r="I143" s="2">
        <f t="shared" si="86"/>
        <v>280</v>
      </c>
      <c r="J143" s="2">
        <f t="shared" si="86"/>
        <v>280</v>
      </c>
      <c r="K143" s="2">
        <f t="shared" si="86"/>
        <v>280</v>
      </c>
      <c r="L143" s="2">
        <f t="shared" si="86"/>
        <v>280</v>
      </c>
      <c r="M143" s="2">
        <f t="shared" si="86"/>
        <v>280</v>
      </c>
      <c r="N143" s="2">
        <f t="shared" si="86"/>
        <v>280</v>
      </c>
      <c r="O143" s="2">
        <f t="shared" si="86"/>
        <v>280</v>
      </c>
      <c r="P143" s="2">
        <f t="shared" si="86"/>
        <v>280</v>
      </c>
      <c r="Q143" s="2">
        <f t="shared" si="86"/>
        <v>280</v>
      </c>
      <c r="R143" s="2">
        <f t="shared" si="86"/>
        <v>280</v>
      </c>
      <c r="S143" s="25">
        <f t="shared" si="54"/>
        <v>6720</v>
      </c>
      <c r="T143" s="7" t="s">
        <v>810</v>
      </c>
      <c r="U143" s="7" t="s">
        <v>835</v>
      </c>
      <c r="V143" s="6">
        <f>2500+S134</f>
        <v>-182963.58</v>
      </c>
      <c r="X143" s="6"/>
      <c r="AC143" s="7"/>
    </row>
    <row r="144" ht="17.25" customHeight="1">
      <c r="A144" s="2" t="s">
        <v>828</v>
      </c>
      <c r="B144" s="2" t="s">
        <v>744</v>
      </c>
      <c r="C144" s="7"/>
      <c r="F144" s="43">
        <f t="shared" ref="F144:R144" si="87">SUM(F111:F143)</f>
        <v>73716.82</v>
      </c>
      <c r="G144" s="2">
        <f t="shared" si="87"/>
        <v>11295.53</v>
      </c>
      <c r="H144" s="2">
        <f t="shared" si="87"/>
        <v>2632.4</v>
      </c>
      <c r="I144" s="2">
        <f t="shared" si="87"/>
        <v>7990.39</v>
      </c>
      <c r="J144" s="2">
        <f t="shared" si="87"/>
        <v>-12479.05</v>
      </c>
      <c r="K144" s="2">
        <f t="shared" si="87"/>
        <v>32933.66</v>
      </c>
      <c r="L144" s="2">
        <f t="shared" si="87"/>
        <v>-8506.51</v>
      </c>
      <c r="M144" s="2">
        <f t="shared" si="87"/>
        <v>-22220.24</v>
      </c>
      <c r="N144" s="2">
        <f t="shared" si="87"/>
        <v>-17352.69</v>
      </c>
      <c r="O144" s="2">
        <f t="shared" si="87"/>
        <v>-80488.02</v>
      </c>
      <c r="P144" s="2">
        <f t="shared" si="87"/>
        <v>-28410.3</v>
      </c>
      <c r="Q144" s="2">
        <f t="shared" si="87"/>
        <v>-21737.74</v>
      </c>
      <c r="R144" s="2">
        <f t="shared" si="87"/>
        <v>-21986.06</v>
      </c>
      <c r="S144" s="25">
        <f t="shared" si="54"/>
        <v>-84611.81</v>
      </c>
      <c r="T144" s="25"/>
      <c r="W144" s="25">
        <f>SUM(W111:W143)</f>
        <v>55591.51747</v>
      </c>
    </row>
    <row r="145" ht="12.75" customHeight="1">
      <c r="A145" s="2" t="s">
        <v>828</v>
      </c>
      <c r="C145" s="7"/>
      <c r="S145" s="6"/>
      <c r="T145" s="6"/>
    </row>
    <row r="146" ht="12.75" hidden="1" customHeight="1">
      <c r="A146" s="2" t="s">
        <v>828</v>
      </c>
      <c r="C146" s="7"/>
      <c r="S146" s="6"/>
      <c r="T146" s="6"/>
      <c r="U146" s="7"/>
      <c r="V146" s="6"/>
    </row>
    <row r="147" ht="12.75" hidden="1" customHeight="1">
      <c r="A147" s="2" t="s">
        <v>828</v>
      </c>
      <c r="C147" s="7"/>
      <c r="S147" s="6"/>
      <c r="T147" s="6"/>
      <c r="U147" s="7"/>
      <c r="V147" s="6"/>
    </row>
    <row r="148" ht="12.75" hidden="1" customHeight="1">
      <c r="A148" s="2" t="s">
        <v>828</v>
      </c>
      <c r="C148" s="7"/>
      <c r="S148" s="6"/>
      <c r="T148" s="6"/>
      <c r="U148" s="7"/>
      <c r="V148" s="6"/>
    </row>
    <row r="149" ht="12.75" hidden="1" customHeight="1">
      <c r="A149" s="2" t="s">
        <v>828</v>
      </c>
      <c r="C149" s="7"/>
      <c r="S149" s="6"/>
      <c r="T149" s="6"/>
      <c r="U149" s="7"/>
      <c r="V149" s="6"/>
    </row>
    <row r="150" ht="12.75" hidden="1" customHeight="1">
      <c r="A150" s="2" t="s">
        <v>828</v>
      </c>
      <c r="C150" s="7"/>
      <c r="S150" s="6"/>
      <c r="T150" s="6"/>
      <c r="U150" s="7"/>
      <c r="V150" s="6"/>
    </row>
    <row r="151" ht="12.75" hidden="1" customHeight="1">
      <c r="A151" s="2" t="s">
        <v>828</v>
      </c>
      <c r="C151" s="7"/>
      <c r="S151" s="6"/>
      <c r="T151" s="6"/>
      <c r="U151" s="7"/>
      <c r="V151" s="6"/>
    </row>
    <row r="152" ht="12.75" hidden="1" customHeight="1">
      <c r="A152" s="2" t="s">
        <v>828</v>
      </c>
      <c r="C152" s="7"/>
      <c r="S152" s="6"/>
      <c r="T152" s="6"/>
      <c r="U152" s="7"/>
      <c r="V152" s="6"/>
    </row>
    <row r="153" ht="12.75" hidden="1" customHeight="1">
      <c r="A153" s="2" t="s">
        <v>828</v>
      </c>
      <c r="C153" s="7"/>
      <c r="S153" s="6"/>
      <c r="T153" s="6"/>
      <c r="U153" s="7"/>
      <c r="V153" s="6"/>
    </row>
    <row r="154" ht="12.75" hidden="1" customHeight="1">
      <c r="A154" s="2" t="s">
        <v>828</v>
      </c>
      <c r="C154" s="7"/>
      <c r="S154" s="6"/>
      <c r="T154" s="6"/>
      <c r="U154" s="7"/>
      <c r="V154" s="6"/>
    </row>
    <row r="155" ht="12.75" hidden="1" customHeight="1">
      <c r="A155" s="2" t="s">
        <v>828</v>
      </c>
      <c r="C155" s="7"/>
      <c r="S155" s="6"/>
      <c r="T155" s="6"/>
      <c r="U155" s="7"/>
      <c r="V155" s="6"/>
    </row>
    <row r="156" ht="12.75" hidden="1" customHeight="1">
      <c r="A156" s="2" t="s">
        <v>828</v>
      </c>
      <c r="C156" s="7"/>
      <c r="S156" s="6"/>
      <c r="T156" s="6"/>
      <c r="U156" s="7"/>
      <c r="V156" s="6"/>
    </row>
    <row r="157" ht="12.75" hidden="1" customHeight="1">
      <c r="A157" s="2" t="s">
        <v>828</v>
      </c>
      <c r="C157" s="7"/>
      <c r="S157" s="6"/>
      <c r="T157" s="6"/>
      <c r="U157" s="7"/>
      <c r="V157" s="6"/>
    </row>
    <row r="158" ht="12.75" hidden="1" customHeight="1">
      <c r="A158" s="2" t="s">
        <v>828</v>
      </c>
      <c r="C158" s="7"/>
      <c r="S158" s="6"/>
      <c r="T158" s="6"/>
      <c r="U158" s="7"/>
      <c r="V158" s="6"/>
    </row>
    <row r="159" ht="12.75" hidden="1" customHeight="1">
      <c r="A159" s="2" t="s">
        <v>828</v>
      </c>
      <c r="C159" s="7"/>
      <c r="S159" s="6"/>
      <c r="T159" s="6"/>
      <c r="U159" s="7"/>
      <c r="V159" s="6"/>
    </row>
    <row r="160" ht="12.75" customHeight="1">
      <c r="A160" s="2" t="s">
        <v>828</v>
      </c>
      <c r="C160" s="7"/>
      <c r="S160" s="6"/>
      <c r="T160" s="6"/>
      <c r="U160" s="2" t="s">
        <v>836</v>
      </c>
      <c r="V160" s="6">
        <f>SUM(S125:S129)+S141+S142</f>
        <v>-7027.317273</v>
      </c>
    </row>
    <row r="161" ht="12.75" customHeight="1">
      <c r="A161" s="2" t="s">
        <v>828</v>
      </c>
      <c r="B161" s="14" t="s">
        <v>837</v>
      </c>
      <c r="C161" s="7"/>
      <c r="S161" s="6"/>
      <c r="T161" s="6"/>
    </row>
    <row r="162" ht="12.75" customHeight="1">
      <c r="A162" s="2" t="s">
        <v>828</v>
      </c>
      <c r="C162" s="7"/>
      <c r="S162" s="6" t="s">
        <v>744</v>
      </c>
      <c r="T162" s="6"/>
    </row>
    <row r="163" ht="12.75" customHeight="1">
      <c r="A163" s="2" t="s">
        <v>828</v>
      </c>
      <c r="B163" s="14" t="s">
        <v>765</v>
      </c>
      <c r="C163" s="14" t="s">
        <v>765</v>
      </c>
      <c r="D163" s="14" t="s">
        <v>765</v>
      </c>
      <c r="E163" s="14"/>
      <c r="F163" s="14" t="s">
        <v>765</v>
      </c>
      <c r="G163" s="14" t="s">
        <v>765</v>
      </c>
      <c r="H163" s="14" t="s">
        <v>765</v>
      </c>
      <c r="I163" s="14" t="s">
        <v>765</v>
      </c>
      <c r="J163" s="14" t="s">
        <v>765</v>
      </c>
      <c r="K163" s="14" t="s">
        <v>765</v>
      </c>
      <c r="L163" s="14" t="s">
        <v>765</v>
      </c>
      <c r="M163" s="14" t="s">
        <v>765</v>
      </c>
      <c r="N163" s="14" t="s">
        <v>765</v>
      </c>
      <c r="O163" s="14" t="s">
        <v>765</v>
      </c>
      <c r="P163" s="14" t="s">
        <v>765</v>
      </c>
      <c r="Q163" s="14" t="s">
        <v>765</v>
      </c>
      <c r="R163" s="14" t="s">
        <v>765</v>
      </c>
      <c r="S163" s="28" t="s">
        <v>765</v>
      </c>
      <c r="T163" s="28"/>
      <c r="U163" s="14" t="s">
        <v>765</v>
      </c>
    </row>
    <row r="164" ht="12.75" customHeight="1">
      <c r="A164" s="2" t="s">
        <v>828</v>
      </c>
      <c r="C164" s="7" t="s">
        <v>795</v>
      </c>
      <c r="S164" s="6"/>
      <c r="T164" s="6"/>
    </row>
    <row r="165" ht="12.75" customHeight="1">
      <c r="A165" s="2" t="s">
        <v>828</v>
      </c>
      <c r="B165" s="2" t="s">
        <v>838</v>
      </c>
      <c r="C165" s="7"/>
      <c r="F165" s="40">
        <f t="shared" ref="F165:R165" si="88">IF(F112 = "","",F112+F113+F114+F115+F116+F117+F119+F120)</f>
        <v>749</v>
      </c>
      <c r="G165" s="40">
        <f t="shared" si="88"/>
        <v>996.9166667</v>
      </c>
      <c r="H165" s="40">
        <f t="shared" si="88"/>
        <v>-1398.083333</v>
      </c>
      <c r="I165" s="40">
        <f t="shared" si="88"/>
        <v>1668.916667</v>
      </c>
      <c r="J165" s="40">
        <f t="shared" si="88"/>
        <v>-959.0833333</v>
      </c>
      <c r="K165" s="40">
        <f t="shared" si="88"/>
        <v>-1449.083333</v>
      </c>
      <c r="L165" s="40">
        <f t="shared" si="88"/>
        <v>1864.916667</v>
      </c>
      <c r="M165" s="40">
        <f t="shared" si="88"/>
        <v>-403.0833333</v>
      </c>
      <c r="N165" s="40">
        <f t="shared" si="88"/>
        <v>-1498.083333</v>
      </c>
      <c r="O165" s="40">
        <f t="shared" si="88"/>
        <v>1404.916667</v>
      </c>
      <c r="P165" s="40">
        <f t="shared" si="88"/>
        <v>701.9166667</v>
      </c>
      <c r="Q165" s="40">
        <f t="shared" si="88"/>
        <v>-1516.083333</v>
      </c>
      <c r="R165" s="40">
        <f t="shared" si="88"/>
        <v>1547.916667</v>
      </c>
      <c r="S165" s="45">
        <f t="shared" ref="S165:S174" si="90">SUM(F165:R165)</f>
        <v>1711</v>
      </c>
      <c r="T165" s="2" t="s">
        <v>838</v>
      </c>
    </row>
    <row r="166" ht="12.75" customHeight="1">
      <c r="A166" s="2" t="s">
        <v>828</v>
      </c>
      <c r="B166" s="7" t="s">
        <v>839</v>
      </c>
      <c r="C166" s="7"/>
      <c r="F166" s="40">
        <f t="shared" ref="F166:R166" si="89">IF(F118 = "","",F118)</f>
        <v>373</v>
      </c>
      <c r="G166" s="40">
        <f t="shared" si="89"/>
        <v>-243</v>
      </c>
      <c r="H166" s="40">
        <f t="shared" si="89"/>
        <v>200</v>
      </c>
      <c r="I166" s="40">
        <f t="shared" si="89"/>
        <v>0</v>
      </c>
      <c r="J166" s="40">
        <f t="shared" si="89"/>
        <v>-56</v>
      </c>
      <c r="K166" s="40">
        <f t="shared" si="89"/>
        <v>18</v>
      </c>
      <c r="L166" s="40">
        <f t="shared" si="89"/>
        <v>-66</v>
      </c>
      <c r="M166" s="40">
        <f t="shared" si="89"/>
        <v>-1</v>
      </c>
      <c r="N166" s="40">
        <f t="shared" si="89"/>
        <v>200</v>
      </c>
      <c r="O166" s="40">
        <f t="shared" si="89"/>
        <v>-241</v>
      </c>
      <c r="P166" s="40">
        <f t="shared" si="89"/>
        <v>200</v>
      </c>
      <c r="Q166" s="40">
        <f t="shared" si="89"/>
        <v>-51</v>
      </c>
      <c r="R166" s="40">
        <f t="shared" si="89"/>
        <v>200</v>
      </c>
      <c r="S166" s="45">
        <f t="shared" si="90"/>
        <v>533</v>
      </c>
      <c r="T166" s="7" t="s">
        <v>839</v>
      </c>
    </row>
    <row r="167" ht="24.75" customHeight="1">
      <c r="A167" s="2" t="s">
        <v>828</v>
      </c>
      <c r="B167" s="7" t="s">
        <v>840</v>
      </c>
      <c r="C167" s="7">
        <f>C35+C36+C37+C39</f>
        <v>2730</v>
      </c>
      <c r="F167" s="40">
        <f t="shared" ref="F167:R167" si="91">IF(F125 = "","",F125+F123+F122+F121)</f>
        <v>11657.29</v>
      </c>
      <c r="G167" s="40">
        <f t="shared" si="91"/>
        <v>604.4</v>
      </c>
      <c r="H167" s="40">
        <f t="shared" si="91"/>
        <v>704</v>
      </c>
      <c r="I167" s="40">
        <f t="shared" si="91"/>
        <v>-1589.21</v>
      </c>
      <c r="J167" s="40">
        <f t="shared" si="91"/>
        <v>474</v>
      </c>
      <c r="K167" s="40">
        <f t="shared" si="91"/>
        <v>185.06</v>
      </c>
      <c r="L167" s="40">
        <f t="shared" si="91"/>
        <v>0</v>
      </c>
      <c r="M167" s="40">
        <f t="shared" si="91"/>
        <v>-689.13</v>
      </c>
      <c r="N167" s="40">
        <f t="shared" si="91"/>
        <v>-532</v>
      </c>
      <c r="O167" s="40">
        <f t="shared" si="91"/>
        <v>1754.14</v>
      </c>
      <c r="P167" s="40">
        <f t="shared" si="91"/>
        <v>-971.14</v>
      </c>
      <c r="Q167" s="40">
        <f t="shared" si="91"/>
        <v>928.7</v>
      </c>
      <c r="R167" s="40">
        <f t="shared" si="91"/>
        <v>-641.66</v>
      </c>
      <c r="S167" s="46">
        <f t="shared" si="90"/>
        <v>11884.45</v>
      </c>
      <c r="T167" s="7" t="s">
        <v>840</v>
      </c>
      <c r="V167" s="47">
        <f>(S167+S169)/4</f>
        <v>-699.5193182</v>
      </c>
    </row>
    <row r="168" ht="12.75" customHeight="1">
      <c r="A168" s="2" t="s">
        <v>828</v>
      </c>
      <c r="B168" s="2" t="s">
        <v>841</v>
      </c>
      <c r="C168" s="7">
        <f>C38</f>
        <v>1441.363636</v>
      </c>
      <c r="F168" s="40">
        <f t="shared" ref="F168:R168" si="92">IF(F124 = "","",F124)</f>
        <v>2622.363636</v>
      </c>
      <c r="G168" s="40">
        <f t="shared" si="92"/>
        <v>222.3636364</v>
      </c>
      <c r="H168" s="40">
        <f t="shared" si="92"/>
        <v>142.3636364</v>
      </c>
      <c r="I168" s="40">
        <f t="shared" si="92"/>
        <v>-107.6363636</v>
      </c>
      <c r="J168" s="40">
        <f t="shared" si="92"/>
        <v>-73.63636364</v>
      </c>
      <c r="K168" s="40">
        <f t="shared" si="92"/>
        <v>775.3636364</v>
      </c>
      <c r="L168" s="40">
        <f t="shared" si="92"/>
        <v>917.3636364</v>
      </c>
      <c r="M168" s="40">
        <f t="shared" si="92"/>
        <v>551.3636364</v>
      </c>
      <c r="N168" s="40">
        <f t="shared" si="92"/>
        <v>-28.63636364</v>
      </c>
      <c r="O168" s="40">
        <f t="shared" si="92"/>
        <v>-1262.636364</v>
      </c>
      <c r="P168" s="40">
        <f t="shared" si="92"/>
        <v>-127.6363636</v>
      </c>
      <c r="Q168" s="40">
        <f t="shared" si="92"/>
        <v>-213.6363636</v>
      </c>
      <c r="R168" s="40">
        <f t="shared" si="92"/>
        <v>794.3636364</v>
      </c>
      <c r="S168" s="45">
        <f t="shared" si="90"/>
        <v>4211.727273</v>
      </c>
      <c r="T168" s="6" t="s">
        <v>842</v>
      </c>
    </row>
    <row r="169" ht="23.25" customHeight="1">
      <c r="A169" s="2" t="s">
        <v>828</v>
      </c>
      <c r="B169" s="7" t="s">
        <v>843</v>
      </c>
      <c r="C169" s="7">
        <f>C40+C41+C42+C43+C55+C56</f>
        <v>1724.999697</v>
      </c>
      <c r="F169" s="40">
        <f t="shared" ref="F169:R169" si="93">IF(F129 = "","",F129+F128+F127+F126+F141+F142)</f>
        <v>4529.196364</v>
      </c>
      <c r="G169" s="40">
        <f t="shared" si="93"/>
        <v>1522.999697</v>
      </c>
      <c r="H169" s="40">
        <f t="shared" si="93"/>
        <v>-277.000303</v>
      </c>
      <c r="I169" s="40">
        <f t="shared" si="93"/>
        <v>304.699697</v>
      </c>
      <c r="J169" s="40">
        <f t="shared" si="93"/>
        <v>-3046.250303</v>
      </c>
      <c r="K169" s="40">
        <f t="shared" si="93"/>
        <v>-2472.000303</v>
      </c>
      <c r="L169" s="40">
        <f t="shared" si="93"/>
        <v>818.999697</v>
      </c>
      <c r="M169" s="40">
        <f t="shared" si="93"/>
        <v>-3868.160303</v>
      </c>
      <c r="N169" s="40">
        <f t="shared" si="93"/>
        <v>-2100.000303</v>
      </c>
      <c r="O169" s="40">
        <f t="shared" si="93"/>
        <v>27.48969697</v>
      </c>
      <c r="P169" s="40">
        <f t="shared" si="93"/>
        <v>-9059.500303</v>
      </c>
      <c r="Q169" s="40">
        <f t="shared" si="93"/>
        <v>-1712.000303</v>
      </c>
      <c r="R169" s="40">
        <f t="shared" si="93"/>
        <v>648.999697</v>
      </c>
      <c r="S169" s="46">
        <f t="shared" si="90"/>
        <v>-14682.52727</v>
      </c>
      <c r="T169" s="7" t="s">
        <v>843</v>
      </c>
      <c r="V169" s="2">
        <f>S169/4</f>
        <v>-3670.631818</v>
      </c>
    </row>
    <row r="170" ht="12.75" customHeight="1">
      <c r="A170" s="2" t="s">
        <v>828</v>
      </c>
      <c r="B170" s="7" t="s">
        <v>844</v>
      </c>
      <c r="C170" s="7"/>
      <c r="F170" s="43">
        <f t="shared" ref="F170:R170" si="94">IF(F139 = "","",F139)</f>
        <v>-1522</v>
      </c>
      <c r="G170" s="2">
        <f t="shared" si="94"/>
        <v>150</v>
      </c>
      <c r="H170" s="2">
        <f t="shared" si="94"/>
        <v>150</v>
      </c>
      <c r="I170" s="2">
        <f t="shared" si="94"/>
        <v>150</v>
      </c>
      <c r="J170" s="2">
        <f t="shared" si="94"/>
        <v>150</v>
      </c>
      <c r="K170" s="2">
        <f t="shared" si="94"/>
        <v>-99</v>
      </c>
      <c r="L170" s="2">
        <f t="shared" si="94"/>
        <v>150</v>
      </c>
      <c r="M170" s="2">
        <f t="shared" si="94"/>
        <v>150</v>
      </c>
      <c r="N170" s="2">
        <f t="shared" si="94"/>
        <v>150</v>
      </c>
      <c r="O170" s="2">
        <f t="shared" si="94"/>
        <v>150</v>
      </c>
      <c r="P170" s="2">
        <f t="shared" si="94"/>
        <v>-3409</v>
      </c>
      <c r="Q170" s="2">
        <f t="shared" si="94"/>
        <v>150</v>
      </c>
      <c r="R170" s="2">
        <f t="shared" si="94"/>
        <v>150</v>
      </c>
      <c r="S170" s="45">
        <f t="shared" si="90"/>
        <v>-3530</v>
      </c>
      <c r="T170" s="7" t="s">
        <v>844</v>
      </c>
    </row>
    <row r="171" ht="20.25" customHeight="1">
      <c r="A171" s="2" t="s">
        <v>828</v>
      </c>
      <c r="B171" s="7" t="s">
        <v>845</v>
      </c>
      <c r="C171" s="7">
        <f>IF(C45="","",C45+C46+C47)</f>
        <v>735</v>
      </c>
      <c r="F171" s="40">
        <f t="shared" ref="F171:R171" si="95">IF(F132="","",F132+F131+F133)</f>
        <v>-3326</v>
      </c>
      <c r="G171" s="40">
        <f t="shared" si="95"/>
        <v>-261</v>
      </c>
      <c r="H171" s="40">
        <f t="shared" si="95"/>
        <v>230</v>
      </c>
      <c r="I171" s="40">
        <f t="shared" si="95"/>
        <v>155</v>
      </c>
      <c r="J171" s="40">
        <f t="shared" si="95"/>
        <v>-1330</v>
      </c>
      <c r="K171" s="40">
        <f t="shared" si="95"/>
        <v>-566</v>
      </c>
      <c r="L171" s="40">
        <f t="shared" si="95"/>
        <v>735</v>
      </c>
      <c r="M171" s="40">
        <f t="shared" si="95"/>
        <v>735</v>
      </c>
      <c r="N171" s="40">
        <f t="shared" si="95"/>
        <v>-114</v>
      </c>
      <c r="O171" s="40">
        <f t="shared" si="95"/>
        <v>305</v>
      </c>
      <c r="P171" s="40">
        <f t="shared" si="95"/>
        <v>285</v>
      </c>
      <c r="Q171" s="40">
        <f t="shared" si="95"/>
        <v>484</v>
      </c>
      <c r="R171" s="40">
        <f t="shared" si="95"/>
        <v>133</v>
      </c>
      <c r="S171" s="45">
        <f t="shared" si="90"/>
        <v>-2535</v>
      </c>
      <c r="T171" s="7" t="s">
        <v>845</v>
      </c>
    </row>
    <row r="172" ht="12.75" customHeight="1">
      <c r="A172" s="2" t="s">
        <v>828</v>
      </c>
      <c r="B172" s="2" t="s">
        <v>846</v>
      </c>
      <c r="C172" s="7"/>
      <c r="F172" s="12">
        <f t="shared" ref="F172:R172" si="96">IF(F136 = "","",F136)</f>
        <v>-4922.72</v>
      </c>
      <c r="G172" s="12">
        <f t="shared" si="96"/>
        <v>1250</v>
      </c>
      <c r="H172" s="12">
        <f t="shared" si="96"/>
        <v>1250</v>
      </c>
      <c r="I172" s="12">
        <f t="shared" si="96"/>
        <v>1250</v>
      </c>
      <c r="J172" s="12">
        <f t="shared" si="96"/>
        <v>1250</v>
      </c>
      <c r="K172" s="12">
        <f t="shared" si="96"/>
        <v>1250</v>
      </c>
      <c r="L172" s="12">
        <f t="shared" si="96"/>
        <v>-11468.25</v>
      </c>
      <c r="M172" s="12">
        <f t="shared" si="96"/>
        <v>2434.06</v>
      </c>
      <c r="N172" s="12">
        <f t="shared" si="96"/>
        <v>4752</v>
      </c>
      <c r="O172" s="12">
        <f t="shared" si="96"/>
        <v>556.84</v>
      </c>
      <c r="P172" s="12">
        <f t="shared" si="96"/>
        <v>1250</v>
      </c>
      <c r="Q172" s="12">
        <f t="shared" si="96"/>
        <v>1250</v>
      </c>
      <c r="R172" s="12">
        <f t="shared" si="96"/>
        <v>1250</v>
      </c>
      <c r="S172" s="45">
        <f t="shared" si="90"/>
        <v>1351.93</v>
      </c>
      <c r="T172" s="2" t="s">
        <v>846</v>
      </c>
    </row>
    <row r="173" ht="20.25" customHeight="1">
      <c r="A173" s="2" t="s">
        <v>828</v>
      </c>
      <c r="B173" s="7" t="s">
        <v>847</v>
      </c>
      <c r="C173" s="7">
        <f>IF(C48="","",C48+C51+C52)</f>
        <v>1931.72</v>
      </c>
      <c r="F173" s="40">
        <f t="shared" ref="F173:R173" si="97">IF(F134="","",F134+F137+F138)</f>
        <v>-4972.17</v>
      </c>
      <c r="G173" s="40">
        <f t="shared" si="97"/>
        <v>3533.65</v>
      </c>
      <c r="H173" s="40">
        <f t="shared" si="97"/>
        <v>317.12</v>
      </c>
      <c r="I173" s="40">
        <f t="shared" si="97"/>
        <v>2093.72</v>
      </c>
      <c r="J173" s="40">
        <f t="shared" si="97"/>
        <v>1621.72</v>
      </c>
      <c r="K173" s="40">
        <f t="shared" si="97"/>
        <v>-14751.28</v>
      </c>
      <c r="L173" s="40">
        <f t="shared" si="97"/>
        <v>799.46</v>
      </c>
      <c r="M173" s="40">
        <f t="shared" si="97"/>
        <v>-15793.68</v>
      </c>
      <c r="N173" s="40">
        <f t="shared" si="97"/>
        <v>-11587.17</v>
      </c>
      <c r="O173" s="40">
        <f t="shared" si="97"/>
        <v>-92971.97</v>
      </c>
      <c r="P173" s="40">
        <f t="shared" si="97"/>
        <v>-23273.14</v>
      </c>
      <c r="Q173" s="40">
        <f t="shared" si="97"/>
        <v>-15847.92</v>
      </c>
      <c r="R173" s="40">
        <f t="shared" si="97"/>
        <v>-10071.08</v>
      </c>
      <c r="S173" s="45">
        <f t="shared" si="90"/>
        <v>-180902.74</v>
      </c>
      <c r="T173" s="7" t="s">
        <v>847</v>
      </c>
    </row>
    <row r="174" ht="12.75" customHeight="1">
      <c r="A174" s="2" t="s">
        <v>828</v>
      </c>
      <c r="B174" s="7" t="s">
        <v>848</v>
      </c>
      <c r="C174" s="7"/>
      <c r="F174" s="40">
        <f t="shared" ref="F174:R174" si="98">IF(F140 = "","",F140)</f>
        <v>-11506.74</v>
      </c>
      <c r="G174" s="40">
        <f t="shared" si="98"/>
        <v>1000</v>
      </c>
      <c r="H174" s="40">
        <f t="shared" si="98"/>
        <v>-985</v>
      </c>
      <c r="I174" s="40">
        <f t="shared" si="98"/>
        <v>888.9</v>
      </c>
      <c r="J174" s="40">
        <f t="shared" si="98"/>
        <v>-12146</v>
      </c>
      <c r="K174" s="40">
        <f t="shared" si="98"/>
        <v>-879</v>
      </c>
      <c r="L174" s="40">
        <f t="shared" si="98"/>
        <v>770</v>
      </c>
      <c r="M174" s="40">
        <f t="shared" si="98"/>
        <v>854.99</v>
      </c>
      <c r="N174" s="40">
        <f t="shared" si="98"/>
        <v>360</v>
      </c>
      <c r="O174" s="40">
        <f t="shared" si="98"/>
        <v>871</v>
      </c>
      <c r="P174" s="40">
        <f t="shared" si="98"/>
        <v>1000</v>
      </c>
      <c r="Q174" s="40">
        <f t="shared" si="98"/>
        <v>871</v>
      </c>
      <c r="R174" s="40">
        <f t="shared" si="98"/>
        <v>-2131.8</v>
      </c>
      <c r="S174" s="45">
        <f t="shared" si="90"/>
        <v>-21032.65</v>
      </c>
      <c r="T174" s="7" t="s">
        <v>848</v>
      </c>
      <c r="V174" s="2" t="s">
        <v>849</v>
      </c>
    </row>
    <row r="175" ht="12.75" customHeight="1">
      <c r="A175" s="2" t="s">
        <v>828</v>
      </c>
      <c r="B175" s="2" t="s">
        <v>850</v>
      </c>
      <c r="C175" s="7"/>
      <c r="F175" s="40">
        <f t="shared" ref="F175:S175" si="99">IF(F143 = "","",F143+F130+F135+F111)</f>
        <v>80035.6</v>
      </c>
      <c r="G175" s="40">
        <f t="shared" si="99"/>
        <v>2519.2</v>
      </c>
      <c r="H175" s="40">
        <f t="shared" si="99"/>
        <v>2299</v>
      </c>
      <c r="I175" s="40">
        <f t="shared" si="99"/>
        <v>3176</v>
      </c>
      <c r="J175" s="40">
        <f t="shared" si="99"/>
        <v>1636.2</v>
      </c>
      <c r="K175" s="40">
        <f t="shared" si="99"/>
        <v>50921.6</v>
      </c>
      <c r="L175" s="40">
        <f t="shared" si="99"/>
        <v>-3028</v>
      </c>
      <c r="M175" s="40">
        <f t="shared" si="99"/>
        <v>-6190.6</v>
      </c>
      <c r="N175" s="40">
        <f t="shared" si="99"/>
        <v>-6954.8</v>
      </c>
      <c r="O175" s="40">
        <f t="shared" si="99"/>
        <v>8918.2</v>
      </c>
      <c r="P175" s="40">
        <f t="shared" si="99"/>
        <v>4993.2</v>
      </c>
      <c r="Q175" s="40">
        <f t="shared" si="99"/>
        <v>-6080.8</v>
      </c>
      <c r="R175" s="40">
        <f t="shared" si="99"/>
        <v>-13865.8</v>
      </c>
      <c r="S175" s="41">
        <f t="shared" si="99"/>
        <v>118379</v>
      </c>
      <c r="T175" s="7" t="s">
        <v>851</v>
      </c>
      <c r="V175" s="40">
        <f>S175+W175</f>
        <v>156307.68</v>
      </c>
      <c r="W175" s="48">
        <v>37928.68</v>
      </c>
    </row>
    <row r="176" ht="12.75" customHeight="1">
      <c r="A176" s="2" t="s">
        <v>828</v>
      </c>
      <c r="C176" s="7"/>
      <c r="S176" s="47">
        <f>SUM(S165:S175)</f>
        <v>-84611.81</v>
      </c>
      <c r="T176" s="6"/>
      <c r="V176" s="2" t="s">
        <v>852</v>
      </c>
      <c r="W176" s="2" t="str">
        <f>IF(V177=0,"Ja","Nej")</f>
        <v>Nej</v>
      </c>
    </row>
    <row r="177" ht="12.75" customHeight="1">
      <c r="A177" s="2" t="s">
        <v>828</v>
      </c>
      <c r="B177" s="2" t="s">
        <v>853</v>
      </c>
      <c r="C177" s="7">
        <f>C36+C39+C40+C41+C42+C43+C55+C56</f>
        <v>4424.999697</v>
      </c>
      <c r="F177" s="40">
        <f t="shared" ref="F177:R177" si="100">IF(F122="","",F122+F125+F126+F127+F128+F129+F138+F141+F142)</f>
        <v>14482.47636</v>
      </c>
      <c r="G177" s="40">
        <f t="shared" si="100"/>
        <v>1799.329697</v>
      </c>
      <c r="H177" s="40">
        <f t="shared" si="100"/>
        <v>10.39969697</v>
      </c>
      <c r="I177" s="40">
        <f t="shared" si="100"/>
        <v>-864.510303</v>
      </c>
      <c r="J177" s="40">
        <f t="shared" si="100"/>
        <v>-2152.250303</v>
      </c>
      <c r="K177" s="40">
        <f t="shared" si="100"/>
        <v>-1866.940303</v>
      </c>
      <c r="L177" s="40">
        <f t="shared" si="100"/>
        <v>884.739697</v>
      </c>
      <c r="M177" s="40">
        <f t="shared" si="100"/>
        <v>-4137.290303</v>
      </c>
      <c r="N177" s="40">
        <f t="shared" si="100"/>
        <v>-712.000303</v>
      </c>
      <c r="O177" s="40">
        <f t="shared" si="100"/>
        <v>1411.629697</v>
      </c>
      <c r="P177" s="40">
        <f t="shared" si="100"/>
        <v>-15999.6403</v>
      </c>
      <c r="Q177" s="40">
        <f t="shared" si="100"/>
        <v>-595.300303</v>
      </c>
      <c r="R177" s="40">
        <f t="shared" si="100"/>
        <v>-117.880303</v>
      </c>
      <c r="S177" s="45">
        <f>IF(S122="","",S122+S125+S126+S127+S128+S129+S141+S142)</f>
        <v>-3518.077273</v>
      </c>
      <c r="T177" s="2" t="s">
        <v>854</v>
      </c>
      <c r="V177" s="18">
        <f>S176-S144</f>
        <v>0</v>
      </c>
    </row>
    <row r="178" ht="12.75" customHeight="1">
      <c r="A178" s="2" t="s">
        <v>828</v>
      </c>
      <c r="B178" s="2" t="s">
        <v>855</v>
      </c>
      <c r="C178" s="7">
        <f>C177/4.5</f>
        <v>983.333266</v>
      </c>
      <c r="S178" s="49">
        <f>IF(S122="","",S122+S123+S125+S126+S127+S128+S129+S140+S141+S142)</f>
        <v>-24550.72727</v>
      </c>
      <c r="T178" s="6" t="s">
        <v>856</v>
      </c>
    </row>
    <row r="179" ht="12.75" customHeight="1">
      <c r="A179" s="2" t="s">
        <v>828</v>
      </c>
      <c r="B179" s="2" t="s">
        <v>857</v>
      </c>
      <c r="C179" s="7"/>
      <c r="S179" s="50">
        <f>(S121+S122+S123+S125)*0+S167</f>
        <v>11884.45</v>
      </c>
      <c r="T179" s="2" t="s">
        <v>857</v>
      </c>
    </row>
    <row r="180" ht="12.75" customHeight="1">
      <c r="B180" s="2" t="s">
        <v>858</v>
      </c>
      <c r="C180" s="7">
        <f>C177/D180</f>
        <v>884.9999394</v>
      </c>
      <c r="D180" s="2">
        <v>5.0</v>
      </c>
      <c r="S180" s="6"/>
      <c r="T180" s="6"/>
    </row>
    <row r="181" ht="12.75" customHeight="1">
      <c r="B181" s="2" t="s">
        <v>859</v>
      </c>
      <c r="C181" s="7"/>
      <c r="S181" s="6">
        <f>7000*0.65</f>
        <v>4550</v>
      </c>
      <c r="T181" s="6" t="s">
        <v>860</v>
      </c>
    </row>
    <row r="182" ht="12.75" customHeight="1">
      <c r="B182" s="14" t="s">
        <v>861</v>
      </c>
      <c r="C182" s="7"/>
      <c r="S182" s="6">
        <f>S181+S172+S173+500*2*3</f>
        <v>-172000.81</v>
      </c>
      <c r="T182" s="6" t="s">
        <v>862</v>
      </c>
    </row>
    <row r="183" ht="20.25" customHeight="1">
      <c r="B183" s="2" t="s">
        <v>863</v>
      </c>
      <c r="C183" s="7"/>
      <c r="S183" s="6">
        <v>-7000.0</v>
      </c>
      <c r="T183" s="6" t="s">
        <v>864</v>
      </c>
    </row>
    <row r="184" ht="12.75" customHeight="1">
      <c r="B184" s="2" t="s">
        <v>865</v>
      </c>
      <c r="C184" s="7"/>
      <c r="S184" s="6">
        <v>-7500.0</v>
      </c>
      <c r="T184" s="6" t="s">
        <v>866</v>
      </c>
    </row>
    <row r="185" ht="12.75" customHeight="1">
      <c r="B185" s="2" t="s">
        <v>867</v>
      </c>
      <c r="C185" s="7"/>
      <c r="S185" s="6">
        <f>SUM(S182:S184)</f>
        <v>-186500.81</v>
      </c>
      <c r="T185" s="6"/>
    </row>
    <row r="186" ht="12.75" customHeight="1">
      <c r="B186" s="2" t="s">
        <v>868</v>
      </c>
      <c r="C186" s="7"/>
      <c r="S186" s="6"/>
      <c r="T186" s="6"/>
    </row>
    <row r="187" ht="12.75" customHeight="1">
      <c r="B187" s="2" t="s">
        <v>869</v>
      </c>
      <c r="C187" s="7"/>
      <c r="S187" s="6"/>
      <c r="T187" s="6"/>
    </row>
    <row r="188" ht="12.75" customHeight="1">
      <c r="B188" s="2" t="s">
        <v>870</v>
      </c>
      <c r="C188" s="7"/>
      <c r="S188" s="6"/>
      <c r="T188" s="6"/>
    </row>
    <row r="189" ht="12.75" customHeight="1">
      <c r="B189" s="2" t="s">
        <v>871</v>
      </c>
      <c r="C189" s="7"/>
      <c r="S189" s="6"/>
      <c r="T189" s="6"/>
    </row>
    <row r="190" ht="12.75" customHeight="1">
      <c r="B190" s="2" t="s">
        <v>872</v>
      </c>
      <c r="C190" s="7" t="s">
        <v>800</v>
      </c>
      <c r="D190" s="2" t="s">
        <v>873</v>
      </c>
      <c r="F190" s="2" t="s">
        <v>874</v>
      </c>
      <c r="S190" s="6"/>
      <c r="T190" s="6"/>
    </row>
    <row r="191" ht="12.75" customHeight="1">
      <c r="B191" s="2" t="s">
        <v>875</v>
      </c>
      <c r="C191" s="7"/>
      <c r="S191" s="6"/>
      <c r="T191" s="6"/>
    </row>
    <row r="192" ht="12.75" customHeight="1">
      <c r="B192" s="2" t="s">
        <v>872</v>
      </c>
      <c r="C192" s="7" t="s">
        <v>810</v>
      </c>
      <c r="D192" s="2" t="s">
        <v>873</v>
      </c>
      <c r="F192" s="2" t="s">
        <v>876</v>
      </c>
      <c r="S192" s="6"/>
      <c r="T192" s="6"/>
    </row>
    <row r="193" ht="12.75" customHeight="1">
      <c r="B193" s="2" t="s">
        <v>877</v>
      </c>
      <c r="C193" s="7"/>
      <c r="S193" s="6"/>
      <c r="T193" s="6"/>
    </row>
    <row r="194" ht="12.75" customHeight="1">
      <c r="B194" s="2" t="s">
        <v>878</v>
      </c>
      <c r="C194" s="7"/>
      <c r="S194" s="6"/>
      <c r="T194" s="6"/>
    </row>
    <row r="195" ht="12.75" customHeight="1">
      <c r="C195" s="7"/>
      <c r="S195" s="6"/>
      <c r="T195" s="6"/>
    </row>
    <row r="196" ht="12.75" customHeight="1">
      <c r="C196" s="7"/>
      <c r="S196" s="6"/>
      <c r="T196" s="6"/>
    </row>
    <row r="197" ht="12.75" customHeight="1">
      <c r="C197" s="7"/>
      <c r="S197" s="6"/>
      <c r="T197" s="6"/>
    </row>
    <row r="198" ht="12.75" customHeight="1">
      <c r="C198" s="7"/>
      <c r="S198" s="6"/>
      <c r="T198" s="6"/>
    </row>
    <row r="199" ht="12.75" customHeight="1">
      <c r="C199" s="7"/>
      <c r="S199" s="6"/>
      <c r="T199" s="6"/>
    </row>
    <row r="200" ht="12.75" customHeight="1">
      <c r="C200" s="7"/>
      <c r="S200" s="6"/>
      <c r="T200" s="6"/>
    </row>
    <row r="201" ht="12.75" customHeight="1">
      <c r="C201" s="7"/>
      <c r="S201" s="6"/>
      <c r="T201" s="6"/>
    </row>
    <row r="202" ht="12.75" customHeight="1">
      <c r="C202" s="7"/>
      <c r="S202" s="6"/>
      <c r="T202" s="6"/>
    </row>
    <row r="203" ht="12.75" customHeight="1">
      <c r="C203" s="7"/>
      <c r="S203" s="6"/>
      <c r="T203" s="6"/>
    </row>
    <row r="204" ht="12.75" customHeight="1">
      <c r="C204" s="7"/>
      <c r="S204" s="6"/>
      <c r="T204" s="6"/>
    </row>
    <row r="205" ht="12.75" customHeight="1">
      <c r="C205" s="7"/>
      <c r="S205" s="6"/>
      <c r="T205" s="6"/>
    </row>
    <row r="206" ht="12.75" customHeight="1">
      <c r="C206" s="7"/>
      <c r="S206" s="6"/>
      <c r="T206" s="6"/>
    </row>
    <row r="207" ht="12.75" customHeight="1">
      <c r="C207" s="7"/>
      <c r="S207" s="6"/>
      <c r="T207" s="6"/>
    </row>
    <row r="208" ht="12.75" customHeight="1">
      <c r="C208" s="7"/>
      <c r="S208" s="6"/>
      <c r="T208" s="6"/>
    </row>
    <row r="209" ht="12.75" customHeight="1">
      <c r="C209" s="7"/>
      <c r="S209" s="6"/>
      <c r="T209" s="6"/>
    </row>
    <row r="210" ht="12.75" customHeight="1">
      <c r="C210" s="7"/>
      <c r="S210" s="6"/>
      <c r="T210" s="6"/>
    </row>
    <row r="211" ht="12.75" customHeight="1">
      <c r="C211" s="7"/>
      <c r="S211" s="6"/>
      <c r="T211" s="6"/>
    </row>
    <row r="212" ht="12.75" customHeight="1">
      <c r="C212" s="7"/>
      <c r="S212" s="6"/>
      <c r="T212" s="6"/>
    </row>
    <row r="213" ht="12.75" customHeight="1">
      <c r="C213" s="7"/>
      <c r="S213" s="6"/>
      <c r="T213" s="6"/>
    </row>
    <row r="214" ht="12.75" customHeight="1">
      <c r="C214" s="7"/>
      <c r="S214" s="6"/>
      <c r="T214" s="6"/>
    </row>
    <row r="215" ht="12.75" customHeight="1">
      <c r="C215" s="7"/>
      <c r="S215" s="6"/>
      <c r="T215" s="6"/>
    </row>
    <row r="216" ht="12.75" customHeight="1">
      <c r="C216" s="7"/>
      <c r="S216" s="6"/>
      <c r="T216" s="6"/>
    </row>
    <row r="217" ht="12.75" customHeight="1">
      <c r="C217" s="7"/>
      <c r="S217" s="6"/>
      <c r="T217" s="6"/>
    </row>
    <row r="218" ht="12.75" customHeight="1">
      <c r="C218" s="7"/>
      <c r="S218" s="6"/>
      <c r="T218" s="6"/>
    </row>
    <row r="219" ht="12.75" customHeight="1">
      <c r="C219" s="7"/>
      <c r="S219" s="6"/>
      <c r="T219" s="6"/>
    </row>
    <row r="220" ht="12.75" customHeight="1">
      <c r="C220" s="7"/>
      <c r="S220" s="6"/>
      <c r="T220" s="6"/>
    </row>
    <row r="221" ht="12.75" customHeight="1">
      <c r="C221" s="7"/>
      <c r="S221" s="6"/>
      <c r="T221" s="6"/>
    </row>
    <row r="222" ht="12.75" customHeight="1">
      <c r="C222" s="7"/>
      <c r="S222" s="6"/>
      <c r="T222" s="6"/>
    </row>
    <row r="223" ht="12.75" customHeight="1">
      <c r="C223" s="7"/>
      <c r="S223" s="6"/>
      <c r="T223" s="6"/>
    </row>
    <row r="224" ht="12.75" customHeight="1">
      <c r="C224" s="7"/>
      <c r="S224" s="6"/>
      <c r="T224" s="6"/>
    </row>
    <row r="225" ht="12.75" customHeight="1">
      <c r="C225" s="7"/>
      <c r="S225" s="6"/>
      <c r="T225" s="6"/>
    </row>
    <row r="226" ht="12.75" customHeight="1">
      <c r="C226" s="7"/>
      <c r="S226" s="6"/>
      <c r="T226" s="6"/>
    </row>
    <row r="227" ht="12.75" customHeight="1">
      <c r="C227" s="7"/>
      <c r="S227" s="6"/>
      <c r="T227" s="6"/>
    </row>
    <row r="228" ht="12.75" customHeight="1">
      <c r="C228" s="7"/>
      <c r="S228" s="6"/>
      <c r="T228" s="6"/>
    </row>
    <row r="229" ht="12.75" customHeight="1">
      <c r="C229" s="7"/>
      <c r="S229" s="6"/>
      <c r="T229" s="6"/>
    </row>
    <row r="230" ht="12.75" customHeight="1">
      <c r="C230" s="7"/>
      <c r="S230" s="6"/>
      <c r="T230" s="6"/>
    </row>
    <row r="231" ht="12.75" customHeight="1">
      <c r="C231" s="7"/>
      <c r="S231" s="6"/>
      <c r="T231" s="6"/>
    </row>
    <row r="232" ht="12.75" customHeight="1">
      <c r="C232" s="7"/>
      <c r="S232" s="6"/>
      <c r="T232" s="6"/>
    </row>
    <row r="233" ht="12.75" customHeight="1">
      <c r="C233" s="7"/>
      <c r="S233" s="6"/>
      <c r="T233" s="6"/>
    </row>
    <row r="234" ht="12.75" customHeight="1">
      <c r="C234" s="7"/>
      <c r="S234" s="6"/>
      <c r="T234" s="6"/>
    </row>
    <row r="235" ht="12.75" customHeight="1">
      <c r="C235" s="7"/>
      <c r="S235" s="6"/>
      <c r="T235" s="6"/>
    </row>
    <row r="236" ht="12.75" customHeight="1">
      <c r="C236" s="7"/>
      <c r="S236" s="6"/>
      <c r="T236" s="6"/>
    </row>
    <row r="237" ht="12.75" customHeight="1">
      <c r="C237" s="7"/>
      <c r="S237" s="6"/>
      <c r="T237" s="6"/>
    </row>
    <row r="238" ht="12.75" customHeight="1">
      <c r="C238" s="7"/>
      <c r="S238" s="6"/>
      <c r="T238" s="6"/>
    </row>
    <row r="239" ht="12.75" customHeight="1">
      <c r="C239" s="7"/>
      <c r="S239" s="6"/>
      <c r="T239" s="6"/>
    </row>
    <row r="240" ht="12.75" customHeight="1">
      <c r="C240" s="7"/>
      <c r="S240" s="6"/>
      <c r="T240" s="6"/>
    </row>
    <row r="241" ht="12.75" customHeight="1">
      <c r="C241" s="7"/>
      <c r="S241" s="6"/>
      <c r="T241" s="6"/>
    </row>
    <row r="242" ht="12.75" customHeight="1">
      <c r="C242" s="7"/>
      <c r="S242" s="6"/>
      <c r="T242" s="6"/>
    </row>
    <row r="243" ht="12.75" customHeight="1">
      <c r="C243" s="7"/>
      <c r="S243" s="6"/>
      <c r="T243" s="6"/>
    </row>
    <row r="244" ht="12.75" customHeight="1">
      <c r="C244" s="7"/>
      <c r="S244" s="6"/>
      <c r="T244" s="6"/>
    </row>
    <row r="245" ht="12.75" customHeight="1">
      <c r="C245" s="7"/>
      <c r="S245" s="6"/>
      <c r="T245" s="6"/>
    </row>
    <row r="246" ht="12.75" customHeight="1">
      <c r="C246" s="7"/>
      <c r="S246" s="6"/>
      <c r="T246" s="6"/>
    </row>
    <row r="247" ht="12.75" customHeight="1">
      <c r="C247" s="7"/>
      <c r="S247" s="6"/>
      <c r="T247" s="6"/>
    </row>
    <row r="248" ht="12.75" customHeight="1">
      <c r="C248" s="7"/>
      <c r="S248" s="6"/>
      <c r="T248" s="6"/>
    </row>
    <row r="249" ht="12.75" customHeight="1">
      <c r="C249" s="7"/>
      <c r="S249" s="6"/>
      <c r="T249" s="6"/>
    </row>
    <row r="250" ht="12.75" customHeight="1">
      <c r="C250" s="7"/>
      <c r="S250" s="6"/>
      <c r="T250" s="6"/>
    </row>
    <row r="251" ht="12.75" customHeight="1">
      <c r="C251" s="7"/>
      <c r="S251" s="6"/>
      <c r="T251" s="6"/>
    </row>
    <row r="252" ht="12.75" customHeight="1">
      <c r="C252" s="7"/>
      <c r="S252" s="6"/>
      <c r="T252" s="6"/>
    </row>
    <row r="253" ht="12.75" customHeight="1">
      <c r="C253" s="7"/>
      <c r="S253" s="6"/>
      <c r="T253" s="6"/>
    </row>
    <row r="254" ht="12.75" customHeight="1">
      <c r="C254" s="7"/>
      <c r="S254" s="6"/>
      <c r="T254" s="6"/>
    </row>
    <row r="255" ht="12.75" customHeight="1">
      <c r="C255" s="7"/>
      <c r="S255" s="6"/>
      <c r="T255" s="6"/>
    </row>
    <row r="256" ht="12.75" customHeight="1">
      <c r="C256" s="7"/>
      <c r="S256" s="6"/>
      <c r="T256" s="6"/>
    </row>
    <row r="257" ht="12.75" customHeight="1">
      <c r="C257" s="7"/>
      <c r="S257" s="6"/>
      <c r="T257" s="6"/>
    </row>
    <row r="258" ht="12.75" customHeight="1">
      <c r="C258" s="7"/>
      <c r="S258" s="6"/>
      <c r="T258" s="6"/>
    </row>
    <row r="259" ht="12.75" customHeight="1">
      <c r="C259" s="7"/>
      <c r="S259" s="6"/>
      <c r="T259" s="6"/>
    </row>
    <row r="260" ht="12.75" customHeight="1">
      <c r="C260" s="7"/>
      <c r="S260" s="6"/>
      <c r="T260" s="6"/>
    </row>
    <row r="261" ht="12.75" customHeight="1">
      <c r="C261" s="7"/>
      <c r="S261" s="6"/>
      <c r="T261" s="6"/>
    </row>
    <row r="262" ht="12.75" customHeight="1">
      <c r="C262" s="7"/>
      <c r="S262" s="6"/>
      <c r="T262" s="6"/>
    </row>
    <row r="263" ht="12.75" customHeight="1">
      <c r="C263" s="7"/>
      <c r="S263" s="6"/>
      <c r="T263" s="6"/>
    </row>
    <row r="264" ht="12.75" customHeight="1">
      <c r="C264" s="7"/>
      <c r="S264" s="6"/>
      <c r="T264" s="6"/>
    </row>
    <row r="265" ht="12.75" customHeight="1">
      <c r="C265" s="7"/>
      <c r="S265" s="6"/>
      <c r="T265" s="6"/>
    </row>
    <row r="266" ht="12.75" customHeight="1">
      <c r="C266" s="7"/>
      <c r="S266" s="6"/>
      <c r="T266" s="6"/>
    </row>
    <row r="267" ht="12.75" customHeight="1">
      <c r="C267" s="7"/>
      <c r="S267" s="6"/>
      <c r="T267" s="6"/>
    </row>
    <row r="268" ht="12.75" customHeight="1">
      <c r="C268" s="7"/>
      <c r="S268" s="6"/>
      <c r="T268" s="6"/>
    </row>
    <row r="269" ht="12.75" customHeight="1">
      <c r="C269" s="7"/>
      <c r="S269" s="6"/>
      <c r="T269" s="6"/>
    </row>
    <row r="270" ht="12.75" customHeight="1">
      <c r="C270" s="7"/>
      <c r="S270" s="6"/>
      <c r="T270" s="6"/>
    </row>
    <row r="271" ht="12.75" customHeight="1">
      <c r="C271" s="7"/>
      <c r="S271" s="6"/>
      <c r="T271" s="6"/>
    </row>
    <row r="272" ht="12.75" customHeight="1">
      <c r="C272" s="7"/>
      <c r="S272" s="6"/>
      <c r="T272" s="6"/>
    </row>
    <row r="273" ht="12.75" customHeight="1">
      <c r="C273" s="7"/>
      <c r="S273" s="6"/>
      <c r="T273" s="6"/>
    </row>
    <row r="274" ht="12.75" customHeight="1">
      <c r="C274" s="7"/>
      <c r="S274" s="6"/>
      <c r="T274" s="6"/>
    </row>
    <row r="275" ht="12.75" customHeight="1">
      <c r="C275" s="7"/>
      <c r="S275" s="6"/>
      <c r="T275" s="6"/>
    </row>
    <row r="276" ht="12.75" customHeight="1">
      <c r="C276" s="7"/>
      <c r="S276" s="6"/>
      <c r="T276" s="6"/>
    </row>
    <row r="277" ht="12.75" customHeight="1">
      <c r="C277" s="7"/>
      <c r="S277" s="6"/>
      <c r="T277" s="6"/>
    </row>
    <row r="278" ht="12.75" customHeight="1">
      <c r="C278" s="7"/>
      <c r="S278" s="6"/>
      <c r="T278" s="6"/>
    </row>
    <row r="279" ht="12.75" customHeight="1">
      <c r="C279" s="7"/>
      <c r="S279" s="6"/>
      <c r="T279" s="6"/>
    </row>
    <row r="280" ht="12.75" customHeight="1">
      <c r="C280" s="7"/>
      <c r="S280" s="6"/>
      <c r="T280" s="6"/>
    </row>
    <row r="281" ht="12.75" customHeight="1">
      <c r="C281" s="7"/>
      <c r="S281" s="6"/>
      <c r="T281" s="6"/>
    </row>
    <row r="282" ht="12.75" customHeight="1">
      <c r="C282" s="7"/>
      <c r="S282" s="6"/>
      <c r="T282" s="6"/>
    </row>
    <row r="283" ht="12.75" customHeight="1">
      <c r="C283" s="7"/>
      <c r="S283" s="6"/>
      <c r="T283" s="6"/>
    </row>
    <row r="284" ht="12.75" customHeight="1">
      <c r="C284" s="7"/>
      <c r="S284" s="6"/>
      <c r="T284" s="6"/>
    </row>
    <row r="285" ht="12.75" customHeight="1">
      <c r="C285" s="7"/>
      <c r="S285" s="6"/>
      <c r="T285" s="6"/>
    </row>
    <row r="286" ht="12.75" customHeight="1">
      <c r="C286" s="7"/>
      <c r="S286" s="6"/>
      <c r="T286" s="6"/>
    </row>
    <row r="287" ht="12.75" customHeight="1">
      <c r="C287" s="7"/>
      <c r="S287" s="6"/>
      <c r="T287" s="6"/>
    </row>
    <row r="288" ht="12.75" customHeight="1">
      <c r="C288" s="7"/>
      <c r="S288" s="6"/>
      <c r="T288" s="6"/>
    </row>
    <row r="289" ht="12.75" customHeight="1">
      <c r="C289" s="7"/>
      <c r="S289" s="6"/>
      <c r="T289" s="6"/>
    </row>
    <row r="290" ht="12.75" customHeight="1">
      <c r="C290" s="7"/>
      <c r="S290" s="6"/>
      <c r="T290" s="6"/>
    </row>
    <row r="291" ht="12.75" customHeight="1">
      <c r="C291" s="7"/>
      <c r="S291" s="6"/>
      <c r="T291" s="6"/>
    </row>
    <row r="292" ht="12.75" customHeight="1">
      <c r="C292" s="7"/>
      <c r="S292" s="6"/>
      <c r="T292" s="6"/>
    </row>
    <row r="293" ht="12.75" customHeight="1">
      <c r="C293" s="7"/>
      <c r="S293" s="6"/>
      <c r="T293" s="6"/>
    </row>
    <row r="294" ht="12.75" customHeight="1">
      <c r="C294" s="7"/>
      <c r="S294" s="6"/>
      <c r="T294" s="6"/>
    </row>
    <row r="295" ht="12.75" customHeight="1">
      <c r="C295" s="7"/>
      <c r="S295" s="6"/>
      <c r="T295" s="6"/>
    </row>
    <row r="296" ht="12.75" customHeight="1">
      <c r="C296" s="7"/>
      <c r="S296" s="6"/>
      <c r="T296" s="6"/>
    </row>
    <row r="297" ht="12.75" customHeight="1">
      <c r="C297" s="7"/>
      <c r="S297" s="6"/>
      <c r="T297" s="6"/>
    </row>
    <row r="298" ht="12.75" customHeight="1">
      <c r="C298" s="7"/>
      <c r="S298" s="6"/>
      <c r="T298" s="6"/>
    </row>
    <row r="299" ht="12.75" customHeight="1">
      <c r="C299" s="7"/>
      <c r="S299" s="6"/>
      <c r="T299" s="6"/>
    </row>
    <row r="300" ht="12.75" customHeight="1">
      <c r="C300" s="7"/>
      <c r="S300" s="6"/>
      <c r="T300" s="6"/>
    </row>
    <row r="301" ht="12.75" customHeight="1">
      <c r="C301" s="7"/>
      <c r="S301" s="6"/>
      <c r="T301" s="6"/>
    </row>
    <row r="302" ht="12.75" customHeight="1">
      <c r="C302" s="7"/>
      <c r="S302" s="6"/>
      <c r="T302" s="6"/>
    </row>
    <row r="303" ht="12.75" customHeight="1">
      <c r="C303" s="7"/>
      <c r="S303" s="6"/>
      <c r="T303" s="6"/>
    </row>
    <row r="304" ht="12.75" customHeight="1">
      <c r="C304" s="7"/>
      <c r="S304" s="6"/>
      <c r="T304" s="6"/>
    </row>
    <row r="305" ht="12.75" customHeight="1">
      <c r="C305" s="7"/>
      <c r="S305" s="6"/>
      <c r="T305" s="6"/>
    </row>
    <row r="306" ht="12.75" customHeight="1">
      <c r="C306" s="7"/>
      <c r="S306" s="6"/>
      <c r="T306" s="6"/>
    </row>
    <row r="307" ht="12.75" customHeight="1">
      <c r="C307" s="7"/>
      <c r="S307" s="6"/>
      <c r="T307" s="6"/>
    </row>
    <row r="308" ht="12.75" customHeight="1">
      <c r="C308" s="7"/>
      <c r="S308" s="6"/>
      <c r="T308" s="6"/>
    </row>
    <row r="309" ht="12.75" customHeight="1">
      <c r="C309" s="7"/>
      <c r="S309" s="6"/>
      <c r="T309" s="6"/>
    </row>
    <row r="310" ht="12.75" customHeight="1">
      <c r="C310" s="7"/>
      <c r="S310" s="6"/>
      <c r="T310" s="6"/>
    </row>
    <row r="311" ht="12.75" customHeight="1">
      <c r="C311" s="7"/>
      <c r="S311" s="6"/>
      <c r="T311" s="6"/>
    </row>
    <row r="312" ht="12.75" customHeight="1">
      <c r="C312" s="7"/>
      <c r="S312" s="6"/>
      <c r="T312" s="6"/>
    </row>
    <row r="313" ht="12.75" customHeight="1">
      <c r="C313" s="7"/>
      <c r="S313" s="6"/>
      <c r="T313" s="6"/>
    </row>
    <row r="314" ht="12.75" customHeight="1">
      <c r="C314" s="7"/>
      <c r="S314" s="6"/>
      <c r="T314" s="6"/>
    </row>
    <row r="315" ht="12.75" customHeight="1">
      <c r="C315" s="7"/>
      <c r="S315" s="6"/>
      <c r="T315" s="6"/>
    </row>
    <row r="316" ht="12.75" customHeight="1">
      <c r="C316" s="7"/>
      <c r="S316" s="6"/>
      <c r="T316" s="6"/>
    </row>
    <row r="317" ht="12.75" customHeight="1">
      <c r="C317" s="7"/>
      <c r="S317" s="6"/>
      <c r="T317" s="6"/>
    </row>
    <row r="318" ht="12.75" customHeight="1">
      <c r="C318" s="7"/>
      <c r="S318" s="6"/>
      <c r="T318" s="6"/>
    </row>
    <row r="319" ht="12.75" customHeight="1">
      <c r="C319" s="7"/>
      <c r="S319" s="6"/>
      <c r="T319" s="6"/>
    </row>
    <row r="320" ht="12.75" customHeight="1">
      <c r="C320" s="7"/>
      <c r="S320" s="6"/>
      <c r="T320" s="6"/>
    </row>
    <row r="321" ht="12.75" customHeight="1">
      <c r="C321" s="7"/>
      <c r="S321" s="6"/>
      <c r="T321" s="6"/>
    </row>
    <row r="322" ht="12.75" customHeight="1">
      <c r="C322" s="7"/>
      <c r="S322" s="6"/>
      <c r="T322" s="6"/>
    </row>
    <row r="323" ht="12.75" customHeight="1">
      <c r="C323" s="7"/>
      <c r="S323" s="6"/>
      <c r="T323" s="6"/>
    </row>
    <row r="324" ht="12.75" customHeight="1">
      <c r="C324" s="7"/>
      <c r="S324" s="6"/>
      <c r="T324" s="6"/>
    </row>
    <row r="325" ht="12.75" customHeight="1">
      <c r="C325" s="7"/>
      <c r="S325" s="6"/>
      <c r="T325" s="6"/>
    </row>
    <row r="326" ht="12.75" customHeight="1">
      <c r="C326" s="7"/>
      <c r="S326" s="6"/>
      <c r="T326" s="6"/>
    </row>
    <row r="327" ht="12.75" customHeight="1">
      <c r="C327" s="7"/>
      <c r="S327" s="6"/>
      <c r="T327" s="6"/>
    </row>
    <row r="328" ht="12.75" customHeight="1">
      <c r="C328" s="7"/>
      <c r="S328" s="6"/>
      <c r="T328" s="6"/>
    </row>
    <row r="329" ht="12.75" customHeight="1">
      <c r="C329" s="7"/>
      <c r="S329" s="6"/>
      <c r="T329" s="6"/>
    </row>
    <row r="330" ht="12.75" customHeight="1">
      <c r="C330" s="7"/>
      <c r="S330" s="6"/>
      <c r="T330" s="6"/>
    </row>
    <row r="331" ht="12.75" customHeight="1">
      <c r="C331" s="7"/>
      <c r="S331" s="6"/>
      <c r="T331" s="6"/>
    </row>
    <row r="332" ht="12.75" customHeight="1">
      <c r="C332" s="7"/>
      <c r="S332" s="6"/>
      <c r="T332" s="6"/>
    </row>
    <row r="333" ht="12.75" customHeight="1">
      <c r="C333" s="7"/>
      <c r="S333" s="6"/>
      <c r="T333" s="6"/>
    </row>
    <row r="334" ht="12.75" customHeight="1">
      <c r="C334" s="7"/>
      <c r="S334" s="6"/>
      <c r="T334" s="6"/>
    </row>
    <row r="335" ht="12.75" customHeight="1">
      <c r="C335" s="7"/>
      <c r="S335" s="6"/>
      <c r="T335" s="6"/>
    </row>
    <row r="336" ht="12.75" customHeight="1">
      <c r="C336" s="7"/>
      <c r="S336" s="6"/>
      <c r="T336" s="6"/>
    </row>
    <row r="337" ht="12.75" customHeight="1">
      <c r="C337" s="7"/>
      <c r="S337" s="6"/>
      <c r="T337" s="6"/>
    </row>
    <row r="338" ht="12.75" customHeight="1">
      <c r="C338" s="7"/>
      <c r="S338" s="6"/>
      <c r="T338" s="6"/>
    </row>
    <row r="339" ht="12.75" customHeight="1">
      <c r="C339" s="7"/>
      <c r="S339" s="6"/>
      <c r="T339" s="6"/>
    </row>
    <row r="340" ht="12.75" customHeight="1">
      <c r="C340" s="7"/>
      <c r="S340" s="6"/>
      <c r="T340" s="6"/>
    </row>
    <row r="341" ht="12.75" customHeight="1">
      <c r="C341" s="7"/>
      <c r="S341" s="6"/>
      <c r="T341" s="6"/>
    </row>
    <row r="342" ht="12.75" customHeight="1">
      <c r="C342" s="7"/>
      <c r="S342" s="6"/>
      <c r="T342" s="6"/>
    </row>
    <row r="343" ht="12.75" customHeight="1">
      <c r="C343" s="7"/>
      <c r="S343" s="6"/>
      <c r="T343" s="6"/>
    </row>
    <row r="344" ht="12.75" customHeight="1">
      <c r="C344" s="7"/>
      <c r="S344" s="6"/>
      <c r="T344" s="6"/>
    </row>
    <row r="345" ht="12.75" customHeight="1">
      <c r="C345" s="7"/>
      <c r="S345" s="6"/>
      <c r="T345" s="6"/>
    </row>
    <row r="346" ht="12.75" customHeight="1">
      <c r="C346" s="7"/>
      <c r="S346" s="6"/>
      <c r="T346" s="6"/>
    </row>
    <row r="347" ht="12.75" customHeight="1">
      <c r="C347" s="7"/>
      <c r="S347" s="6"/>
      <c r="T347" s="6"/>
    </row>
    <row r="348" ht="12.75" customHeight="1">
      <c r="C348" s="7"/>
      <c r="S348" s="6"/>
      <c r="T348" s="6"/>
    </row>
    <row r="349" ht="12.75" customHeight="1">
      <c r="C349" s="7"/>
      <c r="S349" s="6"/>
      <c r="T349" s="6"/>
    </row>
    <row r="350" ht="12.75" customHeight="1">
      <c r="C350" s="7"/>
      <c r="S350" s="6"/>
      <c r="T350" s="6"/>
    </row>
    <row r="351" ht="12.75" customHeight="1">
      <c r="C351" s="7"/>
      <c r="S351" s="6"/>
      <c r="T351" s="6"/>
    </row>
    <row r="352" ht="12.75" customHeight="1">
      <c r="C352" s="7"/>
      <c r="S352" s="6"/>
      <c r="T352" s="6"/>
    </row>
    <row r="353" ht="12.75" customHeight="1">
      <c r="C353" s="7"/>
      <c r="S353" s="6"/>
      <c r="T353" s="6"/>
    </row>
    <row r="354" ht="12.75" customHeight="1">
      <c r="C354" s="7"/>
      <c r="S354" s="6"/>
      <c r="T354" s="6"/>
    </row>
    <row r="355" ht="12.75" customHeight="1">
      <c r="C355" s="7"/>
      <c r="S355" s="6"/>
      <c r="T355" s="6"/>
    </row>
    <row r="356" ht="12.75" customHeight="1">
      <c r="C356" s="7"/>
      <c r="S356" s="6"/>
      <c r="T356" s="6"/>
    </row>
    <row r="357" ht="12.75" customHeight="1">
      <c r="C357" s="7"/>
      <c r="S357" s="6"/>
      <c r="T357" s="6"/>
    </row>
    <row r="358" ht="12.75" customHeight="1">
      <c r="C358" s="7"/>
      <c r="S358" s="6"/>
      <c r="T358" s="6"/>
    </row>
    <row r="359" ht="12.75" customHeight="1">
      <c r="C359" s="7"/>
      <c r="S359" s="6"/>
      <c r="T359" s="6"/>
    </row>
    <row r="360" ht="12.75" customHeight="1">
      <c r="C360" s="7"/>
      <c r="S360" s="6"/>
      <c r="T360" s="6"/>
    </row>
    <row r="361" ht="12.75" customHeight="1">
      <c r="C361" s="7"/>
      <c r="S361" s="6"/>
      <c r="T361" s="6"/>
    </row>
    <row r="362" ht="12.75" customHeight="1">
      <c r="C362" s="7"/>
      <c r="S362" s="6"/>
      <c r="T362" s="6"/>
    </row>
    <row r="363" ht="12.75" customHeight="1">
      <c r="C363" s="7"/>
      <c r="S363" s="6"/>
      <c r="T363" s="6"/>
    </row>
    <row r="364" ht="12.75" customHeight="1">
      <c r="C364" s="7"/>
      <c r="S364" s="6"/>
      <c r="T364" s="6"/>
    </row>
    <row r="365" ht="12.75" customHeight="1">
      <c r="C365" s="7"/>
      <c r="S365" s="6"/>
      <c r="T365" s="6"/>
    </row>
    <row r="366" ht="12.75" customHeight="1">
      <c r="C366" s="7"/>
      <c r="S366" s="6"/>
      <c r="T366" s="6"/>
    </row>
    <row r="367" ht="12.75" customHeight="1">
      <c r="C367" s="7"/>
      <c r="S367" s="6"/>
      <c r="T367" s="6"/>
    </row>
    <row r="368" ht="12.75" customHeight="1">
      <c r="C368" s="7"/>
      <c r="S368" s="6"/>
      <c r="T368" s="6"/>
    </row>
    <row r="369" ht="12.75" customHeight="1">
      <c r="C369" s="7"/>
      <c r="S369" s="6"/>
      <c r="T369" s="6"/>
    </row>
    <row r="370" ht="12.75" customHeight="1">
      <c r="C370" s="7"/>
      <c r="S370" s="6"/>
      <c r="T370" s="6"/>
    </row>
    <row r="371" ht="12.75" customHeight="1">
      <c r="C371" s="7"/>
      <c r="S371" s="6"/>
      <c r="T371" s="6"/>
    </row>
    <row r="372" ht="12.75" customHeight="1">
      <c r="C372" s="7"/>
      <c r="S372" s="6"/>
      <c r="T372" s="6"/>
    </row>
    <row r="373" ht="12.75" customHeight="1">
      <c r="C373" s="7"/>
      <c r="S373" s="6"/>
      <c r="T373" s="6"/>
    </row>
    <row r="374" ht="12.75" customHeight="1">
      <c r="C374" s="7"/>
      <c r="S374" s="6"/>
      <c r="T374" s="6"/>
    </row>
    <row r="375" ht="12.75" customHeight="1">
      <c r="C375" s="7"/>
      <c r="S375" s="6"/>
      <c r="T375" s="6"/>
    </row>
    <row r="376" ht="12.75" customHeight="1">
      <c r="C376" s="7"/>
      <c r="S376" s="6"/>
      <c r="T376" s="6"/>
    </row>
    <row r="377" ht="12.75" customHeight="1">
      <c r="C377" s="7"/>
      <c r="S377" s="6"/>
      <c r="T377" s="6"/>
    </row>
    <row r="378" ht="12.75" customHeight="1">
      <c r="C378" s="7"/>
      <c r="S378" s="6"/>
      <c r="T378" s="6"/>
    </row>
    <row r="379" ht="12.75" customHeight="1">
      <c r="C379" s="7"/>
      <c r="S379" s="6"/>
      <c r="T379" s="6"/>
    </row>
    <row r="380" ht="12.75" customHeight="1">
      <c r="C380" s="7"/>
      <c r="S380" s="6"/>
      <c r="T380" s="6"/>
    </row>
    <row r="381" ht="12.75" customHeight="1">
      <c r="C381" s="7"/>
      <c r="S381" s="6"/>
      <c r="T381" s="6"/>
    </row>
    <row r="382" ht="12.75" customHeight="1">
      <c r="C382" s="7"/>
      <c r="S382" s="6"/>
      <c r="T382" s="6"/>
    </row>
    <row r="383" ht="12.75" customHeight="1">
      <c r="C383" s="7"/>
      <c r="S383" s="6"/>
      <c r="T383" s="6"/>
    </row>
    <row r="384" ht="12.75" customHeight="1">
      <c r="C384" s="7"/>
      <c r="S384" s="6"/>
      <c r="T384" s="6"/>
    </row>
    <row r="385" ht="12.75" customHeight="1">
      <c r="C385" s="7"/>
      <c r="S385" s="6"/>
      <c r="T385" s="6"/>
    </row>
    <row r="386" ht="12.75" customHeight="1">
      <c r="C386" s="7"/>
      <c r="S386" s="6"/>
      <c r="T386" s="6"/>
    </row>
    <row r="387" ht="12.75" customHeight="1">
      <c r="C387" s="7"/>
      <c r="S387" s="6"/>
      <c r="T387" s="6"/>
    </row>
    <row r="388" ht="12.75" customHeight="1">
      <c r="C388" s="7"/>
      <c r="S388" s="6"/>
      <c r="T388" s="6"/>
    </row>
    <row r="389" ht="12.75" customHeight="1">
      <c r="C389" s="7"/>
      <c r="S389" s="6"/>
      <c r="T389" s="6"/>
    </row>
    <row r="390" ht="12.75" customHeight="1">
      <c r="C390" s="7"/>
      <c r="S390" s="6"/>
      <c r="T390" s="6"/>
    </row>
    <row r="391" ht="12.75" customHeight="1">
      <c r="C391" s="7"/>
      <c r="S391" s="6"/>
      <c r="T391" s="6"/>
    </row>
    <row r="392" ht="12.75" customHeight="1">
      <c r="C392" s="7"/>
      <c r="S392" s="6"/>
      <c r="T392" s="6"/>
    </row>
    <row r="393" ht="12.75" customHeight="1">
      <c r="C393" s="7"/>
      <c r="S393" s="6"/>
      <c r="T393" s="6"/>
    </row>
    <row r="394" ht="12.75" customHeight="1">
      <c r="C394" s="7"/>
      <c r="S394" s="6"/>
      <c r="T394" s="6"/>
    </row>
    <row r="395" ht="12.75" customHeight="1">
      <c r="C395" s="7"/>
      <c r="S395" s="6"/>
      <c r="T395" s="6"/>
    </row>
    <row r="396" ht="12.75" customHeight="1">
      <c r="C396" s="7"/>
      <c r="S396" s="6"/>
      <c r="T396" s="6"/>
    </row>
    <row r="397" ht="12.75" customHeight="1">
      <c r="C397" s="7"/>
      <c r="S397" s="6"/>
      <c r="T397" s="6"/>
    </row>
    <row r="398" ht="12.75" customHeight="1">
      <c r="C398" s="7"/>
      <c r="S398" s="6"/>
      <c r="T398" s="6"/>
    </row>
    <row r="399" ht="12.75" customHeight="1">
      <c r="C399" s="7"/>
      <c r="S399" s="6"/>
      <c r="T399" s="6"/>
    </row>
    <row r="400" ht="12.75" customHeight="1">
      <c r="C400" s="7"/>
      <c r="S400" s="6"/>
      <c r="T400" s="6"/>
    </row>
    <row r="401" ht="12.75" customHeight="1">
      <c r="C401" s="7"/>
      <c r="S401" s="6"/>
      <c r="T401" s="6"/>
    </row>
    <row r="402" ht="12.75" customHeight="1">
      <c r="C402" s="7"/>
      <c r="S402" s="6"/>
      <c r="T402" s="6"/>
    </row>
    <row r="403" ht="12.75" customHeight="1">
      <c r="C403" s="7"/>
      <c r="S403" s="6"/>
      <c r="T403" s="6"/>
    </row>
    <row r="404" ht="12.75" customHeight="1">
      <c r="C404" s="7"/>
      <c r="S404" s="6"/>
      <c r="T404" s="6"/>
    </row>
    <row r="405" ht="12.75" customHeight="1">
      <c r="C405" s="7"/>
      <c r="S405" s="6"/>
      <c r="T405" s="6"/>
    </row>
    <row r="406" ht="12.75" customHeight="1">
      <c r="C406" s="7"/>
      <c r="S406" s="6"/>
      <c r="T406" s="6"/>
    </row>
    <row r="407" ht="12.75" customHeight="1">
      <c r="C407" s="7"/>
      <c r="S407" s="6"/>
      <c r="T407" s="6"/>
    </row>
    <row r="408" ht="12.75" customHeight="1">
      <c r="C408" s="7"/>
      <c r="S408" s="6"/>
      <c r="T408" s="6"/>
    </row>
    <row r="409" ht="12.75" customHeight="1">
      <c r="C409" s="7"/>
      <c r="S409" s="6"/>
      <c r="T409" s="6"/>
    </row>
    <row r="410" ht="12.75" customHeight="1">
      <c r="C410" s="7"/>
      <c r="S410" s="6"/>
      <c r="T410" s="6"/>
    </row>
    <row r="411" ht="12.75" customHeight="1">
      <c r="C411" s="7"/>
      <c r="S411" s="6"/>
      <c r="T411" s="6"/>
    </row>
    <row r="412" ht="12.75" customHeight="1">
      <c r="C412" s="7"/>
      <c r="S412" s="6"/>
      <c r="T412" s="6"/>
    </row>
    <row r="413" ht="12.75" customHeight="1">
      <c r="C413" s="7"/>
      <c r="S413" s="6"/>
      <c r="T413" s="6"/>
    </row>
    <row r="414" ht="12.75" customHeight="1">
      <c r="C414" s="7"/>
      <c r="S414" s="6"/>
      <c r="T414" s="6"/>
    </row>
    <row r="415" ht="12.75" customHeight="1">
      <c r="C415" s="7"/>
      <c r="S415" s="6"/>
      <c r="T415" s="6"/>
    </row>
    <row r="416" ht="12.75" customHeight="1">
      <c r="C416" s="7"/>
      <c r="S416" s="6"/>
      <c r="T416" s="6"/>
    </row>
    <row r="417" ht="12.75" customHeight="1">
      <c r="C417" s="7"/>
      <c r="S417" s="6"/>
      <c r="T417" s="6"/>
    </row>
    <row r="418" ht="12.75" customHeight="1">
      <c r="C418" s="7"/>
      <c r="S418" s="6"/>
      <c r="T418" s="6"/>
    </row>
    <row r="419" ht="12.75" customHeight="1">
      <c r="C419" s="7"/>
      <c r="S419" s="6"/>
      <c r="T419" s="6"/>
    </row>
    <row r="420" ht="12.75" customHeight="1">
      <c r="C420" s="7"/>
      <c r="S420" s="6"/>
      <c r="T420" s="6"/>
    </row>
    <row r="421" ht="12.75" customHeight="1">
      <c r="C421" s="7"/>
      <c r="S421" s="6"/>
      <c r="T421" s="6"/>
    </row>
    <row r="422" ht="12.75" customHeight="1">
      <c r="C422" s="7"/>
      <c r="S422" s="6"/>
      <c r="T422" s="6"/>
    </row>
    <row r="423" ht="12.75" customHeight="1">
      <c r="C423" s="7"/>
      <c r="S423" s="6"/>
      <c r="T423" s="6"/>
    </row>
    <row r="424" ht="12.75" customHeight="1">
      <c r="C424" s="7"/>
      <c r="S424" s="6"/>
      <c r="T424" s="6"/>
    </row>
    <row r="425" ht="12.75" customHeight="1">
      <c r="C425" s="7"/>
      <c r="S425" s="6"/>
      <c r="T425" s="6"/>
    </row>
    <row r="426" ht="12.75" customHeight="1">
      <c r="C426" s="7"/>
      <c r="S426" s="6"/>
      <c r="T426" s="6"/>
    </row>
    <row r="427" ht="12.75" customHeight="1">
      <c r="C427" s="7"/>
      <c r="S427" s="6"/>
      <c r="T427" s="6"/>
    </row>
    <row r="428" ht="12.75" customHeight="1">
      <c r="C428" s="7"/>
      <c r="S428" s="6"/>
      <c r="T428" s="6"/>
    </row>
    <row r="429" ht="12.75" customHeight="1">
      <c r="C429" s="7"/>
      <c r="S429" s="6"/>
      <c r="T429" s="6"/>
    </row>
    <row r="430" ht="12.75" customHeight="1">
      <c r="C430" s="7"/>
      <c r="S430" s="6"/>
      <c r="T430" s="6"/>
    </row>
    <row r="431" ht="12.75" customHeight="1">
      <c r="C431" s="7"/>
      <c r="S431" s="6"/>
      <c r="T431" s="6"/>
    </row>
    <row r="432" ht="12.75" customHeight="1">
      <c r="C432" s="7"/>
      <c r="S432" s="6"/>
      <c r="T432" s="6"/>
    </row>
    <row r="433" ht="12.75" customHeight="1">
      <c r="C433" s="7"/>
      <c r="S433" s="6"/>
      <c r="T433" s="6"/>
    </row>
    <row r="434" ht="12.75" customHeight="1">
      <c r="C434" s="7"/>
      <c r="S434" s="6"/>
      <c r="T434" s="6"/>
    </row>
    <row r="435" ht="12.75" customHeight="1">
      <c r="C435" s="7"/>
      <c r="S435" s="6"/>
      <c r="T435" s="6"/>
    </row>
    <row r="436" ht="12.75" customHeight="1">
      <c r="C436" s="7"/>
      <c r="S436" s="6"/>
      <c r="T436" s="6"/>
    </row>
    <row r="437" ht="12.75" customHeight="1">
      <c r="C437" s="7"/>
      <c r="S437" s="6"/>
      <c r="T437" s="6"/>
    </row>
    <row r="438" ht="12.75" customHeight="1">
      <c r="C438" s="7"/>
      <c r="S438" s="6"/>
      <c r="T438" s="6"/>
    </row>
    <row r="439" ht="12.75" customHeight="1">
      <c r="C439" s="7"/>
      <c r="S439" s="6"/>
      <c r="T439" s="6"/>
    </row>
    <row r="440" ht="12.75" customHeight="1">
      <c r="C440" s="7"/>
      <c r="S440" s="6"/>
      <c r="T440" s="6"/>
    </row>
    <row r="441" ht="12.75" customHeight="1">
      <c r="C441" s="7"/>
      <c r="S441" s="6"/>
      <c r="T441" s="6"/>
    </row>
    <row r="442" ht="12.75" customHeight="1">
      <c r="C442" s="7"/>
      <c r="S442" s="6"/>
      <c r="T442" s="6"/>
    </row>
    <row r="443" ht="12.75" customHeight="1">
      <c r="C443" s="7"/>
      <c r="S443" s="6"/>
      <c r="T443" s="6"/>
    </row>
    <row r="444" ht="12.75" customHeight="1">
      <c r="C444" s="7"/>
      <c r="S444" s="6"/>
      <c r="T444" s="6"/>
    </row>
    <row r="445" ht="12.75" customHeight="1">
      <c r="C445" s="7"/>
      <c r="S445" s="6"/>
      <c r="T445" s="6"/>
    </row>
    <row r="446" ht="12.75" customHeight="1">
      <c r="C446" s="7"/>
      <c r="S446" s="6"/>
      <c r="T446" s="6"/>
    </row>
    <row r="447" ht="12.75" customHeight="1">
      <c r="C447" s="7"/>
      <c r="S447" s="6"/>
      <c r="T447" s="6"/>
    </row>
    <row r="448" ht="12.75" customHeight="1">
      <c r="C448" s="7"/>
      <c r="S448" s="6"/>
      <c r="T448" s="6"/>
    </row>
    <row r="449" ht="12.75" customHeight="1">
      <c r="C449" s="7"/>
      <c r="S449" s="6"/>
      <c r="T449" s="6"/>
    </row>
    <row r="450" ht="12.75" customHeight="1">
      <c r="C450" s="7"/>
      <c r="S450" s="6"/>
      <c r="T450" s="6"/>
    </row>
    <row r="451" ht="12.75" customHeight="1">
      <c r="C451" s="7"/>
      <c r="S451" s="6"/>
      <c r="T451" s="6"/>
    </row>
    <row r="452" ht="12.75" customHeight="1">
      <c r="C452" s="7"/>
      <c r="S452" s="6"/>
      <c r="T452" s="6"/>
    </row>
    <row r="453" ht="12.75" customHeight="1">
      <c r="C453" s="7"/>
      <c r="S453" s="6"/>
      <c r="T453" s="6"/>
    </row>
    <row r="454" ht="12.75" customHeight="1">
      <c r="C454" s="7"/>
      <c r="S454" s="6"/>
      <c r="T454" s="6"/>
    </row>
    <row r="455" ht="12.75" customHeight="1">
      <c r="C455" s="7"/>
      <c r="S455" s="6"/>
      <c r="T455" s="6"/>
    </row>
    <row r="456" ht="12.75" customHeight="1">
      <c r="C456" s="7"/>
      <c r="S456" s="6"/>
      <c r="T456" s="6"/>
    </row>
    <row r="457" ht="12.75" customHeight="1">
      <c r="C457" s="7"/>
      <c r="S457" s="6"/>
      <c r="T457" s="6"/>
    </row>
    <row r="458" ht="12.75" customHeight="1">
      <c r="C458" s="7"/>
      <c r="S458" s="6"/>
      <c r="T458" s="6"/>
    </row>
    <row r="459" ht="12.75" customHeight="1">
      <c r="C459" s="7"/>
      <c r="S459" s="6"/>
      <c r="T459" s="6"/>
    </row>
    <row r="460" ht="12.75" customHeight="1">
      <c r="C460" s="7"/>
      <c r="S460" s="6"/>
      <c r="T460" s="6"/>
    </row>
    <row r="461" ht="12.75" customHeight="1">
      <c r="C461" s="7"/>
      <c r="S461" s="6"/>
      <c r="T461" s="6"/>
    </row>
    <row r="462" ht="12.75" customHeight="1">
      <c r="C462" s="7"/>
      <c r="S462" s="6"/>
      <c r="T462" s="6"/>
    </row>
    <row r="463" ht="12.75" customHeight="1">
      <c r="C463" s="7"/>
      <c r="S463" s="6"/>
      <c r="T463" s="6"/>
    </row>
    <row r="464" ht="12.75" customHeight="1">
      <c r="C464" s="7"/>
      <c r="S464" s="6"/>
      <c r="T464" s="6"/>
    </row>
    <row r="465" ht="12.75" customHeight="1">
      <c r="C465" s="7"/>
      <c r="S465" s="6"/>
      <c r="T465" s="6"/>
    </row>
    <row r="466" ht="12.75" customHeight="1">
      <c r="C466" s="7"/>
      <c r="S466" s="6"/>
      <c r="T466" s="6"/>
    </row>
    <row r="467" ht="12.75" customHeight="1">
      <c r="C467" s="7"/>
      <c r="S467" s="6"/>
      <c r="T467" s="6"/>
    </row>
    <row r="468" ht="12.75" customHeight="1">
      <c r="C468" s="7"/>
      <c r="S468" s="6"/>
      <c r="T468" s="6"/>
    </row>
    <row r="469" ht="12.75" customHeight="1">
      <c r="C469" s="7"/>
      <c r="S469" s="6"/>
      <c r="T469" s="6"/>
    </row>
    <row r="470" ht="12.75" customHeight="1">
      <c r="C470" s="7"/>
      <c r="S470" s="6"/>
      <c r="T470" s="6"/>
    </row>
    <row r="471" ht="12.75" customHeight="1">
      <c r="C471" s="7"/>
      <c r="S471" s="6"/>
      <c r="T471" s="6"/>
    </row>
    <row r="472" ht="12.75" customHeight="1">
      <c r="C472" s="7"/>
      <c r="S472" s="6"/>
      <c r="T472" s="6"/>
    </row>
    <row r="473" ht="12.75" customHeight="1">
      <c r="C473" s="7"/>
      <c r="S473" s="6"/>
      <c r="T473" s="6"/>
    </row>
    <row r="474" ht="12.75" customHeight="1">
      <c r="C474" s="7"/>
      <c r="S474" s="6"/>
      <c r="T474" s="6"/>
    </row>
    <row r="475" ht="12.75" customHeight="1">
      <c r="C475" s="7"/>
      <c r="S475" s="6"/>
      <c r="T475" s="6"/>
    </row>
    <row r="476" ht="12.75" customHeight="1">
      <c r="C476" s="7"/>
      <c r="S476" s="6"/>
      <c r="T476" s="6"/>
    </row>
    <row r="477" ht="12.75" customHeight="1">
      <c r="C477" s="7"/>
      <c r="S477" s="6"/>
      <c r="T477" s="6"/>
    </row>
    <row r="478" ht="12.75" customHeight="1">
      <c r="C478" s="7"/>
      <c r="S478" s="6"/>
      <c r="T478" s="6"/>
    </row>
    <row r="479" ht="12.75" customHeight="1">
      <c r="C479" s="7"/>
      <c r="S479" s="6"/>
      <c r="T479" s="6"/>
    </row>
    <row r="480" ht="12.75" customHeight="1">
      <c r="C480" s="7"/>
      <c r="S480" s="6"/>
      <c r="T480" s="6"/>
    </row>
    <row r="481" ht="12.75" customHeight="1">
      <c r="C481" s="7"/>
      <c r="S481" s="6"/>
      <c r="T481" s="6"/>
    </row>
    <row r="482" ht="12.75" customHeight="1">
      <c r="C482" s="7"/>
      <c r="S482" s="6"/>
      <c r="T482" s="6"/>
    </row>
    <row r="483" ht="12.75" customHeight="1">
      <c r="C483" s="7"/>
      <c r="S483" s="6"/>
      <c r="T483" s="6"/>
    </row>
    <row r="484" ht="12.75" customHeight="1">
      <c r="C484" s="7"/>
      <c r="S484" s="6"/>
      <c r="T484" s="6"/>
    </row>
    <row r="485" ht="12.75" customHeight="1">
      <c r="C485" s="7"/>
      <c r="S485" s="6"/>
      <c r="T485" s="6"/>
    </row>
    <row r="486" ht="12.75" customHeight="1">
      <c r="C486" s="7"/>
      <c r="S486" s="6"/>
      <c r="T486" s="6"/>
    </row>
    <row r="487" ht="12.75" customHeight="1">
      <c r="C487" s="7"/>
      <c r="S487" s="6"/>
      <c r="T487" s="6"/>
    </row>
    <row r="488" ht="12.75" customHeight="1">
      <c r="C488" s="7"/>
      <c r="S488" s="6"/>
      <c r="T488" s="6"/>
    </row>
    <row r="489" ht="12.75" customHeight="1">
      <c r="C489" s="7"/>
      <c r="S489" s="6"/>
      <c r="T489" s="6"/>
    </row>
    <row r="490" ht="12.75" customHeight="1">
      <c r="C490" s="7"/>
      <c r="S490" s="6"/>
      <c r="T490" s="6"/>
    </row>
    <row r="491" ht="12.75" customHeight="1">
      <c r="C491" s="7"/>
      <c r="S491" s="6"/>
      <c r="T491" s="6"/>
    </row>
    <row r="492" ht="12.75" customHeight="1">
      <c r="C492" s="7"/>
      <c r="S492" s="6"/>
      <c r="T492" s="6"/>
    </row>
    <row r="493" ht="12.75" customHeight="1">
      <c r="C493" s="7"/>
      <c r="S493" s="6"/>
      <c r="T493" s="6"/>
    </row>
    <row r="494" ht="12.75" customHeight="1">
      <c r="C494" s="7"/>
      <c r="S494" s="6"/>
      <c r="T494" s="6"/>
    </row>
    <row r="495" ht="12.75" customHeight="1">
      <c r="C495" s="7"/>
      <c r="S495" s="6"/>
      <c r="T495" s="6"/>
    </row>
    <row r="496" ht="12.75" customHeight="1">
      <c r="C496" s="7"/>
      <c r="S496" s="6"/>
      <c r="T496" s="6"/>
    </row>
    <row r="497" ht="12.75" customHeight="1">
      <c r="C497" s="7"/>
      <c r="S497" s="6"/>
      <c r="T497" s="6"/>
    </row>
    <row r="498" ht="12.75" customHeight="1">
      <c r="C498" s="7"/>
      <c r="S498" s="6"/>
      <c r="T498" s="6"/>
    </row>
    <row r="499" ht="12.75" customHeight="1">
      <c r="C499" s="7"/>
      <c r="S499" s="6"/>
      <c r="T499" s="6"/>
    </row>
    <row r="500" ht="12.75" customHeight="1">
      <c r="C500" s="7"/>
      <c r="S500" s="6"/>
      <c r="T500" s="6"/>
    </row>
    <row r="501" ht="12.75" customHeight="1">
      <c r="C501" s="7"/>
      <c r="S501" s="6"/>
      <c r="T501" s="6"/>
    </row>
    <row r="502" ht="12.75" customHeight="1">
      <c r="C502" s="7"/>
      <c r="S502" s="6"/>
      <c r="T502" s="6"/>
    </row>
    <row r="503" ht="12.75" customHeight="1">
      <c r="C503" s="7"/>
      <c r="S503" s="6"/>
      <c r="T503" s="6"/>
    </row>
    <row r="504" ht="12.75" customHeight="1">
      <c r="C504" s="7"/>
      <c r="S504" s="6"/>
      <c r="T504" s="6"/>
    </row>
    <row r="505" ht="12.75" customHeight="1">
      <c r="C505" s="7"/>
      <c r="S505" s="6"/>
      <c r="T505" s="6"/>
    </row>
    <row r="506" ht="12.75" customHeight="1">
      <c r="C506" s="7"/>
      <c r="S506" s="6"/>
      <c r="T506" s="6"/>
    </row>
    <row r="507" ht="12.75" customHeight="1">
      <c r="C507" s="7"/>
      <c r="S507" s="6"/>
      <c r="T507" s="6"/>
    </row>
    <row r="508" ht="12.75" customHeight="1">
      <c r="C508" s="7"/>
      <c r="S508" s="6"/>
      <c r="T508" s="6"/>
    </row>
    <row r="509" ht="12.75" customHeight="1">
      <c r="C509" s="7"/>
      <c r="S509" s="6"/>
      <c r="T509" s="6"/>
    </row>
    <row r="510" ht="12.75" customHeight="1">
      <c r="C510" s="7"/>
      <c r="S510" s="6"/>
      <c r="T510" s="6"/>
    </row>
    <row r="511" ht="12.75" customHeight="1">
      <c r="C511" s="7"/>
      <c r="S511" s="6"/>
      <c r="T511" s="6"/>
    </row>
    <row r="512" ht="12.75" customHeight="1">
      <c r="C512" s="7"/>
      <c r="S512" s="6"/>
      <c r="T512" s="6"/>
    </row>
    <row r="513" ht="12.75" customHeight="1">
      <c r="C513" s="7"/>
      <c r="S513" s="6"/>
      <c r="T513" s="6"/>
    </row>
    <row r="514" ht="12.75" customHeight="1">
      <c r="C514" s="7"/>
      <c r="S514" s="6"/>
      <c r="T514" s="6"/>
    </row>
    <row r="515" ht="12.75" customHeight="1">
      <c r="C515" s="7"/>
      <c r="S515" s="6"/>
      <c r="T515" s="6"/>
    </row>
    <row r="516" ht="12.75" customHeight="1">
      <c r="C516" s="7"/>
      <c r="S516" s="6"/>
      <c r="T516" s="6"/>
    </row>
    <row r="517" ht="12.75" customHeight="1">
      <c r="C517" s="7"/>
      <c r="S517" s="6"/>
      <c r="T517" s="6"/>
    </row>
    <row r="518" ht="12.75" customHeight="1">
      <c r="C518" s="7"/>
      <c r="S518" s="6"/>
      <c r="T518" s="6"/>
    </row>
    <row r="519" ht="12.75" customHeight="1">
      <c r="C519" s="7"/>
      <c r="S519" s="6"/>
      <c r="T519" s="6"/>
    </row>
    <row r="520" ht="12.75" customHeight="1">
      <c r="C520" s="7"/>
      <c r="S520" s="6"/>
      <c r="T520" s="6"/>
    </row>
    <row r="521" ht="12.75" customHeight="1">
      <c r="C521" s="7"/>
      <c r="S521" s="6"/>
      <c r="T521" s="6"/>
    </row>
    <row r="522" ht="12.75" customHeight="1">
      <c r="C522" s="7"/>
      <c r="S522" s="6"/>
      <c r="T522" s="6"/>
    </row>
    <row r="523" ht="12.75" customHeight="1">
      <c r="C523" s="7"/>
      <c r="S523" s="6"/>
      <c r="T523" s="6"/>
    </row>
    <row r="524" ht="12.75" customHeight="1">
      <c r="C524" s="7"/>
      <c r="S524" s="6"/>
      <c r="T524" s="6"/>
    </row>
    <row r="525" ht="12.75" customHeight="1">
      <c r="C525" s="7"/>
      <c r="S525" s="6"/>
      <c r="T525" s="6"/>
    </row>
    <row r="526" ht="12.75" customHeight="1">
      <c r="C526" s="7"/>
      <c r="S526" s="6"/>
      <c r="T526" s="6"/>
    </row>
    <row r="527" ht="12.75" customHeight="1">
      <c r="C527" s="7"/>
      <c r="S527" s="6"/>
      <c r="T527" s="6"/>
    </row>
    <row r="528" ht="12.75" customHeight="1">
      <c r="C528" s="7"/>
      <c r="S528" s="6"/>
      <c r="T528" s="6"/>
    </row>
    <row r="529" ht="12.75" customHeight="1">
      <c r="C529" s="7"/>
      <c r="S529" s="6"/>
      <c r="T529" s="6"/>
    </row>
    <row r="530" ht="12.75" customHeight="1">
      <c r="C530" s="7"/>
      <c r="S530" s="6"/>
      <c r="T530" s="6"/>
    </row>
    <row r="531" ht="12.75" customHeight="1">
      <c r="C531" s="7"/>
      <c r="S531" s="6"/>
      <c r="T531" s="6"/>
    </row>
    <row r="532" ht="12.75" customHeight="1">
      <c r="C532" s="7"/>
      <c r="S532" s="6"/>
      <c r="T532" s="6"/>
    </row>
    <row r="533" ht="12.75" customHeight="1">
      <c r="C533" s="7"/>
      <c r="S533" s="6"/>
      <c r="T533" s="6"/>
    </row>
    <row r="534" ht="12.75" customHeight="1">
      <c r="C534" s="7"/>
      <c r="S534" s="6"/>
      <c r="T534" s="6"/>
    </row>
    <row r="535" ht="12.75" customHeight="1">
      <c r="C535" s="7"/>
      <c r="S535" s="6"/>
      <c r="T535" s="6"/>
    </row>
    <row r="536" ht="12.75" customHeight="1">
      <c r="C536" s="7"/>
      <c r="S536" s="6"/>
      <c r="T536" s="6"/>
    </row>
    <row r="537" ht="12.75" customHeight="1">
      <c r="C537" s="7"/>
      <c r="S537" s="6"/>
      <c r="T537" s="6"/>
    </row>
    <row r="538" ht="12.75" customHeight="1">
      <c r="C538" s="7"/>
      <c r="S538" s="6"/>
      <c r="T538" s="6"/>
    </row>
    <row r="539" ht="12.75" customHeight="1">
      <c r="C539" s="7"/>
      <c r="S539" s="6"/>
      <c r="T539" s="6"/>
    </row>
    <row r="540" ht="12.75" customHeight="1">
      <c r="C540" s="7"/>
      <c r="S540" s="6"/>
      <c r="T540" s="6"/>
    </row>
    <row r="541" ht="12.75" customHeight="1">
      <c r="C541" s="7"/>
      <c r="S541" s="6"/>
      <c r="T541" s="6"/>
    </row>
    <row r="542" ht="12.75" customHeight="1">
      <c r="C542" s="7"/>
      <c r="S542" s="6"/>
      <c r="T542" s="6"/>
    </row>
    <row r="543" ht="12.75" customHeight="1">
      <c r="C543" s="7"/>
      <c r="S543" s="6"/>
      <c r="T543" s="6"/>
    </row>
    <row r="544" ht="12.75" customHeight="1">
      <c r="C544" s="7"/>
      <c r="S544" s="6"/>
      <c r="T544" s="6"/>
    </row>
    <row r="545" ht="12.75" customHeight="1">
      <c r="C545" s="7"/>
      <c r="S545" s="6"/>
      <c r="T545" s="6"/>
    </row>
    <row r="546" ht="12.75" customHeight="1">
      <c r="C546" s="7"/>
      <c r="S546" s="6"/>
      <c r="T546" s="6"/>
    </row>
    <row r="547" ht="12.75" customHeight="1">
      <c r="C547" s="7"/>
      <c r="S547" s="6"/>
      <c r="T547" s="6"/>
    </row>
    <row r="548" ht="12.75" customHeight="1">
      <c r="C548" s="7"/>
      <c r="S548" s="6"/>
      <c r="T548" s="6"/>
    </row>
    <row r="549" ht="12.75" customHeight="1">
      <c r="C549" s="7"/>
      <c r="S549" s="6"/>
      <c r="T549" s="6"/>
    </row>
    <row r="550" ht="12.75" customHeight="1">
      <c r="C550" s="7"/>
      <c r="S550" s="6"/>
      <c r="T550" s="6"/>
    </row>
    <row r="551" ht="12.75" customHeight="1">
      <c r="C551" s="7"/>
      <c r="S551" s="6"/>
      <c r="T551" s="6"/>
    </row>
    <row r="552" ht="12.75" customHeight="1">
      <c r="C552" s="7"/>
      <c r="S552" s="6"/>
      <c r="T552" s="6"/>
    </row>
    <row r="553" ht="12.75" customHeight="1">
      <c r="C553" s="7"/>
      <c r="S553" s="6"/>
      <c r="T553" s="6"/>
    </row>
    <row r="554" ht="12.75" customHeight="1">
      <c r="C554" s="7"/>
      <c r="S554" s="6"/>
      <c r="T554" s="6"/>
    </row>
    <row r="555" ht="12.75" customHeight="1">
      <c r="C555" s="7"/>
      <c r="S555" s="6"/>
      <c r="T555" s="6"/>
    </row>
    <row r="556" ht="12.75" customHeight="1">
      <c r="C556" s="7"/>
      <c r="S556" s="6"/>
      <c r="T556" s="6"/>
    </row>
    <row r="557" ht="12.75" customHeight="1">
      <c r="C557" s="7"/>
      <c r="S557" s="6"/>
      <c r="T557" s="6"/>
    </row>
    <row r="558" ht="12.75" customHeight="1">
      <c r="C558" s="7"/>
      <c r="S558" s="6"/>
      <c r="T558" s="6"/>
    </row>
    <row r="559" ht="12.75" customHeight="1">
      <c r="C559" s="7"/>
      <c r="S559" s="6"/>
      <c r="T559" s="6"/>
    </row>
    <row r="560" ht="12.75" customHeight="1">
      <c r="C560" s="7"/>
      <c r="S560" s="6"/>
      <c r="T560" s="6"/>
    </row>
    <row r="561" ht="12.75" customHeight="1">
      <c r="C561" s="7"/>
      <c r="S561" s="6"/>
      <c r="T561" s="6"/>
    </row>
    <row r="562" ht="12.75" customHeight="1">
      <c r="C562" s="7"/>
      <c r="S562" s="6"/>
      <c r="T562" s="6"/>
    </row>
    <row r="563" ht="12.75" customHeight="1">
      <c r="C563" s="7"/>
      <c r="S563" s="6"/>
      <c r="T563" s="6"/>
    </row>
    <row r="564" ht="12.75" customHeight="1">
      <c r="C564" s="7"/>
      <c r="S564" s="6"/>
      <c r="T564" s="6"/>
    </row>
    <row r="565" ht="12.75" customHeight="1">
      <c r="C565" s="7"/>
      <c r="S565" s="6"/>
      <c r="T565" s="6"/>
    </row>
    <row r="566" ht="12.75" customHeight="1">
      <c r="C566" s="7"/>
      <c r="S566" s="6"/>
      <c r="T566" s="6"/>
    </row>
    <row r="567" ht="12.75" customHeight="1">
      <c r="C567" s="7"/>
      <c r="S567" s="6"/>
      <c r="T567" s="6"/>
    </row>
    <row r="568" ht="12.75" customHeight="1">
      <c r="C568" s="7"/>
      <c r="S568" s="6"/>
      <c r="T568" s="6"/>
    </row>
    <row r="569" ht="12.75" customHeight="1">
      <c r="C569" s="7"/>
      <c r="S569" s="6"/>
      <c r="T569" s="6"/>
    </row>
    <row r="570" ht="12.75" customHeight="1">
      <c r="C570" s="7"/>
      <c r="S570" s="6"/>
      <c r="T570" s="6"/>
    </row>
    <row r="571" ht="12.75" customHeight="1">
      <c r="C571" s="7"/>
      <c r="S571" s="6"/>
      <c r="T571" s="6"/>
    </row>
    <row r="572" ht="12.75" customHeight="1">
      <c r="C572" s="7"/>
      <c r="S572" s="6"/>
      <c r="T572" s="6"/>
    </row>
    <row r="573" ht="12.75" customHeight="1">
      <c r="C573" s="7"/>
      <c r="S573" s="6"/>
      <c r="T573" s="6"/>
    </row>
    <row r="574" ht="12.75" customHeight="1">
      <c r="C574" s="7"/>
      <c r="S574" s="6"/>
      <c r="T574" s="6"/>
    </row>
    <row r="575" ht="12.75" customHeight="1">
      <c r="C575" s="7"/>
      <c r="S575" s="6"/>
      <c r="T575" s="6"/>
    </row>
    <row r="576" ht="12.75" customHeight="1">
      <c r="C576" s="7"/>
      <c r="S576" s="6"/>
      <c r="T576" s="6"/>
    </row>
    <row r="577" ht="12.75" customHeight="1">
      <c r="C577" s="7"/>
      <c r="S577" s="6"/>
      <c r="T577" s="6"/>
    </row>
    <row r="578" ht="12.75" customHeight="1">
      <c r="C578" s="7"/>
      <c r="S578" s="6"/>
      <c r="T578" s="6"/>
    </row>
    <row r="579" ht="12.75" customHeight="1">
      <c r="C579" s="7"/>
      <c r="S579" s="6"/>
      <c r="T579" s="6"/>
    </row>
    <row r="580" ht="12.75" customHeight="1">
      <c r="C580" s="7"/>
      <c r="S580" s="6"/>
      <c r="T580" s="6"/>
    </row>
    <row r="581" ht="12.75" customHeight="1">
      <c r="C581" s="7"/>
      <c r="S581" s="6"/>
      <c r="T581" s="6"/>
    </row>
    <row r="582" ht="12.75" customHeight="1">
      <c r="C582" s="7"/>
      <c r="S582" s="6"/>
      <c r="T582" s="6"/>
    </row>
    <row r="583" ht="12.75" customHeight="1">
      <c r="C583" s="7"/>
      <c r="S583" s="6"/>
      <c r="T583" s="6"/>
    </row>
    <row r="584" ht="12.75" customHeight="1">
      <c r="C584" s="7"/>
      <c r="S584" s="6"/>
      <c r="T584" s="6"/>
    </row>
    <row r="585" ht="12.75" customHeight="1">
      <c r="C585" s="7"/>
      <c r="S585" s="6"/>
      <c r="T585" s="6"/>
    </row>
    <row r="586" ht="12.75" customHeight="1">
      <c r="C586" s="7"/>
      <c r="S586" s="6"/>
      <c r="T586" s="6"/>
    </row>
    <row r="587" ht="12.75" customHeight="1">
      <c r="C587" s="7"/>
      <c r="S587" s="6"/>
      <c r="T587" s="6"/>
    </row>
    <row r="588" ht="12.75" customHeight="1">
      <c r="C588" s="7"/>
      <c r="S588" s="6"/>
      <c r="T588" s="6"/>
    </row>
    <row r="589" ht="12.75" customHeight="1">
      <c r="C589" s="7"/>
      <c r="S589" s="6"/>
      <c r="T589" s="6"/>
    </row>
    <row r="590" ht="12.75" customHeight="1">
      <c r="C590" s="7"/>
      <c r="S590" s="6"/>
      <c r="T590" s="6"/>
    </row>
    <row r="591" ht="12.75" customHeight="1">
      <c r="C591" s="7"/>
      <c r="S591" s="6"/>
      <c r="T591" s="6"/>
    </row>
    <row r="592" ht="12.75" customHeight="1">
      <c r="C592" s="7"/>
      <c r="S592" s="6"/>
      <c r="T592" s="6"/>
    </row>
    <row r="593" ht="12.75" customHeight="1">
      <c r="C593" s="7"/>
      <c r="S593" s="6"/>
      <c r="T593" s="6"/>
    </row>
    <row r="594" ht="12.75" customHeight="1">
      <c r="C594" s="7"/>
      <c r="S594" s="6"/>
      <c r="T594" s="6"/>
    </row>
    <row r="595" ht="12.75" customHeight="1">
      <c r="C595" s="7"/>
      <c r="S595" s="6"/>
      <c r="T595" s="6"/>
    </row>
    <row r="596" ht="12.75" customHeight="1">
      <c r="C596" s="7"/>
      <c r="S596" s="6"/>
      <c r="T596" s="6"/>
    </row>
    <row r="597" ht="12.75" customHeight="1">
      <c r="C597" s="7"/>
      <c r="S597" s="6"/>
      <c r="T597" s="6"/>
    </row>
    <row r="598" ht="12.75" customHeight="1">
      <c r="C598" s="7"/>
      <c r="S598" s="6"/>
      <c r="T598" s="6"/>
    </row>
    <row r="599" ht="12.75" customHeight="1">
      <c r="C599" s="7"/>
      <c r="S599" s="6"/>
      <c r="T599" s="6"/>
    </row>
    <row r="600" ht="12.75" customHeight="1">
      <c r="C600" s="7"/>
      <c r="S600" s="6"/>
      <c r="T600" s="6"/>
    </row>
    <row r="601" ht="12.75" customHeight="1">
      <c r="C601" s="7"/>
      <c r="S601" s="6"/>
      <c r="T601" s="6"/>
    </row>
    <row r="602" ht="12.75" customHeight="1">
      <c r="C602" s="7"/>
      <c r="S602" s="6"/>
      <c r="T602" s="6"/>
    </row>
    <row r="603" ht="12.75" customHeight="1">
      <c r="C603" s="7"/>
      <c r="S603" s="6"/>
      <c r="T603" s="6"/>
    </row>
    <row r="604" ht="12.75" customHeight="1">
      <c r="C604" s="7"/>
      <c r="S604" s="6"/>
      <c r="T604" s="6"/>
    </row>
    <row r="605" ht="12.75" customHeight="1">
      <c r="C605" s="7"/>
      <c r="S605" s="6"/>
      <c r="T605" s="6"/>
    </row>
    <row r="606" ht="12.75" customHeight="1">
      <c r="C606" s="7"/>
      <c r="S606" s="6"/>
      <c r="T606" s="6"/>
    </row>
    <row r="607" ht="12.75" customHeight="1">
      <c r="C607" s="7"/>
      <c r="S607" s="6"/>
      <c r="T607" s="6"/>
    </row>
    <row r="608" ht="12.75" customHeight="1">
      <c r="C608" s="7"/>
      <c r="S608" s="6"/>
      <c r="T608" s="6"/>
    </row>
    <row r="609" ht="12.75" customHeight="1">
      <c r="C609" s="7"/>
      <c r="S609" s="6"/>
      <c r="T609" s="6"/>
    </row>
    <row r="610" ht="12.75" customHeight="1">
      <c r="C610" s="7"/>
      <c r="S610" s="6"/>
      <c r="T610" s="6"/>
    </row>
    <row r="611" ht="12.75" customHeight="1">
      <c r="C611" s="7"/>
      <c r="S611" s="6"/>
      <c r="T611" s="6"/>
    </row>
    <row r="612" ht="12.75" customHeight="1">
      <c r="C612" s="7"/>
      <c r="S612" s="6"/>
      <c r="T612" s="6"/>
    </row>
    <row r="613" ht="12.75" customHeight="1">
      <c r="C613" s="7"/>
      <c r="S613" s="6"/>
      <c r="T613" s="6"/>
    </row>
    <row r="614" ht="12.75" customHeight="1">
      <c r="C614" s="7"/>
      <c r="S614" s="6"/>
      <c r="T614" s="6"/>
    </row>
    <row r="615" ht="12.75" customHeight="1">
      <c r="C615" s="7"/>
      <c r="S615" s="6"/>
      <c r="T615" s="6"/>
    </row>
    <row r="616" ht="12.75" customHeight="1">
      <c r="C616" s="7"/>
      <c r="S616" s="6"/>
      <c r="T616" s="6"/>
    </row>
    <row r="617" ht="12.75" customHeight="1">
      <c r="C617" s="7"/>
      <c r="S617" s="6"/>
      <c r="T617" s="6"/>
    </row>
    <row r="618" ht="12.75" customHeight="1">
      <c r="C618" s="7"/>
      <c r="S618" s="6"/>
      <c r="T618" s="6"/>
    </row>
    <row r="619" ht="12.75" customHeight="1">
      <c r="C619" s="7"/>
      <c r="S619" s="6"/>
      <c r="T619" s="6"/>
    </row>
    <row r="620" ht="12.75" customHeight="1">
      <c r="C620" s="7"/>
      <c r="S620" s="6"/>
      <c r="T620" s="6"/>
    </row>
    <row r="621" ht="12.75" customHeight="1">
      <c r="C621" s="7"/>
      <c r="S621" s="6"/>
      <c r="T621" s="6"/>
    </row>
    <row r="622" ht="12.75" customHeight="1">
      <c r="C622" s="7"/>
      <c r="S622" s="6"/>
      <c r="T622" s="6"/>
    </row>
    <row r="623" ht="12.75" customHeight="1">
      <c r="C623" s="7"/>
      <c r="S623" s="6"/>
      <c r="T623" s="6"/>
    </row>
    <row r="624" ht="12.75" customHeight="1">
      <c r="C624" s="7"/>
      <c r="S624" s="6"/>
      <c r="T624" s="6"/>
    </row>
    <row r="625" ht="12.75" customHeight="1">
      <c r="C625" s="7"/>
      <c r="S625" s="6"/>
      <c r="T625" s="6"/>
    </row>
    <row r="626" ht="12.75" customHeight="1">
      <c r="C626" s="7"/>
      <c r="S626" s="6"/>
      <c r="T626" s="6"/>
    </row>
    <row r="627" ht="12.75" customHeight="1">
      <c r="C627" s="7"/>
      <c r="S627" s="6"/>
      <c r="T627" s="6"/>
    </row>
    <row r="628" ht="12.75" customHeight="1">
      <c r="C628" s="7"/>
      <c r="S628" s="6"/>
      <c r="T628" s="6"/>
    </row>
    <row r="629" ht="12.75" customHeight="1">
      <c r="C629" s="7"/>
      <c r="S629" s="6"/>
      <c r="T629" s="6"/>
    </row>
    <row r="630" ht="12.75" customHeight="1">
      <c r="C630" s="7"/>
      <c r="S630" s="6"/>
      <c r="T630" s="6"/>
    </row>
    <row r="631" ht="12.75" customHeight="1">
      <c r="C631" s="7"/>
      <c r="S631" s="6"/>
      <c r="T631" s="6"/>
    </row>
    <row r="632" ht="12.75" customHeight="1">
      <c r="C632" s="7"/>
      <c r="S632" s="6"/>
      <c r="T632" s="6"/>
    </row>
    <row r="633" ht="12.75" customHeight="1">
      <c r="C633" s="7"/>
      <c r="S633" s="6"/>
      <c r="T633" s="6"/>
    </row>
    <row r="634" ht="12.75" customHeight="1">
      <c r="C634" s="7"/>
      <c r="S634" s="6"/>
      <c r="T634" s="6"/>
    </row>
    <row r="635" ht="12.75" customHeight="1">
      <c r="C635" s="7"/>
      <c r="S635" s="6"/>
      <c r="T635" s="6"/>
    </row>
    <row r="636" ht="12.75" customHeight="1">
      <c r="C636" s="7"/>
      <c r="S636" s="6"/>
      <c r="T636" s="6"/>
    </row>
    <row r="637" ht="12.75" customHeight="1">
      <c r="C637" s="7"/>
      <c r="S637" s="6"/>
      <c r="T637" s="6"/>
    </row>
    <row r="638" ht="12.75" customHeight="1">
      <c r="C638" s="7"/>
      <c r="S638" s="6"/>
      <c r="T638" s="6"/>
    </row>
    <row r="639" ht="12.75" customHeight="1">
      <c r="C639" s="7"/>
      <c r="S639" s="6"/>
      <c r="T639" s="6"/>
    </row>
    <row r="640" ht="12.75" customHeight="1">
      <c r="C640" s="7"/>
      <c r="S640" s="6"/>
      <c r="T640" s="6"/>
    </row>
    <row r="641" ht="12.75" customHeight="1">
      <c r="C641" s="7"/>
      <c r="S641" s="6"/>
      <c r="T641" s="6"/>
    </row>
    <row r="642" ht="12.75" customHeight="1">
      <c r="C642" s="7"/>
      <c r="S642" s="6"/>
      <c r="T642" s="6"/>
    </row>
    <row r="643" ht="12.75" customHeight="1">
      <c r="C643" s="7"/>
      <c r="S643" s="6"/>
      <c r="T643" s="6"/>
    </row>
    <row r="644" ht="12.75" customHeight="1">
      <c r="C644" s="7"/>
      <c r="S644" s="6"/>
      <c r="T644" s="6"/>
    </row>
    <row r="645" ht="12.75" customHeight="1">
      <c r="C645" s="7"/>
      <c r="S645" s="6"/>
      <c r="T645" s="6"/>
    </row>
    <row r="646" ht="12.75" customHeight="1">
      <c r="C646" s="7"/>
      <c r="S646" s="6"/>
      <c r="T646" s="6"/>
    </row>
    <row r="647" ht="12.75" customHeight="1">
      <c r="C647" s="7"/>
      <c r="S647" s="6"/>
      <c r="T647" s="6"/>
    </row>
    <row r="648" ht="12.75" customHeight="1">
      <c r="C648" s="7"/>
      <c r="S648" s="6"/>
      <c r="T648" s="6"/>
    </row>
    <row r="649" ht="12.75" customHeight="1">
      <c r="C649" s="7"/>
      <c r="S649" s="6"/>
      <c r="T649" s="6"/>
    </row>
    <row r="650" ht="12.75" customHeight="1">
      <c r="C650" s="7"/>
      <c r="S650" s="6"/>
      <c r="T650" s="6"/>
    </row>
    <row r="651" ht="12.75" customHeight="1">
      <c r="C651" s="7"/>
      <c r="S651" s="6"/>
      <c r="T651" s="6"/>
    </row>
    <row r="652" ht="12.75" customHeight="1">
      <c r="C652" s="7"/>
      <c r="S652" s="6"/>
      <c r="T652" s="6"/>
    </row>
    <row r="653" ht="12.75" customHeight="1">
      <c r="C653" s="7"/>
      <c r="S653" s="6"/>
      <c r="T653" s="6"/>
    </row>
    <row r="654" ht="12.75" customHeight="1">
      <c r="C654" s="7"/>
      <c r="S654" s="6"/>
      <c r="T654" s="6"/>
    </row>
    <row r="655" ht="12.75" customHeight="1">
      <c r="C655" s="7"/>
      <c r="S655" s="6"/>
      <c r="T655" s="6"/>
    </row>
    <row r="656" ht="12.75" customHeight="1">
      <c r="C656" s="7"/>
      <c r="S656" s="6"/>
      <c r="T656" s="6"/>
    </row>
    <row r="657" ht="12.75" customHeight="1">
      <c r="C657" s="7"/>
      <c r="S657" s="6"/>
      <c r="T657" s="6"/>
    </row>
    <row r="658" ht="12.75" customHeight="1">
      <c r="C658" s="7"/>
      <c r="S658" s="6"/>
      <c r="T658" s="6"/>
    </row>
    <row r="659" ht="12.75" customHeight="1">
      <c r="C659" s="7"/>
      <c r="S659" s="6"/>
      <c r="T659" s="6"/>
    </row>
    <row r="660" ht="12.75" customHeight="1">
      <c r="C660" s="7"/>
      <c r="S660" s="6"/>
      <c r="T660" s="6"/>
    </row>
    <row r="661" ht="12.75" customHeight="1">
      <c r="C661" s="7"/>
      <c r="S661" s="6"/>
      <c r="T661" s="6"/>
    </row>
    <row r="662" ht="12.75" customHeight="1">
      <c r="C662" s="7"/>
      <c r="S662" s="6"/>
      <c r="T662" s="6"/>
    </row>
    <row r="663" ht="12.75" customHeight="1">
      <c r="C663" s="7"/>
      <c r="S663" s="6"/>
      <c r="T663" s="6"/>
    </row>
    <row r="664" ht="12.75" customHeight="1">
      <c r="C664" s="7"/>
      <c r="S664" s="6"/>
      <c r="T664" s="6"/>
    </row>
    <row r="665" ht="12.75" customHeight="1">
      <c r="C665" s="7"/>
      <c r="S665" s="6"/>
      <c r="T665" s="6"/>
    </row>
    <row r="666" ht="12.75" customHeight="1">
      <c r="C666" s="7"/>
      <c r="S666" s="6"/>
      <c r="T666" s="6"/>
    </row>
    <row r="667" ht="12.75" customHeight="1">
      <c r="C667" s="7"/>
      <c r="S667" s="6"/>
      <c r="T667" s="6"/>
    </row>
    <row r="668" ht="12.75" customHeight="1">
      <c r="C668" s="7"/>
      <c r="S668" s="6"/>
      <c r="T668" s="6"/>
    </row>
    <row r="669" ht="12.75" customHeight="1">
      <c r="C669" s="7"/>
      <c r="S669" s="6"/>
      <c r="T669" s="6"/>
    </row>
    <row r="670" ht="12.75" customHeight="1">
      <c r="C670" s="7"/>
      <c r="S670" s="6"/>
      <c r="T670" s="6"/>
    </row>
    <row r="671" ht="12.75" customHeight="1">
      <c r="C671" s="7"/>
      <c r="S671" s="6"/>
      <c r="T671" s="6"/>
    </row>
    <row r="672" ht="12.75" customHeight="1">
      <c r="C672" s="7"/>
      <c r="S672" s="6"/>
      <c r="T672" s="6"/>
    </row>
    <row r="673" ht="12.75" customHeight="1">
      <c r="C673" s="7"/>
      <c r="S673" s="6"/>
      <c r="T673" s="6"/>
    </row>
    <row r="674" ht="12.75" customHeight="1">
      <c r="C674" s="7"/>
      <c r="S674" s="6"/>
      <c r="T674" s="6"/>
    </row>
    <row r="675" ht="12.75" customHeight="1">
      <c r="C675" s="7"/>
      <c r="S675" s="6"/>
      <c r="T675" s="6"/>
    </row>
    <row r="676" ht="12.75" customHeight="1">
      <c r="C676" s="7"/>
      <c r="S676" s="6"/>
      <c r="T676" s="6"/>
    </row>
    <row r="677" ht="12.75" customHeight="1">
      <c r="C677" s="7"/>
      <c r="S677" s="6"/>
      <c r="T677" s="6"/>
    </row>
    <row r="678" ht="12.75" customHeight="1">
      <c r="C678" s="7"/>
      <c r="S678" s="6"/>
      <c r="T678" s="6"/>
    </row>
    <row r="679" ht="12.75" customHeight="1">
      <c r="C679" s="7"/>
      <c r="S679" s="6"/>
      <c r="T679" s="6"/>
    </row>
    <row r="680" ht="12.75" customHeight="1">
      <c r="C680" s="7"/>
      <c r="S680" s="6"/>
      <c r="T680" s="6"/>
    </row>
    <row r="681" ht="12.75" customHeight="1">
      <c r="C681" s="7"/>
      <c r="S681" s="6"/>
      <c r="T681" s="6"/>
    </row>
    <row r="682" ht="12.75" customHeight="1">
      <c r="C682" s="7"/>
      <c r="S682" s="6"/>
      <c r="T682" s="6"/>
    </row>
    <row r="683" ht="12.75" customHeight="1">
      <c r="C683" s="7"/>
      <c r="S683" s="6"/>
      <c r="T683" s="6"/>
    </row>
    <row r="684" ht="12.75" customHeight="1">
      <c r="C684" s="7"/>
      <c r="S684" s="6"/>
      <c r="T684" s="6"/>
    </row>
    <row r="685" ht="12.75" customHeight="1">
      <c r="C685" s="7"/>
      <c r="S685" s="6"/>
      <c r="T685" s="6"/>
    </row>
    <row r="686" ht="12.75" customHeight="1">
      <c r="C686" s="7"/>
      <c r="S686" s="6"/>
      <c r="T686" s="6"/>
    </row>
    <row r="687" ht="12.75" customHeight="1">
      <c r="C687" s="7"/>
      <c r="S687" s="6"/>
      <c r="T687" s="6"/>
    </row>
    <row r="688" ht="12.75" customHeight="1">
      <c r="C688" s="7"/>
      <c r="S688" s="6"/>
      <c r="T688" s="6"/>
    </row>
    <row r="689" ht="12.75" customHeight="1">
      <c r="C689" s="7"/>
      <c r="S689" s="6"/>
      <c r="T689" s="6"/>
    </row>
    <row r="690" ht="12.75" customHeight="1">
      <c r="C690" s="7"/>
      <c r="S690" s="6"/>
      <c r="T690" s="6"/>
    </row>
    <row r="691" ht="12.75" customHeight="1">
      <c r="C691" s="7"/>
      <c r="S691" s="6"/>
      <c r="T691" s="6"/>
    </row>
    <row r="692" ht="12.75" customHeight="1">
      <c r="C692" s="7"/>
      <c r="S692" s="6"/>
      <c r="T692" s="6"/>
    </row>
    <row r="693" ht="12.75" customHeight="1">
      <c r="C693" s="7"/>
      <c r="S693" s="6"/>
      <c r="T693" s="6"/>
    </row>
    <row r="694" ht="12.75" customHeight="1">
      <c r="C694" s="7"/>
      <c r="S694" s="6"/>
      <c r="T694" s="6"/>
    </row>
    <row r="695" ht="12.75" customHeight="1">
      <c r="C695" s="7"/>
      <c r="S695" s="6"/>
      <c r="T695" s="6"/>
    </row>
    <row r="696" ht="12.75" customHeight="1">
      <c r="C696" s="7"/>
      <c r="S696" s="6"/>
      <c r="T696" s="6"/>
    </row>
    <row r="697" ht="12.75" customHeight="1">
      <c r="C697" s="7"/>
      <c r="S697" s="6"/>
      <c r="T697" s="6"/>
    </row>
    <row r="698" ht="12.75" customHeight="1">
      <c r="C698" s="7"/>
      <c r="S698" s="6"/>
      <c r="T698" s="6"/>
    </row>
    <row r="699" ht="12.75" customHeight="1">
      <c r="C699" s="7"/>
      <c r="S699" s="6"/>
      <c r="T699" s="6"/>
    </row>
    <row r="700" ht="12.75" customHeight="1">
      <c r="C700" s="7"/>
      <c r="S700" s="6"/>
      <c r="T700" s="6"/>
    </row>
    <row r="701" ht="12.75" customHeight="1">
      <c r="C701" s="7"/>
      <c r="S701" s="6"/>
      <c r="T701" s="6"/>
    </row>
    <row r="702" ht="12.75" customHeight="1">
      <c r="C702" s="7"/>
      <c r="S702" s="6"/>
      <c r="T702" s="6"/>
    </row>
    <row r="703" ht="12.75" customHeight="1">
      <c r="C703" s="7"/>
      <c r="S703" s="6"/>
      <c r="T703" s="6"/>
    </row>
    <row r="704" ht="12.75" customHeight="1">
      <c r="C704" s="7"/>
      <c r="S704" s="6"/>
      <c r="T704" s="6"/>
    </row>
    <row r="705" ht="12.75" customHeight="1">
      <c r="C705" s="7"/>
      <c r="S705" s="6"/>
      <c r="T705" s="6"/>
    </row>
    <row r="706" ht="12.75" customHeight="1">
      <c r="C706" s="7"/>
      <c r="S706" s="6"/>
      <c r="T706" s="6"/>
    </row>
    <row r="707" ht="12.75" customHeight="1">
      <c r="C707" s="7"/>
      <c r="S707" s="6"/>
      <c r="T707" s="6"/>
    </row>
    <row r="708" ht="12.75" customHeight="1">
      <c r="C708" s="7"/>
      <c r="S708" s="6"/>
      <c r="T708" s="6"/>
    </row>
    <row r="709" ht="12.75" customHeight="1">
      <c r="C709" s="7"/>
      <c r="S709" s="6"/>
      <c r="T709" s="6"/>
    </row>
    <row r="710" ht="12.75" customHeight="1">
      <c r="C710" s="7"/>
      <c r="S710" s="6"/>
      <c r="T710" s="6"/>
    </row>
    <row r="711" ht="12.75" customHeight="1">
      <c r="C711" s="7"/>
      <c r="S711" s="6"/>
      <c r="T711" s="6"/>
    </row>
    <row r="712" ht="12.75" customHeight="1">
      <c r="C712" s="7"/>
      <c r="S712" s="6"/>
      <c r="T712" s="6"/>
    </row>
    <row r="713" ht="12.75" customHeight="1">
      <c r="C713" s="7"/>
      <c r="S713" s="6"/>
      <c r="T713" s="6"/>
    </row>
    <row r="714" ht="12.75" customHeight="1">
      <c r="C714" s="7"/>
      <c r="S714" s="6"/>
      <c r="T714" s="6"/>
    </row>
    <row r="715" ht="12.75" customHeight="1">
      <c r="C715" s="7"/>
      <c r="S715" s="6"/>
      <c r="T715" s="6"/>
    </row>
    <row r="716" ht="12.75" customHeight="1">
      <c r="C716" s="7"/>
      <c r="S716" s="6"/>
      <c r="T716" s="6"/>
    </row>
    <row r="717" ht="12.75" customHeight="1">
      <c r="C717" s="7"/>
      <c r="S717" s="6"/>
      <c r="T717" s="6"/>
    </row>
    <row r="718" ht="12.75" customHeight="1">
      <c r="C718" s="7"/>
      <c r="S718" s="6"/>
      <c r="T718" s="6"/>
    </row>
    <row r="719" ht="12.75" customHeight="1">
      <c r="C719" s="7"/>
      <c r="S719" s="6"/>
      <c r="T719" s="6"/>
    </row>
    <row r="720" ht="12.75" customHeight="1">
      <c r="C720" s="7"/>
      <c r="S720" s="6"/>
      <c r="T720" s="6"/>
    </row>
    <row r="721" ht="12.75" customHeight="1">
      <c r="C721" s="7"/>
      <c r="S721" s="6"/>
      <c r="T721" s="6"/>
    </row>
    <row r="722" ht="12.75" customHeight="1">
      <c r="C722" s="7"/>
      <c r="S722" s="6"/>
      <c r="T722" s="6"/>
    </row>
    <row r="723" ht="12.75" customHeight="1">
      <c r="C723" s="7"/>
      <c r="S723" s="6"/>
      <c r="T723" s="6"/>
    </row>
    <row r="724" ht="12.75" customHeight="1">
      <c r="C724" s="7"/>
      <c r="S724" s="6"/>
      <c r="T724" s="6"/>
    </row>
    <row r="725" ht="12.75" customHeight="1">
      <c r="C725" s="7"/>
      <c r="S725" s="6"/>
      <c r="T725" s="6"/>
    </row>
    <row r="726" ht="12.75" customHeight="1">
      <c r="C726" s="7"/>
      <c r="S726" s="6"/>
      <c r="T726" s="6"/>
    </row>
    <row r="727" ht="12.75" customHeight="1">
      <c r="C727" s="7"/>
      <c r="S727" s="6"/>
      <c r="T727" s="6"/>
    </row>
    <row r="728" ht="12.75" customHeight="1">
      <c r="C728" s="7"/>
      <c r="S728" s="6"/>
      <c r="T728" s="6"/>
    </row>
    <row r="729" ht="12.75" customHeight="1">
      <c r="C729" s="7"/>
      <c r="S729" s="6"/>
      <c r="T729" s="6"/>
    </row>
    <row r="730" ht="12.75" customHeight="1">
      <c r="C730" s="7"/>
      <c r="S730" s="6"/>
      <c r="T730" s="6"/>
    </row>
    <row r="731" ht="12.75" customHeight="1">
      <c r="C731" s="7"/>
      <c r="S731" s="6"/>
      <c r="T731" s="6"/>
    </row>
    <row r="732" ht="12.75" customHeight="1">
      <c r="C732" s="7"/>
      <c r="S732" s="6"/>
      <c r="T732" s="6"/>
    </row>
    <row r="733" ht="12.75" customHeight="1">
      <c r="C733" s="7"/>
      <c r="S733" s="6"/>
      <c r="T733" s="6"/>
    </row>
    <row r="734" ht="12.75" customHeight="1">
      <c r="C734" s="7"/>
      <c r="S734" s="6"/>
      <c r="T734" s="6"/>
    </row>
    <row r="735" ht="12.75" customHeight="1">
      <c r="C735" s="7"/>
      <c r="S735" s="6"/>
      <c r="T735" s="6"/>
    </row>
    <row r="736" ht="12.75" customHeight="1">
      <c r="C736" s="7"/>
      <c r="S736" s="6"/>
      <c r="T736" s="6"/>
    </row>
    <row r="737" ht="12.75" customHeight="1">
      <c r="C737" s="7"/>
      <c r="S737" s="6"/>
      <c r="T737" s="6"/>
    </row>
    <row r="738" ht="12.75" customHeight="1">
      <c r="C738" s="7"/>
      <c r="S738" s="6"/>
      <c r="T738" s="6"/>
    </row>
    <row r="739" ht="12.75" customHeight="1">
      <c r="C739" s="7"/>
      <c r="S739" s="6"/>
      <c r="T739" s="6"/>
    </row>
    <row r="740" ht="12.75" customHeight="1">
      <c r="C740" s="7"/>
      <c r="S740" s="6"/>
      <c r="T740" s="6"/>
    </row>
    <row r="741" ht="12.75" customHeight="1">
      <c r="C741" s="7"/>
      <c r="S741" s="6"/>
      <c r="T741" s="6"/>
    </row>
    <row r="742" ht="12.75" customHeight="1">
      <c r="C742" s="7"/>
      <c r="S742" s="6"/>
      <c r="T742" s="6"/>
    </row>
    <row r="743" ht="12.75" customHeight="1">
      <c r="C743" s="7"/>
      <c r="S743" s="6"/>
      <c r="T743" s="6"/>
    </row>
    <row r="744" ht="12.75" customHeight="1">
      <c r="C744" s="7"/>
      <c r="S744" s="6"/>
      <c r="T744" s="6"/>
    </row>
    <row r="745" ht="12.75" customHeight="1">
      <c r="C745" s="7"/>
      <c r="S745" s="6"/>
      <c r="T745" s="6"/>
    </row>
    <row r="746" ht="12.75" customHeight="1">
      <c r="C746" s="7"/>
      <c r="S746" s="6"/>
      <c r="T746" s="6"/>
    </row>
    <row r="747" ht="12.75" customHeight="1">
      <c r="C747" s="7"/>
      <c r="S747" s="6"/>
      <c r="T747" s="6"/>
    </row>
    <row r="748" ht="12.75" customHeight="1">
      <c r="C748" s="7"/>
      <c r="S748" s="6"/>
      <c r="T748" s="6"/>
    </row>
    <row r="749" ht="12.75" customHeight="1">
      <c r="C749" s="7"/>
      <c r="S749" s="6"/>
      <c r="T749" s="6"/>
    </row>
    <row r="750" ht="12.75" customHeight="1">
      <c r="C750" s="7"/>
      <c r="S750" s="6"/>
      <c r="T750" s="6"/>
    </row>
    <row r="751" ht="12.75" customHeight="1">
      <c r="C751" s="7"/>
      <c r="S751" s="6"/>
      <c r="T751" s="6"/>
    </row>
    <row r="752" ht="12.75" customHeight="1">
      <c r="C752" s="7"/>
      <c r="S752" s="6"/>
      <c r="T752" s="6"/>
    </row>
    <row r="753" ht="12.75" customHeight="1">
      <c r="C753" s="7"/>
      <c r="S753" s="6"/>
      <c r="T753" s="6"/>
    </row>
    <row r="754" ht="12.75" customHeight="1">
      <c r="C754" s="7"/>
      <c r="S754" s="6"/>
      <c r="T754" s="6"/>
    </row>
    <row r="755" ht="12.75" customHeight="1">
      <c r="C755" s="7"/>
      <c r="S755" s="6"/>
      <c r="T755" s="6"/>
    </row>
    <row r="756" ht="12.75" customHeight="1">
      <c r="C756" s="7"/>
      <c r="S756" s="6"/>
      <c r="T756" s="6"/>
    </row>
    <row r="757" ht="12.75" customHeight="1">
      <c r="C757" s="7"/>
      <c r="S757" s="6"/>
      <c r="T757" s="6"/>
    </row>
    <row r="758" ht="12.75" customHeight="1">
      <c r="C758" s="7"/>
      <c r="S758" s="6"/>
      <c r="T758" s="6"/>
    </row>
    <row r="759" ht="12.75" customHeight="1">
      <c r="C759" s="7"/>
      <c r="S759" s="6"/>
      <c r="T759" s="6"/>
    </row>
    <row r="760" ht="12.75" customHeight="1">
      <c r="C760" s="7"/>
      <c r="S760" s="6"/>
      <c r="T760" s="6"/>
    </row>
    <row r="761" ht="12.75" customHeight="1">
      <c r="C761" s="7"/>
      <c r="S761" s="6"/>
      <c r="T761" s="6"/>
    </row>
    <row r="762" ht="12.75" customHeight="1">
      <c r="C762" s="7"/>
      <c r="S762" s="6"/>
      <c r="T762" s="6"/>
    </row>
    <row r="763" ht="12.75" customHeight="1">
      <c r="C763" s="7"/>
      <c r="S763" s="6"/>
      <c r="T763" s="6"/>
    </row>
    <row r="764" ht="12.75" customHeight="1">
      <c r="C764" s="7"/>
      <c r="S764" s="6"/>
      <c r="T764" s="6"/>
    </row>
    <row r="765" ht="12.75" customHeight="1">
      <c r="C765" s="7"/>
      <c r="S765" s="6"/>
      <c r="T765" s="6"/>
    </row>
    <row r="766" ht="12.75" customHeight="1">
      <c r="C766" s="7"/>
      <c r="S766" s="6"/>
      <c r="T766" s="6"/>
    </row>
    <row r="767" ht="12.75" customHeight="1">
      <c r="C767" s="7"/>
      <c r="S767" s="6"/>
      <c r="T767" s="6"/>
    </row>
    <row r="768" ht="12.75" customHeight="1">
      <c r="C768" s="7"/>
      <c r="S768" s="6"/>
      <c r="T768" s="6"/>
    </row>
    <row r="769" ht="12.75" customHeight="1">
      <c r="C769" s="7"/>
      <c r="S769" s="6"/>
      <c r="T769" s="6"/>
    </row>
    <row r="770" ht="12.75" customHeight="1">
      <c r="C770" s="7"/>
      <c r="S770" s="6"/>
      <c r="T770" s="6"/>
    </row>
    <row r="771" ht="12.75" customHeight="1">
      <c r="C771" s="7"/>
      <c r="S771" s="6"/>
      <c r="T771" s="6"/>
    </row>
    <row r="772" ht="12.75" customHeight="1">
      <c r="C772" s="7"/>
      <c r="S772" s="6"/>
      <c r="T772" s="6"/>
    </row>
    <row r="773" ht="12.75" customHeight="1">
      <c r="C773" s="7"/>
      <c r="S773" s="6"/>
      <c r="T773" s="6"/>
    </row>
    <row r="774" ht="12.75" customHeight="1">
      <c r="C774" s="7"/>
      <c r="S774" s="6"/>
      <c r="T774" s="6"/>
    </row>
    <row r="775" ht="12.75" customHeight="1">
      <c r="C775" s="7"/>
      <c r="S775" s="6"/>
      <c r="T775" s="6"/>
    </row>
    <row r="776" ht="12.75" customHeight="1">
      <c r="C776" s="7"/>
      <c r="S776" s="6"/>
      <c r="T776" s="6"/>
    </row>
    <row r="777" ht="12.75" customHeight="1">
      <c r="C777" s="7"/>
      <c r="S777" s="6"/>
      <c r="T777" s="6"/>
    </row>
    <row r="778" ht="12.75" customHeight="1">
      <c r="C778" s="7"/>
      <c r="S778" s="6"/>
      <c r="T778" s="6"/>
    </row>
    <row r="779" ht="12.75" customHeight="1">
      <c r="C779" s="7"/>
      <c r="S779" s="6"/>
      <c r="T779" s="6"/>
    </row>
    <row r="780" ht="12.75" customHeight="1">
      <c r="C780" s="7"/>
      <c r="S780" s="6"/>
      <c r="T780" s="6"/>
    </row>
    <row r="781" ht="12.75" customHeight="1">
      <c r="C781" s="7"/>
      <c r="S781" s="6"/>
      <c r="T781" s="6"/>
    </row>
    <row r="782" ht="12.75" customHeight="1">
      <c r="C782" s="7"/>
      <c r="S782" s="6"/>
      <c r="T782" s="6"/>
    </row>
    <row r="783" ht="12.75" customHeight="1">
      <c r="C783" s="7"/>
      <c r="S783" s="6"/>
      <c r="T783" s="6"/>
    </row>
    <row r="784" ht="12.75" customHeight="1">
      <c r="C784" s="7"/>
      <c r="S784" s="6"/>
      <c r="T784" s="6"/>
    </row>
    <row r="785" ht="12.75" customHeight="1">
      <c r="C785" s="7"/>
      <c r="S785" s="6"/>
      <c r="T785" s="6"/>
    </row>
    <row r="786" ht="12.75" customHeight="1">
      <c r="C786" s="7"/>
      <c r="S786" s="6"/>
      <c r="T786" s="6"/>
    </row>
    <row r="787" ht="12.75" customHeight="1">
      <c r="C787" s="7"/>
      <c r="S787" s="6"/>
      <c r="T787" s="6"/>
    </row>
    <row r="788" ht="12.75" customHeight="1">
      <c r="C788" s="7"/>
      <c r="S788" s="6"/>
      <c r="T788" s="6"/>
    </row>
    <row r="789" ht="12.75" customHeight="1">
      <c r="C789" s="7"/>
      <c r="S789" s="6"/>
      <c r="T789" s="6"/>
    </row>
    <row r="790" ht="12.75" customHeight="1">
      <c r="C790" s="7"/>
      <c r="S790" s="6"/>
      <c r="T790" s="6"/>
    </row>
    <row r="791" ht="12.75" customHeight="1">
      <c r="C791" s="7"/>
      <c r="S791" s="6"/>
      <c r="T791" s="6"/>
    </row>
    <row r="792" ht="12.75" customHeight="1">
      <c r="C792" s="7"/>
      <c r="S792" s="6"/>
      <c r="T792" s="6"/>
    </row>
    <row r="793" ht="12.75" customHeight="1">
      <c r="C793" s="7"/>
      <c r="S793" s="6"/>
      <c r="T793" s="6"/>
    </row>
    <row r="794" ht="12.75" customHeight="1">
      <c r="C794" s="7"/>
      <c r="S794" s="6"/>
      <c r="T794" s="6"/>
    </row>
    <row r="795" ht="12.75" customHeight="1">
      <c r="C795" s="7"/>
      <c r="S795" s="6"/>
      <c r="T795" s="6"/>
    </row>
    <row r="796" ht="12.75" customHeight="1">
      <c r="C796" s="7"/>
      <c r="S796" s="6"/>
      <c r="T796" s="6"/>
    </row>
    <row r="797" ht="12.75" customHeight="1">
      <c r="C797" s="7"/>
      <c r="S797" s="6"/>
      <c r="T797" s="6"/>
    </row>
    <row r="798" ht="12.75" customHeight="1">
      <c r="C798" s="7"/>
      <c r="S798" s="6"/>
      <c r="T798" s="6"/>
    </row>
    <row r="799" ht="12.75" customHeight="1">
      <c r="C799" s="7"/>
      <c r="S799" s="6"/>
      <c r="T799" s="6"/>
    </row>
    <row r="800" ht="12.75" customHeight="1">
      <c r="C800" s="7"/>
      <c r="S800" s="6"/>
      <c r="T800" s="6"/>
    </row>
    <row r="801" ht="12.75" customHeight="1">
      <c r="C801" s="7"/>
      <c r="S801" s="6"/>
      <c r="T801" s="6"/>
    </row>
    <row r="802" ht="12.75" customHeight="1">
      <c r="C802" s="7"/>
      <c r="S802" s="6"/>
      <c r="T802" s="6"/>
    </row>
    <row r="803" ht="12.75" customHeight="1">
      <c r="C803" s="7"/>
      <c r="S803" s="6"/>
      <c r="T803" s="6"/>
    </row>
    <row r="804" ht="12.75" customHeight="1">
      <c r="C804" s="7"/>
      <c r="S804" s="6"/>
      <c r="T804" s="6"/>
    </row>
    <row r="805" ht="12.75" customHeight="1">
      <c r="C805" s="7"/>
      <c r="S805" s="6"/>
      <c r="T805" s="6"/>
    </row>
    <row r="806" ht="12.75" customHeight="1">
      <c r="C806" s="7"/>
      <c r="S806" s="6"/>
      <c r="T806" s="6"/>
    </row>
    <row r="807" ht="12.75" customHeight="1">
      <c r="C807" s="7"/>
      <c r="S807" s="6"/>
      <c r="T807" s="6"/>
    </row>
    <row r="808" ht="12.75" customHeight="1">
      <c r="C808" s="7"/>
      <c r="S808" s="6"/>
      <c r="T808" s="6"/>
    </row>
    <row r="809" ht="12.75" customHeight="1">
      <c r="C809" s="7"/>
      <c r="S809" s="6"/>
      <c r="T809" s="6"/>
    </row>
    <row r="810" ht="12.75" customHeight="1">
      <c r="C810" s="7"/>
      <c r="S810" s="6"/>
      <c r="T810" s="6"/>
    </row>
    <row r="811" ht="12.75" customHeight="1">
      <c r="C811" s="7"/>
      <c r="S811" s="6"/>
      <c r="T811" s="6"/>
    </row>
    <row r="812" ht="12.75" customHeight="1">
      <c r="C812" s="7"/>
      <c r="S812" s="6"/>
      <c r="T812" s="6"/>
    </row>
    <row r="813" ht="12.75" customHeight="1">
      <c r="C813" s="7"/>
      <c r="S813" s="6"/>
      <c r="T813" s="6"/>
    </row>
    <row r="814" ht="12.75" customHeight="1">
      <c r="C814" s="7"/>
      <c r="S814" s="6"/>
      <c r="T814" s="6"/>
    </row>
    <row r="815" ht="12.75" customHeight="1">
      <c r="C815" s="7"/>
      <c r="S815" s="6"/>
      <c r="T815" s="6"/>
    </row>
    <row r="816" ht="12.75" customHeight="1">
      <c r="C816" s="7"/>
      <c r="S816" s="6"/>
      <c r="T816" s="6"/>
    </row>
    <row r="817" ht="12.75" customHeight="1">
      <c r="C817" s="7"/>
      <c r="S817" s="6"/>
      <c r="T817" s="6"/>
    </row>
    <row r="818" ht="12.75" customHeight="1">
      <c r="C818" s="7"/>
      <c r="S818" s="6"/>
      <c r="T818" s="6"/>
    </row>
    <row r="819" ht="12.75" customHeight="1">
      <c r="C819" s="7"/>
      <c r="S819" s="6"/>
      <c r="T819" s="6"/>
    </row>
    <row r="820" ht="12.75" customHeight="1">
      <c r="C820" s="7"/>
      <c r="S820" s="6"/>
      <c r="T820" s="6"/>
    </row>
    <row r="821" ht="12.75" customHeight="1">
      <c r="C821" s="7"/>
      <c r="S821" s="6"/>
      <c r="T821" s="6"/>
    </row>
    <row r="822" ht="12.75" customHeight="1">
      <c r="C822" s="7"/>
      <c r="S822" s="6"/>
      <c r="T822" s="6"/>
    </row>
    <row r="823" ht="12.75" customHeight="1">
      <c r="C823" s="7"/>
      <c r="S823" s="6"/>
      <c r="T823" s="6"/>
    </row>
    <row r="824" ht="12.75" customHeight="1">
      <c r="C824" s="7"/>
      <c r="S824" s="6"/>
      <c r="T824" s="6"/>
    </row>
    <row r="825" ht="12.75" customHeight="1">
      <c r="C825" s="7"/>
      <c r="S825" s="6"/>
      <c r="T825" s="6"/>
    </row>
    <row r="826" ht="12.75" customHeight="1">
      <c r="C826" s="7"/>
      <c r="S826" s="6"/>
      <c r="T826" s="6"/>
    </row>
    <row r="827" ht="12.75" customHeight="1">
      <c r="C827" s="7"/>
      <c r="S827" s="6"/>
      <c r="T827" s="6"/>
    </row>
    <row r="828" ht="12.75" customHeight="1">
      <c r="C828" s="7"/>
      <c r="S828" s="6"/>
      <c r="T828" s="6"/>
    </row>
    <row r="829" ht="12.75" customHeight="1">
      <c r="C829" s="7"/>
      <c r="S829" s="6"/>
      <c r="T829" s="6"/>
    </row>
    <row r="830" ht="12.75" customHeight="1">
      <c r="C830" s="7"/>
      <c r="S830" s="6"/>
      <c r="T830" s="6"/>
    </row>
    <row r="831" ht="12.75" customHeight="1">
      <c r="C831" s="7"/>
      <c r="S831" s="6"/>
      <c r="T831" s="6"/>
    </row>
    <row r="832" ht="12.75" customHeight="1">
      <c r="C832" s="7"/>
      <c r="S832" s="6"/>
      <c r="T832" s="6"/>
    </row>
    <row r="833" ht="12.75" customHeight="1">
      <c r="C833" s="7"/>
      <c r="S833" s="6"/>
      <c r="T833" s="6"/>
    </row>
    <row r="834" ht="12.75" customHeight="1">
      <c r="C834" s="7"/>
      <c r="S834" s="6"/>
      <c r="T834" s="6"/>
    </row>
    <row r="835" ht="12.75" customHeight="1">
      <c r="C835" s="7"/>
      <c r="S835" s="6"/>
      <c r="T835" s="6"/>
    </row>
    <row r="836" ht="12.75" customHeight="1">
      <c r="C836" s="7"/>
      <c r="S836" s="6"/>
      <c r="T836" s="6"/>
    </row>
    <row r="837" ht="12.75" customHeight="1">
      <c r="C837" s="7"/>
      <c r="S837" s="6"/>
      <c r="T837" s="6"/>
    </row>
    <row r="838" ht="12.75" customHeight="1">
      <c r="C838" s="7"/>
      <c r="S838" s="6"/>
      <c r="T838" s="6"/>
    </row>
    <row r="839" ht="12.75" customHeight="1">
      <c r="C839" s="7"/>
      <c r="S839" s="6"/>
      <c r="T839" s="6"/>
    </row>
    <row r="840" ht="12.75" customHeight="1">
      <c r="C840" s="7"/>
      <c r="S840" s="6"/>
      <c r="T840" s="6"/>
    </row>
    <row r="841" ht="12.75" customHeight="1">
      <c r="C841" s="7"/>
      <c r="S841" s="6"/>
      <c r="T841" s="6"/>
    </row>
    <row r="842" ht="12.75" customHeight="1">
      <c r="C842" s="7"/>
      <c r="S842" s="6"/>
      <c r="T842" s="6"/>
    </row>
    <row r="843" ht="12.75" customHeight="1">
      <c r="C843" s="7"/>
      <c r="S843" s="6"/>
      <c r="T843" s="6"/>
    </row>
    <row r="844" ht="12.75" customHeight="1">
      <c r="C844" s="7"/>
      <c r="S844" s="6"/>
      <c r="T844" s="6"/>
    </row>
    <row r="845" ht="12.75" customHeight="1">
      <c r="C845" s="7"/>
      <c r="S845" s="6"/>
      <c r="T845" s="6"/>
    </row>
    <row r="846" ht="12.75" customHeight="1">
      <c r="C846" s="7"/>
      <c r="S846" s="6"/>
      <c r="T846" s="6"/>
    </row>
    <row r="847" ht="12.75" customHeight="1">
      <c r="C847" s="7"/>
      <c r="S847" s="6"/>
      <c r="T847" s="6"/>
    </row>
    <row r="848" ht="12.75" customHeight="1">
      <c r="C848" s="7"/>
      <c r="S848" s="6"/>
      <c r="T848" s="6"/>
    </row>
    <row r="849" ht="12.75" customHeight="1">
      <c r="C849" s="7"/>
      <c r="S849" s="6"/>
      <c r="T849" s="6"/>
    </row>
    <row r="850" ht="12.75" customHeight="1">
      <c r="C850" s="7"/>
      <c r="S850" s="6"/>
      <c r="T850" s="6"/>
    </row>
    <row r="851" ht="12.75" customHeight="1">
      <c r="C851" s="7"/>
      <c r="S851" s="6"/>
      <c r="T851" s="6"/>
    </row>
    <row r="852" ht="12.75" customHeight="1">
      <c r="C852" s="7"/>
      <c r="S852" s="6"/>
      <c r="T852" s="6"/>
    </row>
    <row r="853" ht="12.75" customHeight="1">
      <c r="C853" s="7"/>
      <c r="S853" s="6"/>
      <c r="T853" s="6"/>
    </row>
    <row r="854" ht="12.75" customHeight="1">
      <c r="C854" s="7"/>
      <c r="S854" s="6"/>
      <c r="T854" s="6"/>
    </row>
    <row r="855" ht="12.75" customHeight="1">
      <c r="C855" s="7"/>
      <c r="S855" s="6"/>
      <c r="T855" s="6"/>
    </row>
    <row r="856" ht="12.75" customHeight="1">
      <c r="C856" s="7"/>
      <c r="S856" s="6"/>
      <c r="T856" s="6"/>
    </row>
    <row r="857" ht="12.75" customHeight="1">
      <c r="C857" s="7"/>
      <c r="S857" s="6"/>
      <c r="T857" s="6"/>
    </row>
    <row r="858" ht="12.75" customHeight="1">
      <c r="C858" s="7"/>
      <c r="S858" s="6"/>
      <c r="T858" s="6"/>
    </row>
    <row r="859" ht="12.75" customHeight="1">
      <c r="C859" s="7"/>
      <c r="S859" s="6"/>
      <c r="T859" s="6"/>
    </row>
    <row r="860" ht="12.75" customHeight="1">
      <c r="C860" s="7"/>
      <c r="S860" s="6"/>
      <c r="T860" s="6"/>
    </row>
    <row r="861" ht="12.75" customHeight="1">
      <c r="C861" s="7"/>
      <c r="S861" s="6"/>
      <c r="T861" s="6"/>
    </row>
    <row r="862" ht="12.75" customHeight="1">
      <c r="C862" s="7"/>
      <c r="S862" s="6"/>
      <c r="T862" s="6"/>
    </row>
    <row r="863" ht="12.75" customHeight="1">
      <c r="C863" s="7"/>
      <c r="S863" s="6"/>
      <c r="T863" s="6"/>
    </row>
    <row r="864" ht="12.75" customHeight="1">
      <c r="C864" s="7"/>
      <c r="S864" s="6"/>
      <c r="T864" s="6"/>
    </row>
    <row r="865" ht="12.75" customHeight="1">
      <c r="C865" s="7"/>
      <c r="S865" s="6"/>
      <c r="T865" s="6"/>
    </row>
    <row r="866" ht="12.75" customHeight="1">
      <c r="C866" s="7"/>
      <c r="S866" s="6"/>
      <c r="T866" s="6"/>
    </row>
    <row r="867" ht="12.75" customHeight="1">
      <c r="C867" s="7"/>
      <c r="S867" s="6"/>
      <c r="T867" s="6"/>
    </row>
    <row r="868" ht="12.75" customHeight="1">
      <c r="C868" s="7"/>
      <c r="S868" s="6"/>
      <c r="T868" s="6"/>
    </row>
    <row r="869" ht="12.75" customHeight="1">
      <c r="C869" s="7"/>
      <c r="S869" s="6"/>
      <c r="T869" s="6"/>
    </row>
    <row r="870" ht="12.75" customHeight="1">
      <c r="C870" s="7"/>
      <c r="S870" s="6"/>
      <c r="T870" s="6"/>
    </row>
    <row r="871" ht="12.75" customHeight="1">
      <c r="C871" s="7"/>
      <c r="S871" s="6"/>
      <c r="T871" s="6"/>
    </row>
    <row r="872" ht="12.75" customHeight="1">
      <c r="C872" s="7"/>
      <c r="S872" s="6"/>
      <c r="T872" s="6"/>
    </row>
    <row r="873" ht="12.75" customHeight="1">
      <c r="C873" s="7"/>
      <c r="S873" s="6"/>
      <c r="T873" s="6"/>
    </row>
    <row r="874" ht="12.75" customHeight="1">
      <c r="C874" s="7"/>
      <c r="S874" s="6"/>
      <c r="T874" s="6"/>
    </row>
    <row r="875" ht="12.75" customHeight="1">
      <c r="C875" s="7"/>
      <c r="S875" s="6"/>
      <c r="T875" s="6"/>
    </row>
    <row r="876" ht="12.75" customHeight="1">
      <c r="C876" s="7"/>
      <c r="S876" s="6"/>
      <c r="T876" s="6"/>
    </row>
    <row r="877" ht="12.75" customHeight="1">
      <c r="C877" s="7"/>
      <c r="S877" s="6"/>
      <c r="T877" s="6"/>
    </row>
    <row r="878" ht="12.75" customHeight="1">
      <c r="C878" s="7"/>
      <c r="S878" s="6"/>
      <c r="T878" s="6"/>
    </row>
    <row r="879" ht="12.75" customHeight="1">
      <c r="C879" s="7"/>
      <c r="S879" s="6"/>
      <c r="T879" s="6"/>
    </row>
    <row r="880" ht="12.75" customHeight="1">
      <c r="C880" s="7"/>
      <c r="S880" s="6"/>
      <c r="T880" s="6"/>
    </row>
    <row r="881" ht="12.75" customHeight="1">
      <c r="C881" s="7"/>
      <c r="S881" s="6"/>
      <c r="T881" s="6"/>
    </row>
    <row r="882" ht="12.75" customHeight="1">
      <c r="C882" s="7"/>
      <c r="S882" s="6"/>
      <c r="T882" s="6"/>
    </row>
    <row r="883" ht="12.75" customHeight="1">
      <c r="C883" s="7"/>
      <c r="S883" s="6"/>
      <c r="T883" s="6"/>
    </row>
    <row r="884" ht="12.75" customHeight="1">
      <c r="C884" s="7"/>
      <c r="S884" s="6"/>
      <c r="T884" s="6"/>
    </row>
    <row r="885" ht="12.75" customHeight="1">
      <c r="C885" s="7"/>
      <c r="S885" s="6"/>
      <c r="T885" s="6"/>
    </row>
    <row r="886" ht="12.75" customHeight="1">
      <c r="C886" s="7"/>
      <c r="S886" s="6"/>
      <c r="T886" s="6"/>
    </row>
    <row r="887" ht="12.75" customHeight="1">
      <c r="C887" s="7"/>
      <c r="S887" s="6"/>
      <c r="T887" s="6"/>
    </row>
    <row r="888" ht="12.75" customHeight="1">
      <c r="C888" s="7"/>
      <c r="S888" s="6"/>
      <c r="T888" s="6"/>
    </row>
    <row r="889" ht="12.75" customHeight="1">
      <c r="C889" s="7"/>
      <c r="S889" s="6"/>
      <c r="T889" s="6"/>
    </row>
    <row r="890" ht="12.75" customHeight="1">
      <c r="C890" s="7"/>
      <c r="S890" s="6"/>
      <c r="T890" s="6"/>
    </row>
    <row r="891" ht="12.75" customHeight="1">
      <c r="C891" s="7"/>
      <c r="S891" s="6"/>
      <c r="T891" s="6"/>
    </row>
    <row r="892" ht="12.75" customHeight="1">
      <c r="C892" s="7"/>
      <c r="S892" s="6"/>
      <c r="T892" s="6"/>
    </row>
    <row r="893" ht="12.75" customHeight="1">
      <c r="C893" s="7"/>
      <c r="S893" s="6"/>
      <c r="T893" s="6"/>
    </row>
    <row r="894" ht="12.75" customHeight="1">
      <c r="C894" s="7"/>
      <c r="S894" s="6"/>
      <c r="T894" s="6"/>
    </row>
    <row r="895" ht="12.75" customHeight="1">
      <c r="C895" s="7"/>
      <c r="S895" s="6"/>
      <c r="T895" s="6"/>
    </row>
    <row r="896" ht="12.75" customHeight="1">
      <c r="C896" s="7"/>
      <c r="S896" s="6"/>
      <c r="T896" s="6"/>
    </row>
    <row r="897" ht="12.75" customHeight="1">
      <c r="C897" s="7"/>
      <c r="S897" s="6"/>
      <c r="T897" s="6"/>
    </row>
    <row r="898" ht="12.75" customHeight="1">
      <c r="C898" s="7"/>
      <c r="S898" s="6"/>
      <c r="T898" s="6"/>
    </row>
    <row r="899" ht="12.75" customHeight="1">
      <c r="C899" s="7"/>
      <c r="S899" s="6"/>
      <c r="T899" s="6"/>
    </row>
    <row r="900" ht="12.75" customHeight="1">
      <c r="C900" s="7"/>
      <c r="S900" s="6"/>
      <c r="T900" s="6"/>
    </row>
    <row r="901" ht="12.75" customHeight="1">
      <c r="C901" s="7"/>
      <c r="S901" s="6"/>
      <c r="T901" s="6"/>
    </row>
    <row r="902" ht="12.75" customHeight="1">
      <c r="C902" s="7"/>
      <c r="S902" s="6"/>
      <c r="T902" s="6"/>
    </row>
    <row r="903" ht="12.75" customHeight="1">
      <c r="C903" s="7"/>
      <c r="S903" s="6"/>
      <c r="T903" s="6"/>
    </row>
    <row r="904" ht="12.75" customHeight="1">
      <c r="C904" s="7"/>
      <c r="S904" s="6"/>
      <c r="T904" s="6"/>
    </row>
    <row r="905" ht="12.75" customHeight="1">
      <c r="C905" s="7"/>
      <c r="S905" s="6"/>
      <c r="T905" s="6"/>
    </row>
    <row r="906" ht="12.75" customHeight="1">
      <c r="C906" s="7"/>
      <c r="S906" s="6"/>
      <c r="T906" s="6"/>
    </row>
    <row r="907" ht="12.75" customHeight="1">
      <c r="C907" s="7"/>
      <c r="S907" s="6"/>
      <c r="T907" s="6"/>
    </row>
    <row r="908" ht="12.75" customHeight="1">
      <c r="C908" s="7"/>
      <c r="S908" s="6"/>
      <c r="T908" s="6"/>
    </row>
    <row r="909" ht="12.75" customHeight="1">
      <c r="C909" s="7"/>
      <c r="S909" s="6"/>
      <c r="T909" s="6"/>
    </row>
    <row r="910" ht="12.75" customHeight="1">
      <c r="C910" s="7"/>
      <c r="S910" s="6"/>
      <c r="T910" s="6"/>
    </row>
    <row r="911" ht="12.75" customHeight="1">
      <c r="C911" s="7"/>
      <c r="S911" s="6"/>
      <c r="T911" s="6"/>
    </row>
    <row r="912" ht="12.75" customHeight="1">
      <c r="C912" s="7"/>
      <c r="S912" s="6"/>
      <c r="T912" s="6"/>
    </row>
    <row r="913" ht="12.75" customHeight="1">
      <c r="C913" s="7"/>
      <c r="S913" s="6"/>
      <c r="T913" s="6"/>
    </row>
    <row r="914" ht="12.75" customHeight="1">
      <c r="C914" s="7"/>
      <c r="S914" s="6"/>
      <c r="T914" s="6"/>
    </row>
    <row r="915" ht="12.75" customHeight="1">
      <c r="C915" s="7"/>
      <c r="S915" s="6"/>
      <c r="T915" s="6"/>
    </row>
    <row r="916" ht="12.75" customHeight="1">
      <c r="C916" s="7"/>
      <c r="S916" s="6"/>
      <c r="T916" s="6"/>
    </row>
    <row r="917" ht="12.75" customHeight="1">
      <c r="C917" s="7"/>
      <c r="S917" s="6"/>
      <c r="T917" s="6"/>
    </row>
    <row r="918" ht="12.75" customHeight="1">
      <c r="C918" s="7"/>
      <c r="S918" s="6"/>
      <c r="T918" s="6"/>
    </row>
    <row r="919" ht="12.75" customHeight="1">
      <c r="C919" s="7"/>
      <c r="S919" s="6"/>
      <c r="T919" s="6"/>
    </row>
    <row r="920" ht="12.75" customHeight="1">
      <c r="C920" s="7"/>
      <c r="S920" s="6"/>
      <c r="T920" s="6"/>
    </row>
    <row r="921" ht="12.75" customHeight="1">
      <c r="C921" s="7"/>
      <c r="S921" s="6"/>
      <c r="T921" s="6"/>
    </row>
    <row r="922" ht="12.75" customHeight="1">
      <c r="C922" s="7"/>
      <c r="S922" s="6"/>
      <c r="T922" s="6"/>
    </row>
    <row r="923" ht="12.75" customHeight="1">
      <c r="C923" s="7"/>
      <c r="S923" s="6"/>
      <c r="T923" s="6"/>
    </row>
    <row r="924" ht="12.75" customHeight="1">
      <c r="C924" s="7"/>
      <c r="S924" s="6"/>
      <c r="T924" s="6"/>
    </row>
    <row r="925" ht="12.75" customHeight="1">
      <c r="C925" s="7"/>
      <c r="S925" s="6"/>
      <c r="T925" s="6"/>
    </row>
    <row r="926" ht="12.75" customHeight="1">
      <c r="C926" s="7"/>
      <c r="S926" s="6"/>
      <c r="T926" s="6"/>
    </row>
    <row r="927" ht="12.75" customHeight="1">
      <c r="C927" s="7"/>
      <c r="S927" s="6"/>
      <c r="T927" s="6"/>
    </row>
    <row r="928" ht="12.75" customHeight="1">
      <c r="C928" s="7"/>
      <c r="S928" s="6"/>
      <c r="T928" s="6"/>
    </row>
    <row r="929" ht="12.75" customHeight="1">
      <c r="C929" s="7"/>
      <c r="S929" s="6"/>
      <c r="T929" s="6"/>
    </row>
    <row r="930" ht="12.75" customHeight="1">
      <c r="C930" s="7"/>
      <c r="S930" s="6"/>
      <c r="T930" s="6"/>
    </row>
    <row r="931" ht="12.75" customHeight="1">
      <c r="C931" s="7"/>
      <c r="S931" s="6"/>
      <c r="T931" s="6"/>
    </row>
    <row r="932" ht="12.75" customHeight="1">
      <c r="C932" s="7"/>
      <c r="S932" s="6"/>
      <c r="T932" s="6"/>
    </row>
    <row r="933" ht="12.75" customHeight="1">
      <c r="C933" s="7"/>
      <c r="S933" s="6"/>
      <c r="T933" s="6"/>
    </row>
    <row r="934" ht="12.75" customHeight="1">
      <c r="C934" s="7"/>
      <c r="S934" s="6"/>
      <c r="T934" s="6"/>
    </row>
    <row r="935" ht="12.75" customHeight="1">
      <c r="C935" s="7"/>
      <c r="S935" s="6"/>
      <c r="T935" s="6"/>
    </row>
    <row r="936" ht="12.75" customHeight="1">
      <c r="C936" s="7"/>
      <c r="S936" s="6"/>
      <c r="T936" s="6"/>
    </row>
    <row r="937" ht="12.75" customHeight="1">
      <c r="C937" s="7"/>
      <c r="S937" s="6"/>
      <c r="T937" s="6"/>
    </row>
    <row r="938" ht="12.75" customHeight="1">
      <c r="C938" s="7"/>
      <c r="S938" s="6"/>
      <c r="T938" s="6"/>
    </row>
    <row r="939" ht="12.75" customHeight="1">
      <c r="C939" s="7"/>
      <c r="S939" s="6"/>
      <c r="T939" s="6"/>
    </row>
    <row r="940" ht="12.75" customHeight="1">
      <c r="C940" s="7"/>
      <c r="S940" s="6"/>
      <c r="T940" s="6"/>
    </row>
    <row r="941" ht="12.75" customHeight="1">
      <c r="C941" s="7"/>
      <c r="S941" s="6"/>
      <c r="T941" s="6"/>
    </row>
    <row r="942" ht="12.75" customHeight="1">
      <c r="C942" s="7"/>
      <c r="S942" s="6"/>
      <c r="T942" s="6"/>
    </row>
    <row r="943" ht="12.75" customHeight="1">
      <c r="C943" s="7"/>
      <c r="S943" s="6"/>
      <c r="T943" s="6"/>
    </row>
    <row r="944" ht="12.75" customHeight="1">
      <c r="C944" s="7"/>
      <c r="S944" s="6"/>
      <c r="T944" s="6"/>
    </row>
    <row r="945" ht="12.75" customHeight="1">
      <c r="C945" s="7"/>
      <c r="S945" s="6"/>
      <c r="T945" s="6"/>
    </row>
    <row r="946" ht="12.75" customHeight="1">
      <c r="C946" s="7"/>
      <c r="S946" s="6"/>
      <c r="T946" s="6"/>
    </row>
    <row r="947" ht="12.75" customHeight="1">
      <c r="C947" s="7"/>
      <c r="S947" s="6"/>
      <c r="T947" s="6"/>
    </row>
    <row r="948" ht="12.75" customHeight="1">
      <c r="C948" s="7"/>
      <c r="S948" s="6"/>
      <c r="T948" s="6"/>
    </row>
    <row r="949" ht="12.75" customHeight="1">
      <c r="C949" s="7"/>
      <c r="S949" s="6"/>
      <c r="T949" s="6"/>
    </row>
    <row r="950" ht="12.75" customHeight="1">
      <c r="C950" s="7"/>
      <c r="S950" s="6"/>
      <c r="T950" s="6"/>
    </row>
    <row r="951" ht="12.75" customHeight="1">
      <c r="C951" s="7"/>
      <c r="S951" s="6"/>
      <c r="T951" s="6"/>
    </row>
    <row r="952" ht="12.75" customHeight="1">
      <c r="C952" s="7"/>
      <c r="S952" s="6"/>
      <c r="T952" s="6"/>
    </row>
    <row r="953" ht="12.75" customHeight="1">
      <c r="C953" s="7"/>
      <c r="S953" s="6"/>
      <c r="T953" s="6"/>
    </row>
    <row r="954" ht="12.75" customHeight="1">
      <c r="C954" s="7"/>
      <c r="S954" s="6"/>
      <c r="T954" s="6"/>
    </row>
    <row r="955" ht="12.75" customHeight="1">
      <c r="C955" s="7"/>
      <c r="S955" s="6"/>
      <c r="T955" s="6"/>
    </row>
    <row r="956" ht="12.75" customHeight="1">
      <c r="C956" s="7"/>
      <c r="S956" s="6"/>
      <c r="T956" s="6"/>
    </row>
    <row r="957" ht="12.75" customHeight="1">
      <c r="C957" s="7"/>
      <c r="S957" s="6"/>
      <c r="T957" s="6"/>
    </row>
    <row r="958" ht="12.75" customHeight="1">
      <c r="C958" s="7"/>
      <c r="S958" s="6"/>
      <c r="T958" s="6"/>
    </row>
    <row r="959" ht="12.75" customHeight="1">
      <c r="C959" s="7"/>
      <c r="S959" s="6"/>
      <c r="T959" s="6"/>
    </row>
    <row r="960" ht="12.75" customHeight="1">
      <c r="C960" s="7"/>
      <c r="S960" s="6"/>
      <c r="T960" s="6"/>
    </row>
    <row r="961" ht="12.75" customHeight="1">
      <c r="C961" s="7"/>
      <c r="S961" s="6"/>
      <c r="T961" s="6"/>
    </row>
    <row r="962" ht="12.75" customHeight="1">
      <c r="C962" s="7"/>
      <c r="S962" s="6"/>
      <c r="T962" s="6"/>
    </row>
    <row r="963" ht="12.75" customHeight="1">
      <c r="C963" s="7"/>
      <c r="S963" s="6"/>
      <c r="T963" s="6"/>
    </row>
    <row r="964" ht="12.75" customHeight="1">
      <c r="C964" s="7"/>
      <c r="S964" s="6"/>
      <c r="T964" s="6"/>
    </row>
    <row r="965" ht="12.75" customHeight="1">
      <c r="C965" s="7"/>
      <c r="S965" s="6"/>
      <c r="T965" s="6"/>
    </row>
    <row r="966" ht="12.75" customHeight="1">
      <c r="C966" s="7"/>
      <c r="S966" s="6"/>
      <c r="T966" s="6"/>
    </row>
    <row r="967" ht="12.75" customHeight="1">
      <c r="C967" s="7"/>
      <c r="S967" s="6"/>
      <c r="T967" s="6"/>
    </row>
    <row r="968" ht="12.75" customHeight="1">
      <c r="C968" s="7"/>
      <c r="S968" s="6"/>
      <c r="T968" s="6"/>
    </row>
    <row r="969" ht="12.75" customHeight="1">
      <c r="C969" s="7"/>
      <c r="S969" s="6"/>
      <c r="T969" s="6"/>
    </row>
    <row r="970" ht="12.75" customHeight="1">
      <c r="C970" s="7"/>
      <c r="S970" s="6"/>
      <c r="T970" s="6"/>
    </row>
    <row r="971" ht="12.75" customHeight="1">
      <c r="C971" s="7"/>
      <c r="S971" s="6"/>
      <c r="T971" s="6"/>
    </row>
    <row r="972" ht="12.75" customHeight="1">
      <c r="C972" s="7"/>
      <c r="S972" s="6"/>
      <c r="T972" s="6"/>
    </row>
    <row r="973" ht="12.75" customHeight="1">
      <c r="C973" s="7"/>
      <c r="S973" s="6"/>
      <c r="T973" s="6"/>
    </row>
    <row r="974" ht="12.75" customHeight="1">
      <c r="C974" s="7"/>
      <c r="S974" s="6"/>
      <c r="T974" s="6"/>
    </row>
    <row r="975" ht="12.75" customHeight="1">
      <c r="C975" s="7"/>
      <c r="S975" s="6"/>
      <c r="T975" s="6"/>
    </row>
    <row r="976" ht="12.75" customHeight="1">
      <c r="C976" s="7"/>
      <c r="S976" s="6"/>
      <c r="T976" s="6"/>
    </row>
    <row r="977" ht="12.75" customHeight="1">
      <c r="C977" s="7"/>
      <c r="S977" s="6"/>
      <c r="T977" s="6"/>
    </row>
    <row r="978" ht="12.75" customHeight="1">
      <c r="C978" s="7"/>
      <c r="S978" s="6"/>
      <c r="T978" s="6"/>
    </row>
    <row r="979" ht="12.75" customHeight="1">
      <c r="C979" s="7"/>
      <c r="S979" s="6"/>
      <c r="T979" s="6"/>
    </row>
    <row r="980" ht="12.75" customHeight="1">
      <c r="C980" s="7"/>
      <c r="S980" s="6"/>
      <c r="T980" s="6"/>
    </row>
    <row r="981" ht="12.75" customHeight="1">
      <c r="C981" s="7"/>
      <c r="S981" s="6"/>
      <c r="T981" s="6"/>
    </row>
    <row r="982" ht="12.75" customHeight="1">
      <c r="C982" s="7"/>
      <c r="S982" s="6"/>
      <c r="T982" s="6"/>
    </row>
    <row r="983" ht="12.75" customHeight="1">
      <c r="C983" s="7"/>
      <c r="S983" s="6"/>
      <c r="T983" s="6"/>
    </row>
    <row r="984" ht="12.75" customHeight="1">
      <c r="C984" s="7"/>
      <c r="S984" s="6"/>
      <c r="T984" s="6"/>
    </row>
    <row r="985" ht="12.75" customHeight="1">
      <c r="C985" s="7"/>
      <c r="S985" s="6"/>
      <c r="T985" s="6"/>
    </row>
    <row r="986" ht="12.75" customHeight="1">
      <c r="C986" s="7"/>
      <c r="S986" s="6"/>
      <c r="T986" s="6"/>
    </row>
    <row r="987" ht="12.75" customHeight="1">
      <c r="C987" s="7"/>
      <c r="S987" s="6"/>
      <c r="T987" s="6"/>
    </row>
    <row r="988" ht="12.75" customHeight="1">
      <c r="C988" s="7"/>
      <c r="S988" s="6"/>
      <c r="T988" s="6"/>
    </row>
    <row r="989" ht="12.75" customHeight="1">
      <c r="C989" s="7"/>
      <c r="S989" s="6"/>
      <c r="T989" s="6"/>
    </row>
    <row r="990" ht="12.75" customHeight="1">
      <c r="C990" s="7"/>
      <c r="S990" s="6"/>
      <c r="T990" s="6"/>
    </row>
    <row r="991" ht="12.75" customHeight="1">
      <c r="C991" s="7"/>
      <c r="S991" s="6"/>
      <c r="T991" s="6"/>
    </row>
    <row r="992" ht="12.75" customHeight="1">
      <c r="C992" s="7"/>
      <c r="S992" s="6"/>
      <c r="T992" s="6"/>
    </row>
    <row r="993" ht="12.75" customHeight="1">
      <c r="C993" s="7"/>
      <c r="S993" s="6"/>
      <c r="T993" s="6"/>
    </row>
    <row r="994" ht="12.75" customHeight="1">
      <c r="C994" s="7"/>
      <c r="S994" s="6"/>
      <c r="T994" s="6"/>
    </row>
    <row r="995" ht="12.75" customHeight="1">
      <c r="C995" s="7"/>
      <c r="S995" s="6"/>
      <c r="T995" s="6"/>
    </row>
    <row r="996" ht="12.75" customHeight="1">
      <c r="C996" s="7"/>
      <c r="S996" s="6"/>
      <c r="T996" s="6"/>
    </row>
    <row r="997" ht="12.75" customHeight="1">
      <c r="C997" s="7"/>
      <c r="S997" s="6"/>
      <c r="T997" s="6"/>
    </row>
    <row r="998" ht="12.75" customHeight="1">
      <c r="C998" s="7"/>
      <c r="S998" s="6"/>
      <c r="T998" s="6"/>
    </row>
    <row r="999" ht="12.75" customHeight="1">
      <c r="C999" s="7"/>
      <c r="S999" s="6"/>
      <c r="T999" s="6"/>
    </row>
    <row r="1000" ht="12.75" customHeight="1">
      <c r="C1000" s="7"/>
      <c r="S1000" s="6"/>
      <c r="T1000" s="6"/>
    </row>
  </sheetData>
  <conditionalFormatting sqref="C58:P58 C59:T61 C62:L62 C63:T70 C72:T72 C73:S105 C106:T108 C144:T144 D25:F25 D26:D39 D57 D110:E140 E26:F57 F110:F143 G110:T110 G111:S143 N62:T62 R58:T58 S25:S57 U111 U124 V58">
    <cfRule type="cellIs" dxfId="0" priority="1" stopIfTrue="1" operator="equal">
      <formula>0</formula>
    </cfRule>
  </conditionalFormatting>
  <conditionalFormatting sqref="F111:S143">
    <cfRule type="cellIs" dxfId="1" priority="2" stopIfTrue="1" operator="lessThan">
      <formula>0</formula>
    </cfRule>
  </conditionalFormatting>
  <conditionalFormatting sqref="V73:V105">
    <cfRule type="colorScale" priority="3">
      <colorScale>
        <cfvo type="min"/>
        <cfvo type="max"/>
        <color rgb="FF63BE7B"/>
        <color rgb="FFFCFCFF"/>
      </colorScale>
    </cfRule>
  </conditionalFormatting>
  <conditionalFormatting sqref="Y73:Y106">
    <cfRule type="colorScale" priority="4">
      <colorScale>
        <cfvo type="min"/>
        <cfvo type="percentile" val="50"/>
        <cfvo type="max"/>
        <color rgb="FFF8696B"/>
        <color rgb="FFFFEB84"/>
        <color rgb="FF63BE7B"/>
      </colorScale>
    </cfRule>
  </conditionalFormatting>
  <conditionalFormatting sqref="AC129:AC143">
    <cfRule type="cellIs" dxfId="0" priority="5" stopIfTrue="1" operator="equal">
      <formula>0</formula>
    </cfRule>
  </conditionalFormatting>
  <conditionalFormatting sqref="Q58">
    <cfRule type="cellIs" dxfId="0" priority="6" stopIfTrue="1" operator="equal">
      <formula>0</formula>
    </cfRule>
  </conditionalFormatting>
  <conditionalFormatting sqref="C38">
    <cfRule type="cellIs" dxfId="0" priority="7" stopIfTrue="1" operator="equal">
      <formula>0</formula>
    </cfRule>
  </conditionalFormatting>
  <conditionalFormatting sqref="C37">
    <cfRule type="cellIs" dxfId="0" priority="8" stopIfTrue="1" operator="equal">
      <formula>0</formula>
    </cfRule>
  </conditionalFormatting>
  <conditionalFormatting sqref="C25:C35">
    <cfRule type="cellIs" dxfId="0" priority="9" stopIfTrue="1" operator="equal">
      <formula>0</formula>
    </cfRule>
  </conditionalFormatting>
  <conditionalFormatting sqref="C46">
    <cfRule type="cellIs" dxfId="0" priority="10" stopIfTrue="1" operator="equal">
      <formula>0</formula>
    </cfRule>
  </conditionalFormatting>
  <conditionalFormatting sqref="C49">
    <cfRule type="cellIs" dxfId="0" priority="11" stopIfTrue="1" operator="equal">
      <formula>0</formula>
    </cfRule>
  </conditionalFormatting>
  <conditionalFormatting sqref="C51">
    <cfRule type="cellIs" dxfId="0" priority="12" stopIfTrue="1" operator="equal">
      <formula>0</formula>
    </cfRule>
  </conditionalFormatting>
  <conditionalFormatting sqref="C53">
    <cfRule type="cellIs" dxfId="0" priority="13" stopIfTrue="1" operator="equal">
      <formula>0</formula>
    </cfRule>
  </conditionalFormatting>
  <conditionalFormatting sqref="C57">
    <cfRule type="cellIs" dxfId="0" priority="14" stopIfTrue="1" operator="equal">
      <formula>0</formula>
    </cfRule>
  </conditionalFormatting>
  <conditionalFormatting sqref="W144">
    <cfRule type="cellIs" dxfId="0" priority="15" stopIfTrue="1" operator="equal">
      <formula>0</formula>
    </cfRule>
  </conditionalFormatting>
  <conditionalFormatting sqref="D40">
    <cfRule type="cellIs" dxfId="0" priority="16" stopIfTrue="1" operator="equal">
      <formula>0</formula>
    </cfRule>
  </conditionalFormatting>
  <conditionalFormatting sqref="D50">
    <cfRule type="cellIs" dxfId="0" priority="17" stopIfTrue="1" operator="equal">
      <formula>0</formula>
    </cfRule>
  </conditionalFormatting>
  <conditionalFormatting sqref="D55:D56">
    <cfRule type="cellIs" dxfId="0" priority="18" stopIfTrue="1" operator="equal">
      <formula>0</formula>
    </cfRule>
  </conditionalFormatting>
  <conditionalFormatting sqref="G38:M38">
    <cfRule type="cellIs" dxfId="0" priority="19" stopIfTrue="1" operator="equal">
      <formula>0</formula>
    </cfRule>
  </conditionalFormatting>
  <conditionalFormatting sqref="G37:M37">
    <cfRule type="cellIs" dxfId="0" priority="20" stopIfTrue="1" operator="equal">
      <formula>0</formula>
    </cfRule>
  </conditionalFormatting>
  <conditionalFormatting sqref="G25:M35">
    <cfRule type="cellIs" dxfId="0" priority="21" stopIfTrue="1" operator="equal">
      <formula>0</formula>
    </cfRule>
  </conditionalFormatting>
  <conditionalFormatting sqref="G46:M46">
    <cfRule type="cellIs" dxfId="0" priority="22" stopIfTrue="1" operator="equal">
      <formula>0</formula>
    </cfRule>
  </conditionalFormatting>
  <conditionalFormatting sqref="G49:M49">
    <cfRule type="cellIs" dxfId="0" priority="23" stopIfTrue="1" operator="equal">
      <formula>0</formula>
    </cfRule>
  </conditionalFormatting>
  <conditionalFormatting sqref="G51:M51">
    <cfRule type="cellIs" dxfId="0" priority="24" stopIfTrue="1" operator="equal">
      <formula>0</formula>
    </cfRule>
  </conditionalFormatting>
  <conditionalFormatting sqref="G53:M53">
    <cfRule type="cellIs" dxfId="0" priority="25" stopIfTrue="1" operator="equal">
      <formula>0</formula>
    </cfRule>
  </conditionalFormatting>
  <conditionalFormatting sqref="G57:M57">
    <cfRule type="cellIs" dxfId="0" priority="26" stopIfTrue="1" operator="equal">
      <formula>0</formula>
    </cfRule>
  </conditionalFormatting>
  <conditionalFormatting sqref="N38">
    <cfRule type="cellIs" dxfId="0" priority="27" stopIfTrue="1" operator="equal">
      <formula>0</formula>
    </cfRule>
  </conditionalFormatting>
  <conditionalFormatting sqref="N37">
    <cfRule type="cellIs" dxfId="0" priority="28" stopIfTrue="1" operator="equal">
      <formula>0</formula>
    </cfRule>
  </conditionalFormatting>
  <conditionalFormatting sqref="N25:N35">
    <cfRule type="cellIs" dxfId="0" priority="29" stopIfTrue="1" operator="equal">
      <formula>0</formula>
    </cfRule>
  </conditionalFormatting>
  <conditionalFormatting sqref="N46">
    <cfRule type="cellIs" dxfId="0" priority="30" stopIfTrue="1" operator="equal">
      <formula>0</formula>
    </cfRule>
  </conditionalFormatting>
  <conditionalFormatting sqref="N49">
    <cfRule type="cellIs" dxfId="0" priority="31" stopIfTrue="1" operator="equal">
      <formula>0</formula>
    </cfRule>
  </conditionalFormatting>
  <conditionalFormatting sqref="N51">
    <cfRule type="cellIs" dxfId="0" priority="32" stopIfTrue="1" operator="equal">
      <formula>0</formula>
    </cfRule>
  </conditionalFormatting>
  <conditionalFormatting sqref="N53">
    <cfRule type="cellIs" dxfId="0" priority="33" stopIfTrue="1" operator="equal">
      <formula>0</formula>
    </cfRule>
  </conditionalFormatting>
  <conditionalFormatting sqref="N57">
    <cfRule type="cellIs" dxfId="0" priority="34" stopIfTrue="1" operator="equal">
      <formula>0</formula>
    </cfRule>
  </conditionalFormatting>
  <conditionalFormatting sqref="O38">
    <cfRule type="cellIs" dxfId="0" priority="35" stopIfTrue="1" operator="equal">
      <formula>0</formula>
    </cfRule>
  </conditionalFormatting>
  <conditionalFormatting sqref="O37">
    <cfRule type="cellIs" dxfId="0" priority="36" stopIfTrue="1" operator="equal">
      <formula>0</formula>
    </cfRule>
  </conditionalFormatting>
  <conditionalFormatting sqref="O25:O35">
    <cfRule type="cellIs" dxfId="0" priority="37" stopIfTrue="1" operator="equal">
      <formula>0</formula>
    </cfRule>
  </conditionalFormatting>
  <conditionalFormatting sqref="O46">
    <cfRule type="cellIs" dxfId="0" priority="38" stopIfTrue="1" operator="equal">
      <formula>0</formula>
    </cfRule>
  </conditionalFormatting>
  <conditionalFormatting sqref="O49">
    <cfRule type="cellIs" dxfId="0" priority="39" stopIfTrue="1" operator="equal">
      <formula>0</formula>
    </cfRule>
  </conditionalFormatting>
  <conditionalFormatting sqref="O51">
    <cfRule type="cellIs" dxfId="0" priority="40" stopIfTrue="1" operator="equal">
      <formula>0</formula>
    </cfRule>
  </conditionalFormatting>
  <conditionalFormatting sqref="O53">
    <cfRule type="cellIs" dxfId="0" priority="41" stopIfTrue="1" operator="equal">
      <formula>0</formula>
    </cfRule>
  </conditionalFormatting>
  <conditionalFormatting sqref="O57">
    <cfRule type="cellIs" dxfId="0" priority="42" stopIfTrue="1" operator="equal">
      <formula>0</formula>
    </cfRule>
  </conditionalFormatting>
  <conditionalFormatting sqref="P38">
    <cfRule type="cellIs" dxfId="0" priority="43" stopIfTrue="1" operator="equal">
      <formula>0</formula>
    </cfRule>
  </conditionalFormatting>
  <conditionalFormatting sqref="P37">
    <cfRule type="cellIs" dxfId="0" priority="44" stopIfTrue="1" operator="equal">
      <formula>0</formula>
    </cfRule>
  </conditionalFormatting>
  <conditionalFormatting sqref="P25:P35">
    <cfRule type="cellIs" dxfId="0" priority="45" stopIfTrue="1" operator="equal">
      <formula>0</formula>
    </cfRule>
  </conditionalFormatting>
  <conditionalFormatting sqref="P46">
    <cfRule type="cellIs" dxfId="0" priority="46" stopIfTrue="1" operator="equal">
      <formula>0</formula>
    </cfRule>
  </conditionalFormatting>
  <conditionalFormatting sqref="P49">
    <cfRule type="cellIs" dxfId="0" priority="47" stopIfTrue="1" operator="equal">
      <formula>0</formula>
    </cfRule>
  </conditionalFormatting>
  <conditionalFormatting sqref="P51">
    <cfRule type="cellIs" dxfId="0" priority="48" stopIfTrue="1" operator="equal">
      <formula>0</formula>
    </cfRule>
  </conditionalFormatting>
  <conditionalFormatting sqref="P53">
    <cfRule type="cellIs" dxfId="0" priority="49" stopIfTrue="1" operator="equal">
      <formula>0</formula>
    </cfRule>
  </conditionalFormatting>
  <conditionalFormatting sqref="P57">
    <cfRule type="cellIs" dxfId="0" priority="50" stopIfTrue="1" operator="equal">
      <formula>0</formula>
    </cfRule>
  </conditionalFormatting>
  <conditionalFormatting sqref="Q38">
    <cfRule type="cellIs" dxfId="0" priority="51" stopIfTrue="1" operator="equal">
      <formula>0</formula>
    </cfRule>
  </conditionalFormatting>
  <conditionalFormatting sqref="Q37">
    <cfRule type="cellIs" dxfId="0" priority="52" stopIfTrue="1" operator="equal">
      <formula>0</formula>
    </cfRule>
  </conditionalFormatting>
  <conditionalFormatting sqref="Q25:Q35">
    <cfRule type="cellIs" dxfId="0" priority="53" stopIfTrue="1" operator="equal">
      <formula>0</formula>
    </cfRule>
  </conditionalFormatting>
  <conditionalFormatting sqref="Q46">
    <cfRule type="cellIs" dxfId="0" priority="54" stopIfTrue="1" operator="equal">
      <formula>0</formula>
    </cfRule>
  </conditionalFormatting>
  <conditionalFormatting sqref="Q49">
    <cfRule type="cellIs" dxfId="0" priority="55" stopIfTrue="1" operator="equal">
      <formula>0</formula>
    </cfRule>
  </conditionalFormatting>
  <conditionalFormatting sqref="Q51">
    <cfRule type="cellIs" dxfId="0" priority="56" stopIfTrue="1" operator="equal">
      <formula>0</formula>
    </cfRule>
  </conditionalFormatting>
  <conditionalFormatting sqref="Q53">
    <cfRule type="cellIs" dxfId="0" priority="57" stopIfTrue="1" operator="equal">
      <formula>0</formula>
    </cfRule>
  </conditionalFormatting>
  <conditionalFormatting sqref="Q57">
    <cfRule type="cellIs" dxfId="0" priority="58" stopIfTrue="1" operator="equal">
      <formula>0</formula>
    </cfRule>
  </conditionalFormatting>
  <conditionalFormatting sqref="R38">
    <cfRule type="cellIs" dxfId="0" priority="59" stopIfTrue="1" operator="equal">
      <formula>0</formula>
    </cfRule>
  </conditionalFormatting>
  <conditionalFormatting sqref="R37">
    <cfRule type="cellIs" dxfId="0" priority="60" stopIfTrue="1" operator="equal">
      <formula>0</formula>
    </cfRule>
  </conditionalFormatting>
  <conditionalFormatting sqref="R25:R35">
    <cfRule type="cellIs" dxfId="0" priority="61" stopIfTrue="1" operator="equal">
      <formula>0</formula>
    </cfRule>
  </conditionalFormatting>
  <conditionalFormatting sqref="R46">
    <cfRule type="cellIs" dxfId="0" priority="62" stopIfTrue="1" operator="equal">
      <formula>0</formula>
    </cfRule>
  </conditionalFormatting>
  <conditionalFormatting sqref="R49">
    <cfRule type="cellIs" dxfId="0" priority="63" stopIfTrue="1" operator="equal">
      <formula>0</formula>
    </cfRule>
  </conditionalFormatting>
  <conditionalFormatting sqref="R51">
    <cfRule type="cellIs" dxfId="0" priority="64" stopIfTrue="1" operator="equal">
      <formula>0</formula>
    </cfRule>
  </conditionalFormatting>
  <conditionalFormatting sqref="R53">
    <cfRule type="cellIs" dxfId="0" priority="65" stopIfTrue="1" operator="equal">
      <formula>0</formula>
    </cfRule>
  </conditionalFormatting>
  <conditionalFormatting sqref="R57">
    <cfRule type="cellIs" dxfId="0" priority="66" stopIfTrue="1" operator="equal">
      <formula>0</formula>
    </cfRule>
  </conditionalFormatting>
  <printOptions/>
  <pageMargins bottom="1.0" footer="0.0" header="0.0" left="0.75" right="0.75" top="1.0"/>
  <pageSetup paperSize="9" scale="28" orientation="portrait"/>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3" width="8.63"/>
    <col customWidth="1" min="14" max="14" width="17.38"/>
    <col customWidth="1" min="15" max="26" width="8.63"/>
  </cols>
  <sheetData>
    <row r="1" ht="12.75" customHeight="1">
      <c r="A1" s="2" t="s">
        <v>0</v>
      </c>
      <c r="B1" s="2" t="s">
        <v>1</v>
      </c>
      <c r="D1" s="2" t="s">
        <v>2</v>
      </c>
      <c r="E1" s="2" t="s">
        <v>3</v>
      </c>
      <c r="F1" s="2" t="s">
        <v>879</v>
      </c>
      <c r="G1" s="2" t="s">
        <v>4</v>
      </c>
      <c r="J1" s="2" t="s">
        <v>7</v>
      </c>
      <c r="L1" s="2" t="s">
        <v>729</v>
      </c>
      <c r="M1" s="2">
        <f>2015</f>
        <v>2015</v>
      </c>
      <c r="N1" s="26" t="s">
        <v>880</v>
      </c>
      <c r="O1" s="26">
        <f>21-1</f>
        <v>20</v>
      </c>
    </row>
    <row r="2" ht="12.75" customHeight="1">
      <c r="A2" s="2">
        <f>$M$1</f>
        <v>2015</v>
      </c>
      <c r="B2" s="2">
        <v>1.0</v>
      </c>
      <c r="J2" s="2" t="s">
        <v>10</v>
      </c>
    </row>
    <row r="3" ht="12.75" customHeight="1">
      <c r="A3" s="2" t="s">
        <v>0</v>
      </c>
      <c r="B3" s="2" t="s">
        <v>1</v>
      </c>
      <c r="D3" s="2" t="s">
        <v>2</v>
      </c>
      <c r="E3" s="2" t="s">
        <v>3</v>
      </c>
      <c r="F3" s="2" t="s">
        <v>879</v>
      </c>
      <c r="G3" s="2" t="s">
        <v>4</v>
      </c>
      <c r="J3" s="2" t="s">
        <v>7</v>
      </c>
    </row>
    <row r="4" ht="12.75" customHeight="1">
      <c r="A4" s="2">
        <f>$M$1</f>
        <v>2015</v>
      </c>
      <c r="B4" s="2">
        <v>1.0</v>
      </c>
      <c r="J4" s="2" t="s">
        <v>20</v>
      </c>
    </row>
    <row r="5" ht="12.75" customHeight="1">
      <c r="A5" s="2" t="s">
        <v>0</v>
      </c>
      <c r="B5" s="2" t="s">
        <v>1</v>
      </c>
      <c r="D5" s="2" t="s">
        <v>2</v>
      </c>
      <c r="E5" s="2" t="s">
        <v>3</v>
      </c>
      <c r="F5" s="2" t="s">
        <v>879</v>
      </c>
      <c r="G5" s="2" t="s">
        <v>4</v>
      </c>
      <c r="J5" s="2" t="s">
        <v>7</v>
      </c>
    </row>
    <row r="6" ht="12.75" customHeight="1">
      <c r="A6" s="2">
        <f>$M$1</f>
        <v>2015</v>
      </c>
      <c r="B6" s="2">
        <v>1.0</v>
      </c>
      <c r="J6" s="2" t="s">
        <v>17</v>
      </c>
    </row>
    <row r="7" ht="12.75" customHeight="1">
      <c r="A7" s="2" t="s">
        <v>0</v>
      </c>
      <c r="B7" s="2" t="s">
        <v>1</v>
      </c>
      <c r="D7" s="2" t="s">
        <v>2</v>
      </c>
      <c r="E7" s="2" t="s">
        <v>3</v>
      </c>
      <c r="F7" s="2" t="s">
        <v>879</v>
      </c>
      <c r="G7" s="2" t="s">
        <v>4</v>
      </c>
      <c r="J7" s="2" t="s">
        <v>7</v>
      </c>
    </row>
    <row r="8" ht="12.75" customHeight="1">
      <c r="A8" s="2">
        <f>$M$1</f>
        <v>2015</v>
      </c>
      <c r="B8" s="2">
        <v>1.0</v>
      </c>
      <c r="J8" s="2" t="s">
        <v>24</v>
      </c>
    </row>
    <row r="9" ht="12.75" customHeight="1">
      <c r="A9" s="2" t="s">
        <v>0</v>
      </c>
      <c r="B9" s="2" t="s">
        <v>1</v>
      </c>
      <c r="D9" s="2" t="s">
        <v>2</v>
      </c>
      <c r="E9" s="2" t="s">
        <v>3</v>
      </c>
      <c r="F9" s="2" t="s">
        <v>879</v>
      </c>
      <c r="G9" s="2" t="s">
        <v>4</v>
      </c>
      <c r="J9" s="2" t="s">
        <v>7</v>
      </c>
    </row>
    <row r="10" ht="12.75" customHeight="1">
      <c r="A10" s="2">
        <f>$M$1</f>
        <v>2015</v>
      </c>
      <c r="B10" s="2">
        <v>1.0</v>
      </c>
      <c r="J10" s="2" t="s">
        <v>651</v>
      </c>
    </row>
    <row r="11" ht="12.75" customHeight="1">
      <c r="A11" s="2" t="s">
        <v>0</v>
      </c>
      <c r="B11" s="2" t="s">
        <v>1</v>
      </c>
      <c r="D11" s="2" t="s">
        <v>2</v>
      </c>
      <c r="E11" s="2" t="s">
        <v>3</v>
      </c>
      <c r="F11" s="2" t="s">
        <v>879</v>
      </c>
      <c r="G11" s="2" t="s">
        <v>4</v>
      </c>
      <c r="J11" s="2" t="s">
        <v>7</v>
      </c>
    </row>
    <row r="12" ht="12.75" customHeight="1">
      <c r="A12" s="2">
        <f>$M$1</f>
        <v>2015</v>
      </c>
      <c r="B12" s="2">
        <v>1.0</v>
      </c>
      <c r="J12" s="2" t="s">
        <v>76</v>
      </c>
    </row>
    <row r="13" ht="12.75" customHeight="1">
      <c r="A13" s="2" t="s">
        <v>0</v>
      </c>
      <c r="B13" s="2" t="s">
        <v>1</v>
      </c>
      <c r="D13" s="2" t="s">
        <v>2</v>
      </c>
      <c r="E13" s="2" t="s">
        <v>3</v>
      </c>
      <c r="F13" s="2" t="s">
        <v>879</v>
      </c>
      <c r="G13" s="2" t="s">
        <v>4</v>
      </c>
      <c r="J13" s="2" t="s">
        <v>7</v>
      </c>
    </row>
    <row r="14" ht="12.75" customHeight="1">
      <c r="A14" s="2">
        <f>$M$1</f>
        <v>2015</v>
      </c>
      <c r="B14" s="2">
        <v>1.0</v>
      </c>
      <c r="J14" s="2" t="s">
        <v>26</v>
      </c>
    </row>
    <row r="15" ht="12.75" customHeight="1">
      <c r="A15" s="2" t="s">
        <v>0</v>
      </c>
      <c r="B15" s="2" t="s">
        <v>1</v>
      </c>
      <c r="D15" s="2" t="s">
        <v>2</v>
      </c>
      <c r="E15" s="2" t="s">
        <v>3</v>
      </c>
      <c r="F15" s="2" t="s">
        <v>879</v>
      </c>
      <c r="G15" s="2" t="s">
        <v>4</v>
      </c>
      <c r="J15" s="2" t="s">
        <v>7</v>
      </c>
    </row>
    <row r="16" ht="12.75" customHeight="1">
      <c r="A16" s="2">
        <f>$M$1</f>
        <v>2015</v>
      </c>
      <c r="B16" s="2">
        <v>1.0</v>
      </c>
      <c r="J16" s="2" t="s">
        <v>103</v>
      </c>
    </row>
    <row r="17" ht="12.75" customHeight="1">
      <c r="A17" s="2" t="s">
        <v>0</v>
      </c>
      <c r="B17" s="2" t="s">
        <v>1</v>
      </c>
      <c r="D17" s="2" t="s">
        <v>2</v>
      </c>
      <c r="E17" s="2" t="s">
        <v>3</v>
      </c>
      <c r="F17" s="2" t="s">
        <v>879</v>
      </c>
      <c r="G17" s="2" t="s">
        <v>4</v>
      </c>
      <c r="J17" s="2" t="s">
        <v>7</v>
      </c>
    </row>
    <row r="18" ht="12.75" customHeight="1">
      <c r="A18" s="2">
        <f>$M$1</f>
        <v>2015</v>
      </c>
      <c r="B18" s="2">
        <v>1.0</v>
      </c>
      <c r="J18" s="2" t="s">
        <v>22</v>
      </c>
    </row>
    <row r="19" ht="12.75" customHeight="1">
      <c r="A19" s="2" t="s">
        <v>0</v>
      </c>
      <c r="B19" s="2" t="s">
        <v>1</v>
      </c>
      <c r="D19" s="2" t="s">
        <v>2</v>
      </c>
      <c r="E19" s="2" t="s">
        <v>3</v>
      </c>
      <c r="F19" s="2" t="s">
        <v>879</v>
      </c>
      <c r="G19" s="2" t="s">
        <v>4</v>
      </c>
      <c r="J19" s="2" t="s">
        <v>7</v>
      </c>
    </row>
    <row r="20" ht="12.75" customHeight="1">
      <c r="A20" s="2">
        <f>$M$1</f>
        <v>2015</v>
      </c>
      <c r="B20" s="2">
        <v>1.0</v>
      </c>
      <c r="J20" s="2" t="s">
        <v>428</v>
      </c>
    </row>
    <row r="21" ht="12.75" customHeight="1">
      <c r="A21" s="2" t="s">
        <v>0</v>
      </c>
      <c r="B21" s="2" t="s">
        <v>1</v>
      </c>
      <c r="D21" s="2" t="s">
        <v>2</v>
      </c>
      <c r="E21" s="2" t="s">
        <v>3</v>
      </c>
      <c r="F21" s="2" t="s">
        <v>879</v>
      </c>
      <c r="G21" s="2" t="s">
        <v>4</v>
      </c>
      <c r="J21" s="2" t="s">
        <v>7</v>
      </c>
    </row>
    <row r="22" ht="12.75" customHeight="1">
      <c r="A22" s="2">
        <f>$M$1</f>
        <v>2015</v>
      </c>
      <c r="B22" s="2">
        <v>1.0</v>
      </c>
      <c r="J22" s="2" t="s">
        <v>800</v>
      </c>
    </row>
    <row r="23" ht="12.75" customHeight="1">
      <c r="A23" s="2" t="s">
        <v>0</v>
      </c>
      <c r="B23" s="2" t="s">
        <v>1</v>
      </c>
      <c r="D23" s="2" t="s">
        <v>2</v>
      </c>
      <c r="E23" s="2" t="s">
        <v>3</v>
      </c>
      <c r="F23" s="2" t="s">
        <v>879</v>
      </c>
      <c r="G23" s="2" t="s">
        <v>4</v>
      </c>
      <c r="J23" s="2" t="s">
        <v>7</v>
      </c>
    </row>
    <row r="24" ht="12.75" customHeight="1">
      <c r="A24" s="2">
        <f>$M$1</f>
        <v>2015</v>
      </c>
      <c r="B24" s="2">
        <v>1.0</v>
      </c>
      <c r="J24" s="2" t="s">
        <v>54</v>
      </c>
    </row>
    <row r="25" ht="12.75" customHeight="1">
      <c r="A25" s="2" t="s">
        <v>0</v>
      </c>
      <c r="B25" s="2" t="s">
        <v>1</v>
      </c>
      <c r="D25" s="2" t="s">
        <v>2</v>
      </c>
      <c r="E25" s="2" t="s">
        <v>3</v>
      </c>
      <c r="F25" s="2" t="s">
        <v>879</v>
      </c>
      <c r="G25" s="2" t="s">
        <v>4</v>
      </c>
      <c r="J25" s="2" t="s">
        <v>7</v>
      </c>
    </row>
    <row r="26" ht="12.75" customHeight="1">
      <c r="A26" s="2">
        <f>$M$1</f>
        <v>2015</v>
      </c>
      <c r="B26" s="2">
        <v>1.0</v>
      </c>
      <c r="J26" s="2" t="s">
        <v>801</v>
      </c>
    </row>
    <row r="27" ht="12.75" customHeight="1">
      <c r="A27" s="2" t="s">
        <v>0</v>
      </c>
      <c r="B27" s="2" t="s">
        <v>1</v>
      </c>
      <c r="D27" s="2" t="s">
        <v>2</v>
      </c>
      <c r="E27" s="2" t="s">
        <v>3</v>
      </c>
      <c r="F27" s="2" t="s">
        <v>879</v>
      </c>
      <c r="G27" s="2" t="s">
        <v>4</v>
      </c>
      <c r="J27" s="2" t="s">
        <v>7</v>
      </c>
    </row>
    <row r="28" ht="12.75" customHeight="1">
      <c r="A28" s="2">
        <f>$M$1</f>
        <v>2015</v>
      </c>
      <c r="B28" s="2">
        <v>1.0</v>
      </c>
      <c r="J28" s="2" t="s">
        <v>38</v>
      </c>
    </row>
    <row r="29" ht="12.75" customHeight="1">
      <c r="A29" s="2" t="s">
        <v>0</v>
      </c>
      <c r="B29" s="2" t="s">
        <v>1</v>
      </c>
      <c r="D29" s="2" t="s">
        <v>2</v>
      </c>
      <c r="E29" s="2" t="s">
        <v>3</v>
      </c>
      <c r="F29" s="2" t="s">
        <v>879</v>
      </c>
      <c r="G29" s="2" t="s">
        <v>4</v>
      </c>
      <c r="J29" s="2" t="s">
        <v>7</v>
      </c>
    </row>
    <row r="30" ht="12.75" customHeight="1">
      <c r="A30" s="2">
        <f>$M$1</f>
        <v>2015</v>
      </c>
      <c r="B30" s="2">
        <v>1.0</v>
      </c>
      <c r="J30" s="2" t="s">
        <v>47</v>
      </c>
    </row>
    <row r="31" ht="12.75" customHeight="1">
      <c r="A31" s="2" t="s">
        <v>0</v>
      </c>
      <c r="B31" s="2" t="s">
        <v>1</v>
      </c>
      <c r="D31" s="2" t="s">
        <v>2</v>
      </c>
      <c r="E31" s="2" t="s">
        <v>3</v>
      </c>
      <c r="F31" s="2" t="s">
        <v>879</v>
      </c>
      <c r="G31" s="2" t="s">
        <v>4</v>
      </c>
      <c r="J31" s="2" t="s">
        <v>7</v>
      </c>
    </row>
    <row r="32" ht="12.75" customHeight="1">
      <c r="A32" s="2">
        <f>$M$1</f>
        <v>2015</v>
      </c>
      <c r="B32" s="2">
        <v>1.0</v>
      </c>
      <c r="J32" s="2" t="s">
        <v>52</v>
      </c>
    </row>
    <row r="33" ht="12.75" customHeight="1">
      <c r="A33" s="2" t="s">
        <v>0</v>
      </c>
      <c r="B33" s="2" t="s">
        <v>1</v>
      </c>
      <c r="D33" s="2" t="s">
        <v>2</v>
      </c>
      <c r="E33" s="2" t="s">
        <v>3</v>
      </c>
      <c r="F33" s="2" t="s">
        <v>879</v>
      </c>
      <c r="G33" s="2" t="s">
        <v>4</v>
      </c>
      <c r="J33" s="2" t="s">
        <v>7</v>
      </c>
    </row>
    <row r="34" ht="12.75" customHeight="1">
      <c r="A34" s="2">
        <f>$M$1</f>
        <v>2015</v>
      </c>
      <c r="B34" s="2">
        <v>1.0</v>
      </c>
      <c r="J34" s="2" t="s">
        <v>42</v>
      </c>
    </row>
    <row r="35" ht="12.75" customHeight="1">
      <c r="A35" s="2" t="s">
        <v>0</v>
      </c>
      <c r="B35" s="2" t="s">
        <v>1</v>
      </c>
      <c r="D35" s="2" t="s">
        <v>2</v>
      </c>
      <c r="E35" s="2" t="s">
        <v>3</v>
      </c>
      <c r="F35" s="2" t="s">
        <v>879</v>
      </c>
      <c r="G35" s="2" t="s">
        <v>4</v>
      </c>
      <c r="J35" s="2" t="s">
        <v>7</v>
      </c>
    </row>
    <row r="36" ht="12.75" customHeight="1">
      <c r="A36" s="2">
        <f>$M$1</f>
        <v>2015</v>
      </c>
      <c r="B36" s="2">
        <v>1.0</v>
      </c>
      <c r="J36" s="2" t="s">
        <v>133</v>
      </c>
    </row>
    <row r="37" ht="12.75" customHeight="1">
      <c r="A37" s="2" t="s">
        <v>0</v>
      </c>
      <c r="B37" s="2" t="s">
        <v>1</v>
      </c>
      <c r="D37" s="2" t="s">
        <v>2</v>
      </c>
      <c r="E37" s="2" t="s">
        <v>3</v>
      </c>
      <c r="F37" s="2" t="s">
        <v>879</v>
      </c>
      <c r="G37" s="2" t="s">
        <v>4</v>
      </c>
      <c r="J37" s="2" t="s">
        <v>7</v>
      </c>
    </row>
    <row r="38" ht="12.75" customHeight="1">
      <c r="A38" s="2">
        <f>$M$1</f>
        <v>2015</v>
      </c>
      <c r="B38" s="2">
        <v>1.0</v>
      </c>
      <c r="J38" s="2" t="s">
        <v>803</v>
      </c>
    </row>
    <row r="39" ht="12.75" customHeight="1">
      <c r="A39" s="2" t="s">
        <v>0</v>
      </c>
      <c r="B39" s="2" t="s">
        <v>1</v>
      </c>
      <c r="D39" s="2" t="s">
        <v>2</v>
      </c>
      <c r="E39" s="2" t="s">
        <v>3</v>
      </c>
      <c r="F39" s="2" t="s">
        <v>879</v>
      </c>
      <c r="G39" s="2" t="s">
        <v>4</v>
      </c>
      <c r="J39" s="2" t="s">
        <v>7</v>
      </c>
    </row>
    <row r="40" ht="12.75" customHeight="1">
      <c r="A40" s="2">
        <f>$M$1</f>
        <v>2015</v>
      </c>
      <c r="B40" s="2">
        <v>1.0</v>
      </c>
      <c r="J40" s="2" t="s">
        <v>164</v>
      </c>
    </row>
    <row r="41" ht="12.75" customHeight="1">
      <c r="A41" s="2" t="s">
        <v>0</v>
      </c>
      <c r="B41" s="2" t="s">
        <v>1</v>
      </c>
      <c r="D41" s="2" t="s">
        <v>2</v>
      </c>
      <c r="E41" s="2" t="s">
        <v>3</v>
      </c>
      <c r="F41" s="2" t="s">
        <v>879</v>
      </c>
      <c r="G41" s="2" t="s">
        <v>4</v>
      </c>
      <c r="J41" s="2" t="s">
        <v>7</v>
      </c>
    </row>
    <row r="42" ht="12.75" customHeight="1">
      <c r="A42" s="2">
        <f>$M$1</f>
        <v>2015</v>
      </c>
      <c r="B42" s="2">
        <v>1.0</v>
      </c>
      <c r="J42" s="2" t="s">
        <v>50</v>
      </c>
    </row>
    <row r="43" ht="12.75" customHeight="1">
      <c r="A43" s="2" t="s">
        <v>0</v>
      </c>
      <c r="B43" s="2" t="s">
        <v>1</v>
      </c>
      <c r="D43" s="2" t="s">
        <v>2</v>
      </c>
      <c r="E43" s="2" t="s">
        <v>3</v>
      </c>
      <c r="F43" s="2" t="s">
        <v>879</v>
      </c>
      <c r="G43" s="2" t="s">
        <v>4</v>
      </c>
      <c r="J43" s="2" t="s">
        <v>7</v>
      </c>
    </row>
    <row r="44" ht="12.75" customHeight="1">
      <c r="A44" s="2">
        <f>$M$1</f>
        <v>2015</v>
      </c>
      <c r="B44" s="2">
        <v>1.0</v>
      </c>
      <c r="J44" s="2" t="s">
        <v>304</v>
      </c>
    </row>
    <row r="45" ht="12.75" customHeight="1">
      <c r="A45" s="2" t="s">
        <v>0</v>
      </c>
      <c r="B45" s="2" t="s">
        <v>1</v>
      </c>
      <c r="D45" s="2" t="s">
        <v>2</v>
      </c>
      <c r="E45" s="2" t="s">
        <v>3</v>
      </c>
      <c r="F45" s="2" t="s">
        <v>879</v>
      </c>
      <c r="G45" s="2" t="s">
        <v>4</v>
      </c>
      <c r="J45" s="2" t="s">
        <v>7</v>
      </c>
    </row>
    <row r="46" ht="12.75" customHeight="1">
      <c r="A46" s="2">
        <f>$M$1</f>
        <v>2015</v>
      </c>
      <c r="B46" s="2">
        <v>1.0</v>
      </c>
      <c r="J46" s="2" t="s">
        <v>72</v>
      </c>
    </row>
    <row r="47" ht="12.75" customHeight="1">
      <c r="A47" s="2" t="s">
        <v>0</v>
      </c>
      <c r="B47" s="2" t="s">
        <v>1</v>
      </c>
      <c r="D47" s="2" t="s">
        <v>2</v>
      </c>
      <c r="E47" s="2" t="s">
        <v>3</v>
      </c>
      <c r="F47" s="2" t="s">
        <v>879</v>
      </c>
      <c r="G47" s="2" t="s">
        <v>4</v>
      </c>
      <c r="J47" s="2" t="s">
        <v>7</v>
      </c>
    </row>
    <row r="48" ht="12.75" customHeight="1">
      <c r="A48" s="2">
        <f>$M$1</f>
        <v>2015</v>
      </c>
      <c r="B48" s="2">
        <v>1.0</v>
      </c>
      <c r="J48" s="2" t="s">
        <v>13</v>
      </c>
    </row>
    <row r="49" ht="12.75" customHeight="1">
      <c r="A49" s="2" t="s">
        <v>0</v>
      </c>
      <c r="B49" s="2" t="s">
        <v>1</v>
      </c>
      <c r="D49" s="2" t="s">
        <v>2</v>
      </c>
      <c r="E49" s="2" t="s">
        <v>3</v>
      </c>
      <c r="F49" s="2" t="s">
        <v>879</v>
      </c>
      <c r="G49" s="2" t="s">
        <v>4</v>
      </c>
      <c r="J49" s="2" t="s">
        <v>7</v>
      </c>
    </row>
    <row r="50" ht="12.75" customHeight="1">
      <c r="A50" s="2">
        <f>$M$1</f>
        <v>2015</v>
      </c>
      <c r="B50" s="2">
        <v>1.0</v>
      </c>
      <c r="J50" s="2" t="s">
        <v>18</v>
      </c>
    </row>
    <row r="51" ht="12.75" customHeight="1">
      <c r="A51" s="2" t="s">
        <v>0</v>
      </c>
      <c r="B51" s="2" t="s">
        <v>1</v>
      </c>
      <c r="D51" s="2" t="s">
        <v>2</v>
      </c>
      <c r="E51" s="2" t="s">
        <v>3</v>
      </c>
      <c r="F51" s="2" t="s">
        <v>879</v>
      </c>
      <c r="G51" s="2" t="s">
        <v>4</v>
      </c>
      <c r="J51" s="2" t="s">
        <v>7</v>
      </c>
    </row>
    <row r="52" ht="12.75" customHeight="1">
      <c r="A52" s="2">
        <f>$M$1</f>
        <v>2015</v>
      </c>
      <c r="B52" s="2">
        <v>1.0</v>
      </c>
      <c r="J52" s="2" t="s">
        <v>153</v>
      </c>
    </row>
    <row r="53" ht="12.75" customHeight="1">
      <c r="A53" s="2" t="s">
        <v>0</v>
      </c>
      <c r="B53" s="2" t="s">
        <v>1</v>
      </c>
      <c r="D53" s="2" t="s">
        <v>2</v>
      </c>
      <c r="E53" s="2" t="s">
        <v>3</v>
      </c>
      <c r="F53" s="2" t="s">
        <v>879</v>
      </c>
      <c r="G53" s="2" t="s">
        <v>4</v>
      </c>
      <c r="J53" s="2" t="s">
        <v>7</v>
      </c>
    </row>
    <row r="54" ht="12.75" customHeight="1">
      <c r="A54" s="2">
        <f>$M$1</f>
        <v>2015</v>
      </c>
      <c r="B54" s="2">
        <v>1.0</v>
      </c>
      <c r="J54" s="2" t="s">
        <v>805</v>
      </c>
    </row>
    <row r="55" ht="12.75" customHeight="1">
      <c r="A55" s="2" t="s">
        <v>0</v>
      </c>
      <c r="B55" s="2" t="s">
        <v>1</v>
      </c>
      <c r="D55" s="2" t="s">
        <v>2</v>
      </c>
      <c r="E55" s="2" t="s">
        <v>3</v>
      </c>
      <c r="F55" s="2" t="s">
        <v>879</v>
      </c>
      <c r="G55" s="2" t="s">
        <v>4</v>
      </c>
      <c r="J55" s="2" t="s">
        <v>7</v>
      </c>
    </row>
    <row r="56" ht="12.75" customHeight="1">
      <c r="A56" s="2">
        <f>$M$1</f>
        <v>2015</v>
      </c>
      <c r="B56" s="2">
        <v>1.0</v>
      </c>
      <c r="J56" s="2" t="s">
        <v>31</v>
      </c>
    </row>
    <row r="57" ht="12.75" customHeight="1">
      <c r="A57" s="2" t="s">
        <v>0</v>
      </c>
      <c r="B57" s="2" t="s">
        <v>1</v>
      </c>
      <c r="D57" s="2" t="s">
        <v>2</v>
      </c>
      <c r="E57" s="2" t="s">
        <v>3</v>
      </c>
      <c r="F57" s="2" t="s">
        <v>879</v>
      </c>
      <c r="G57" s="2" t="s">
        <v>4</v>
      </c>
      <c r="J57" s="2" t="s">
        <v>7</v>
      </c>
    </row>
    <row r="58" ht="12.75" customHeight="1">
      <c r="A58" s="2">
        <f>$M$1</f>
        <v>2015</v>
      </c>
      <c r="B58" s="2">
        <v>1.0</v>
      </c>
      <c r="J58" s="2" t="s">
        <v>123</v>
      </c>
    </row>
    <row r="59" ht="12.75" customHeight="1">
      <c r="A59" s="2" t="s">
        <v>0</v>
      </c>
      <c r="B59" s="2" t="s">
        <v>1</v>
      </c>
      <c r="D59" s="2" t="s">
        <v>2</v>
      </c>
      <c r="E59" s="2" t="s">
        <v>3</v>
      </c>
      <c r="F59" s="2" t="s">
        <v>879</v>
      </c>
      <c r="G59" s="2" t="s">
        <v>4</v>
      </c>
      <c r="J59" s="2" t="s">
        <v>7</v>
      </c>
    </row>
    <row r="60" ht="12.75" customHeight="1">
      <c r="A60" s="2">
        <f>$M$1</f>
        <v>2015</v>
      </c>
      <c r="B60" s="2">
        <v>1.0</v>
      </c>
      <c r="J60" s="2" t="s">
        <v>35</v>
      </c>
    </row>
    <row r="61" ht="12.75" customHeight="1">
      <c r="A61" s="2" t="s">
        <v>0</v>
      </c>
      <c r="B61" s="2" t="s">
        <v>1</v>
      </c>
      <c r="D61" s="2" t="s">
        <v>2</v>
      </c>
      <c r="E61" s="2" t="s">
        <v>3</v>
      </c>
      <c r="F61" s="2" t="s">
        <v>879</v>
      </c>
      <c r="G61" s="2" t="s">
        <v>4</v>
      </c>
      <c r="J61" s="2" t="s">
        <v>7</v>
      </c>
    </row>
    <row r="62" ht="12.75" customHeight="1">
      <c r="A62" s="2">
        <f>$M$1</f>
        <v>2015</v>
      </c>
      <c r="B62" s="2">
        <v>1.0</v>
      </c>
      <c r="J62" s="2" t="s">
        <v>210</v>
      </c>
    </row>
    <row r="63" ht="12.75" customHeight="1">
      <c r="A63" s="2" t="s">
        <v>0</v>
      </c>
      <c r="B63" s="2" t="s">
        <v>1</v>
      </c>
      <c r="D63" s="2" t="s">
        <v>2</v>
      </c>
      <c r="E63" s="2" t="s">
        <v>3</v>
      </c>
      <c r="F63" s="2" t="s">
        <v>879</v>
      </c>
      <c r="G63" s="2" t="s">
        <v>4</v>
      </c>
      <c r="J63" s="2" t="s">
        <v>7</v>
      </c>
    </row>
    <row r="64" ht="12.75" customHeight="1">
      <c r="A64" s="2">
        <f>$M$1</f>
        <v>2015</v>
      </c>
      <c r="B64" s="2">
        <v>1.0</v>
      </c>
      <c r="J64" s="2" t="s">
        <v>808</v>
      </c>
    </row>
    <row r="65" ht="12.75" customHeight="1">
      <c r="A65" s="2" t="s">
        <v>0</v>
      </c>
      <c r="B65" s="2" t="s">
        <v>1</v>
      </c>
      <c r="D65" s="2" t="s">
        <v>2</v>
      </c>
      <c r="E65" s="2" t="s">
        <v>3</v>
      </c>
      <c r="F65" s="2" t="s">
        <v>879</v>
      </c>
      <c r="G65" s="2" t="s">
        <v>4</v>
      </c>
      <c r="J65" s="2" t="s">
        <v>7</v>
      </c>
    </row>
    <row r="66" ht="12.75" customHeight="1">
      <c r="A66" s="2">
        <f>$M$1</f>
        <v>2015</v>
      </c>
      <c r="B66" s="2">
        <v>1.0</v>
      </c>
      <c r="J66" s="2" t="s">
        <v>810</v>
      </c>
    </row>
    <row r="67" ht="12.75" customHeight="1">
      <c r="A67" s="2" t="s">
        <v>0</v>
      </c>
      <c r="B67" s="2" t="s">
        <v>1</v>
      </c>
      <c r="D67" s="2" t="s">
        <v>2</v>
      </c>
      <c r="E67" s="2" t="s">
        <v>3</v>
      </c>
      <c r="F67" s="2" t="s">
        <v>879</v>
      </c>
      <c r="G67" s="2" t="s">
        <v>4</v>
      </c>
      <c r="J67" s="2" t="s">
        <v>7</v>
      </c>
    </row>
    <row r="68" ht="12.75" customHeight="1">
      <c r="A68" s="2">
        <f>$M$1</f>
        <v>2015</v>
      </c>
      <c r="B68" s="2">
        <v>2.0</v>
      </c>
      <c r="J68" s="2" t="s">
        <v>10</v>
      </c>
    </row>
    <row r="69" ht="12.75" customHeight="1">
      <c r="A69" s="2" t="s">
        <v>0</v>
      </c>
      <c r="B69" s="2" t="s">
        <v>1</v>
      </c>
      <c r="D69" s="2" t="s">
        <v>2</v>
      </c>
      <c r="E69" s="2" t="s">
        <v>3</v>
      </c>
      <c r="F69" s="2" t="s">
        <v>879</v>
      </c>
      <c r="G69" s="2" t="s">
        <v>4</v>
      </c>
      <c r="J69" s="2" t="s">
        <v>7</v>
      </c>
    </row>
    <row r="70" ht="12.75" customHeight="1">
      <c r="A70" s="2">
        <f>$M$1</f>
        <v>2015</v>
      </c>
      <c r="B70" s="2">
        <v>2.0</v>
      </c>
      <c r="J70" s="2" t="s">
        <v>20</v>
      </c>
    </row>
    <row r="71" ht="12.75" customHeight="1">
      <c r="A71" s="2" t="s">
        <v>0</v>
      </c>
      <c r="B71" s="2" t="s">
        <v>1</v>
      </c>
      <c r="D71" s="2" t="s">
        <v>2</v>
      </c>
      <c r="E71" s="2" t="s">
        <v>3</v>
      </c>
      <c r="F71" s="2" t="s">
        <v>879</v>
      </c>
      <c r="G71" s="2" t="s">
        <v>4</v>
      </c>
      <c r="J71" s="2" t="s">
        <v>7</v>
      </c>
    </row>
    <row r="72" ht="12.75" customHeight="1">
      <c r="A72" s="2">
        <f>$M$1</f>
        <v>2015</v>
      </c>
      <c r="B72" s="2">
        <v>2.0</v>
      </c>
      <c r="J72" s="2" t="s">
        <v>17</v>
      </c>
    </row>
    <row r="73" ht="12.75" customHeight="1">
      <c r="A73" s="2" t="s">
        <v>0</v>
      </c>
      <c r="B73" s="2" t="s">
        <v>1</v>
      </c>
      <c r="D73" s="2" t="s">
        <v>2</v>
      </c>
      <c r="E73" s="2" t="s">
        <v>3</v>
      </c>
      <c r="F73" s="2" t="s">
        <v>879</v>
      </c>
      <c r="G73" s="2" t="s">
        <v>4</v>
      </c>
      <c r="J73" s="2" t="s">
        <v>7</v>
      </c>
    </row>
    <row r="74" ht="12.75" customHeight="1">
      <c r="A74" s="2">
        <f>$M$1</f>
        <v>2015</v>
      </c>
      <c r="B74" s="2">
        <v>2.0</v>
      </c>
      <c r="J74" s="2" t="s">
        <v>24</v>
      </c>
    </row>
    <row r="75" ht="12.75" customHeight="1">
      <c r="A75" s="2" t="s">
        <v>0</v>
      </c>
      <c r="B75" s="2" t="s">
        <v>1</v>
      </c>
      <c r="D75" s="2" t="s">
        <v>2</v>
      </c>
      <c r="E75" s="2" t="s">
        <v>3</v>
      </c>
      <c r="F75" s="2" t="s">
        <v>879</v>
      </c>
      <c r="G75" s="2" t="s">
        <v>4</v>
      </c>
      <c r="J75" s="2" t="s">
        <v>7</v>
      </c>
    </row>
    <row r="76" ht="12.75" customHeight="1">
      <c r="A76" s="2">
        <f>$M$1</f>
        <v>2015</v>
      </c>
      <c r="B76" s="2">
        <v>2.0</v>
      </c>
      <c r="J76" s="2" t="s">
        <v>651</v>
      </c>
    </row>
    <row r="77" ht="12.75" customHeight="1">
      <c r="A77" s="2" t="s">
        <v>0</v>
      </c>
      <c r="B77" s="2" t="s">
        <v>1</v>
      </c>
      <c r="D77" s="2" t="s">
        <v>2</v>
      </c>
      <c r="E77" s="2" t="s">
        <v>3</v>
      </c>
      <c r="F77" s="2" t="s">
        <v>879</v>
      </c>
      <c r="G77" s="2" t="s">
        <v>4</v>
      </c>
      <c r="J77" s="2" t="s">
        <v>7</v>
      </c>
    </row>
    <row r="78" ht="12.75" customHeight="1">
      <c r="A78" s="2">
        <f>$M$1</f>
        <v>2015</v>
      </c>
      <c r="B78" s="2">
        <v>2.0</v>
      </c>
      <c r="J78" s="2" t="s">
        <v>76</v>
      </c>
    </row>
    <row r="79" ht="12.75" customHeight="1">
      <c r="A79" s="2" t="s">
        <v>0</v>
      </c>
      <c r="B79" s="2" t="s">
        <v>1</v>
      </c>
      <c r="D79" s="2" t="s">
        <v>2</v>
      </c>
      <c r="E79" s="2" t="s">
        <v>3</v>
      </c>
      <c r="F79" s="2" t="s">
        <v>879</v>
      </c>
      <c r="G79" s="2" t="s">
        <v>4</v>
      </c>
      <c r="J79" s="2" t="s">
        <v>7</v>
      </c>
    </row>
    <row r="80" ht="12.75" customHeight="1">
      <c r="A80" s="2">
        <f>$M$1</f>
        <v>2015</v>
      </c>
      <c r="B80" s="2">
        <v>2.0</v>
      </c>
      <c r="J80" s="2" t="s">
        <v>26</v>
      </c>
    </row>
    <row r="81" ht="12.75" customHeight="1">
      <c r="A81" s="2" t="s">
        <v>0</v>
      </c>
      <c r="B81" s="2" t="s">
        <v>1</v>
      </c>
      <c r="D81" s="2" t="s">
        <v>2</v>
      </c>
      <c r="E81" s="2" t="s">
        <v>3</v>
      </c>
      <c r="F81" s="2" t="s">
        <v>879</v>
      </c>
      <c r="G81" s="2" t="s">
        <v>4</v>
      </c>
      <c r="J81" s="2" t="s">
        <v>7</v>
      </c>
    </row>
    <row r="82" ht="12.75" customHeight="1">
      <c r="A82" s="2">
        <f>$M$1</f>
        <v>2015</v>
      </c>
      <c r="B82" s="2">
        <v>2.0</v>
      </c>
      <c r="J82" s="2" t="s">
        <v>103</v>
      </c>
    </row>
    <row r="83" ht="12.75" customHeight="1">
      <c r="A83" s="2" t="s">
        <v>0</v>
      </c>
      <c r="B83" s="2" t="s">
        <v>1</v>
      </c>
      <c r="D83" s="2" t="s">
        <v>2</v>
      </c>
      <c r="E83" s="2" t="s">
        <v>3</v>
      </c>
      <c r="F83" s="2" t="s">
        <v>879</v>
      </c>
      <c r="G83" s="2" t="s">
        <v>4</v>
      </c>
      <c r="J83" s="2" t="s">
        <v>7</v>
      </c>
    </row>
    <row r="84" ht="12.75" customHeight="1">
      <c r="A84" s="2">
        <f>$M$1</f>
        <v>2015</v>
      </c>
      <c r="B84" s="2">
        <v>2.0</v>
      </c>
      <c r="J84" s="2" t="s">
        <v>22</v>
      </c>
    </row>
    <row r="85" ht="12.75" customHeight="1">
      <c r="A85" s="2" t="s">
        <v>0</v>
      </c>
      <c r="B85" s="2" t="s">
        <v>1</v>
      </c>
      <c r="D85" s="2" t="s">
        <v>2</v>
      </c>
      <c r="E85" s="2" t="s">
        <v>3</v>
      </c>
      <c r="F85" s="2" t="s">
        <v>879</v>
      </c>
      <c r="G85" s="2" t="s">
        <v>4</v>
      </c>
      <c r="J85" s="2" t="s">
        <v>7</v>
      </c>
    </row>
    <row r="86" ht="12.75" customHeight="1">
      <c r="A86" s="2">
        <f>$M$1</f>
        <v>2015</v>
      </c>
      <c r="B86" s="2">
        <v>2.0</v>
      </c>
      <c r="J86" s="2" t="s">
        <v>428</v>
      </c>
    </row>
    <row r="87" ht="12.75" customHeight="1">
      <c r="A87" s="2" t="s">
        <v>0</v>
      </c>
      <c r="B87" s="2" t="s">
        <v>1</v>
      </c>
      <c r="D87" s="2" t="s">
        <v>2</v>
      </c>
      <c r="E87" s="2" t="s">
        <v>3</v>
      </c>
      <c r="F87" s="2" t="s">
        <v>879</v>
      </c>
      <c r="G87" s="2" t="s">
        <v>4</v>
      </c>
      <c r="J87" s="2" t="s">
        <v>7</v>
      </c>
    </row>
    <row r="88" ht="12.75" customHeight="1">
      <c r="A88" s="2">
        <f>$M$1</f>
        <v>2015</v>
      </c>
      <c r="B88" s="2">
        <v>2.0</v>
      </c>
      <c r="J88" s="2" t="s">
        <v>800</v>
      </c>
    </row>
    <row r="89" ht="12.75" customHeight="1">
      <c r="A89" s="2" t="s">
        <v>0</v>
      </c>
      <c r="B89" s="2" t="s">
        <v>1</v>
      </c>
      <c r="D89" s="2" t="s">
        <v>2</v>
      </c>
      <c r="E89" s="2" t="s">
        <v>3</v>
      </c>
      <c r="F89" s="2" t="s">
        <v>879</v>
      </c>
      <c r="G89" s="2" t="s">
        <v>4</v>
      </c>
      <c r="J89" s="2" t="s">
        <v>7</v>
      </c>
    </row>
    <row r="90" ht="12.75" customHeight="1">
      <c r="A90" s="2">
        <f>$M$1</f>
        <v>2015</v>
      </c>
      <c r="B90" s="2">
        <v>2.0</v>
      </c>
      <c r="J90" s="2" t="s">
        <v>54</v>
      </c>
    </row>
    <row r="91" ht="12.75" customHeight="1">
      <c r="A91" s="2" t="s">
        <v>0</v>
      </c>
      <c r="B91" s="2" t="s">
        <v>1</v>
      </c>
      <c r="D91" s="2" t="s">
        <v>2</v>
      </c>
      <c r="E91" s="2" t="s">
        <v>3</v>
      </c>
      <c r="F91" s="2" t="s">
        <v>879</v>
      </c>
      <c r="G91" s="2" t="s">
        <v>4</v>
      </c>
      <c r="J91" s="2" t="s">
        <v>7</v>
      </c>
    </row>
    <row r="92" ht="12.75" customHeight="1">
      <c r="A92" s="2">
        <f>$M$1</f>
        <v>2015</v>
      </c>
      <c r="B92" s="2">
        <v>2.0</v>
      </c>
      <c r="J92" s="2" t="s">
        <v>801</v>
      </c>
    </row>
    <row r="93" ht="12.75" customHeight="1">
      <c r="A93" s="2" t="s">
        <v>0</v>
      </c>
      <c r="B93" s="2" t="s">
        <v>1</v>
      </c>
      <c r="D93" s="2" t="s">
        <v>2</v>
      </c>
      <c r="E93" s="2" t="s">
        <v>3</v>
      </c>
      <c r="F93" s="2" t="s">
        <v>879</v>
      </c>
      <c r="G93" s="2" t="s">
        <v>4</v>
      </c>
      <c r="J93" s="2" t="s">
        <v>7</v>
      </c>
    </row>
    <row r="94" ht="12.75" customHeight="1">
      <c r="A94" s="2">
        <f>$M$1</f>
        <v>2015</v>
      </c>
      <c r="B94" s="2">
        <v>2.0</v>
      </c>
      <c r="J94" s="2" t="s">
        <v>38</v>
      </c>
    </row>
    <row r="95" ht="12.75" customHeight="1">
      <c r="A95" s="2" t="s">
        <v>0</v>
      </c>
      <c r="B95" s="2" t="s">
        <v>1</v>
      </c>
      <c r="D95" s="2" t="s">
        <v>2</v>
      </c>
      <c r="E95" s="2" t="s">
        <v>3</v>
      </c>
      <c r="F95" s="2" t="s">
        <v>879</v>
      </c>
      <c r="G95" s="2" t="s">
        <v>4</v>
      </c>
      <c r="J95" s="2" t="s">
        <v>7</v>
      </c>
    </row>
    <row r="96" ht="12.75" customHeight="1">
      <c r="A96" s="2">
        <f>$M$1</f>
        <v>2015</v>
      </c>
      <c r="B96" s="2">
        <v>2.0</v>
      </c>
      <c r="J96" s="2" t="s">
        <v>47</v>
      </c>
    </row>
    <row r="97" ht="12.75" customHeight="1">
      <c r="A97" s="2" t="s">
        <v>0</v>
      </c>
      <c r="B97" s="2" t="s">
        <v>1</v>
      </c>
      <c r="D97" s="2" t="s">
        <v>2</v>
      </c>
      <c r="E97" s="2" t="s">
        <v>3</v>
      </c>
      <c r="F97" s="2" t="s">
        <v>879</v>
      </c>
      <c r="G97" s="2" t="s">
        <v>4</v>
      </c>
      <c r="J97" s="2" t="s">
        <v>7</v>
      </c>
    </row>
    <row r="98" ht="12.75" customHeight="1">
      <c r="A98" s="2">
        <f>$M$1</f>
        <v>2015</v>
      </c>
      <c r="B98" s="2">
        <v>2.0</v>
      </c>
      <c r="J98" s="2" t="s">
        <v>52</v>
      </c>
    </row>
    <row r="99" ht="12.75" customHeight="1">
      <c r="A99" s="2" t="s">
        <v>0</v>
      </c>
      <c r="B99" s="2" t="s">
        <v>1</v>
      </c>
      <c r="D99" s="2" t="s">
        <v>2</v>
      </c>
      <c r="E99" s="2" t="s">
        <v>3</v>
      </c>
      <c r="F99" s="2" t="s">
        <v>879</v>
      </c>
      <c r="G99" s="2" t="s">
        <v>4</v>
      </c>
      <c r="J99" s="2" t="s">
        <v>7</v>
      </c>
    </row>
    <row r="100" ht="12.75" customHeight="1">
      <c r="A100" s="2">
        <f>$M$1</f>
        <v>2015</v>
      </c>
      <c r="B100" s="2">
        <v>2.0</v>
      </c>
      <c r="J100" s="2" t="s">
        <v>42</v>
      </c>
    </row>
    <row r="101" ht="12.75" customHeight="1">
      <c r="A101" s="2" t="s">
        <v>0</v>
      </c>
      <c r="B101" s="2" t="s">
        <v>1</v>
      </c>
      <c r="D101" s="2" t="s">
        <v>2</v>
      </c>
      <c r="E101" s="2" t="s">
        <v>3</v>
      </c>
      <c r="F101" s="2" t="s">
        <v>879</v>
      </c>
      <c r="G101" s="2" t="s">
        <v>4</v>
      </c>
      <c r="J101" s="2" t="s">
        <v>7</v>
      </c>
    </row>
    <row r="102" ht="12.75" customHeight="1">
      <c r="A102" s="2">
        <f>$M$1</f>
        <v>2015</v>
      </c>
      <c r="B102" s="2">
        <v>2.0</v>
      </c>
      <c r="J102" s="2" t="s">
        <v>133</v>
      </c>
    </row>
    <row r="103" ht="12.75" customHeight="1">
      <c r="A103" s="2" t="s">
        <v>0</v>
      </c>
      <c r="B103" s="2" t="s">
        <v>1</v>
      </c>
      <c r="D103" s="2" t="s">
        <v>2</v>
      </c>
      <c r="E103" s="2" t="s">
        <v>3</v>
      </c>
      <c r="F103" s="2" t="s">
        <v>879</v>
      </c>
      <c r="G103" s="2" t="s">
        <v>4</v>
      </c>
      <c r="J103" s="2" t="s">
        <v>7</v>
      </c>
    </row>
    <row r="104" ht="12.75" customHeight="1">
      <c r="A104" s="2">
        <f>$M$1</f>
        <v>2015</v>
      </c>
      <c r="B104" s="2">
        <v>2.0</v>
      </c>
      <c r="J104" s="2" t="s">
        <v>803</v>
      </c>
    </row>
    <row r="105" ht="12.75" customHeight="1">
      <c r="A105" s="2" t="s">
        <v>0</v>
      </c>
      <c r="B105" s="2" t="s">
        <v>1</v>
      </c>
      <c r="D105" s="2" t="s">
        <v>2</v>
      </c>
      <c r="E105" s="2" t="s">
        <v>3</v>
      </c>
      <c r="F105" s="2" t="s">
        <v>879</v>
      </c>
      <c r="G105" s="2" t="s">
        <v>4</v>
      </c>
      <c r="J105" s="2" t="s">
        <v>7</v>
      </c>
    </row>
    <row r="106" ht="12.75" customHeight="1">
      <c r="A106" s="2">
        <f>$M$1</f>
        <v>2015</v>
      </c>
      <c r="B106" s="2">
        <v>2.0</v>
      </c>
      <c r="J106" s="2" t="s">
        <v>164</v>
      </c>
    </row>
    <row r="107" ht="12.75" customHeight="1">
      <c r="A107" s="2" t="s">
        <v>0</v>
      </c>
      <c r="B107" s="2" t="s">
        <v>1</v>
      </c>
      <c r="D107" s="2" t="s">
        <v>2</v>
      </c>
      <c r="E107" s="2" t="s">
        <v>3</v>
      </c>
      <c r="F107" s="2" t="s">
        <v>879</v>
      </c>
      <c r="G107" s="2" t="s">
        <v>4</v>
      </c>
      <c r="J107" s="2" t="s">
        <v>7</v>
      </c>
    </row>
    <row r="108" ht="12.75" customHeight="1">
      <c r="A108" s="2">
        <f>$M$1</f>
        <v>2015</v>
      </c>
      <c r="B108" s="2">
        <v>2.0</v>
      </c>
      <c r="J108" s="2" t="s">
        <v>50</v>
      </c>
    </row>
    <row r="109" ht="12.75" customHeight="1">
      <c r="A109" s="2" t="s">
        <v>0</v>
      </c>
      <c r="B109" s="2" t="s">
        <v>1</v>
      </c>
      <c r="D109" s="2" t="s">
        <v>2</v>
      </c>
      <c r="E109" s="2" t="s">
        <v>3</v>
      </c>
      <c r="F109" s="2" t="s">
        <v>879</v>
      </c>
      <c r="G109" s="2" t="s">
        <v>4</v>
      </c>
      <c r="J109" s="2" t="s">
        <v>7</v>
      </c>
    </row>
    <row r="110" ht="12.75" customHeight="1">
      <c r="A110" s="2">
        <f>$M$1</f>
        <v>2015</v>
      </c>
      <c r="B110" s="2">
        <v>2.0</v>
      </c>
      <c r="J110" s="2" t="s">
        <v>304</v>
      </c>
    </row>
    <row r="111" ht="12.75" customHeight="1">
      <c r="A111" s="2" t="s">
        <v>0</v>
      </c>
      <c r="B111" s="2" t="s">
        <v>1</v>
      </c>
      <c r="D111" s="2" t="s">
        <v>2</v>
      </c>
      <c r="E111" s="2" t="s">
        <v>3</v>
      </c>
      <c r="F111" s="2" t="s">
        <v>879</v>
      </c>
      <c r="G111" s="2" t="s">
        <v>4</v>
      </c>
      <c r="J111" s="2" t="s">
        <v>7</v>
      </c>
    </row>
    <row r="112" ht="12.75" customHeight="1">
      <c r="A112" s="2">
        <f>$M$1</f>
        <v>2015</v>
      </c>
      <c r="B112" s="2">
        <v>2.0</v>
      </c>
      <c r="J112" s="2" t="s">
        <v>72</v>
      </c>
    </row>
    <row r="113" ht="12.75" customHeight="1">
      <c r="A113" s="2" t="s">
        <v>0</v>
      </c>
      <c r="B113" s="2" t="s">
        <v>1</v>
      </c>
      <c r="D113" s="2" t="s">
        <v>2</v>
      </c>
      <c r="E113" s="2" t="s">
        <v>3</v>
      </c>
      <c r="F113" s="2" t="s">
        <v>879</v>
      </c>
      <c r="G113" s="2" t="s">
        <v>4</v>
      </c>
      <c r="J113" s="2" t="s">
        <v>7</v>
      </c>
    </row>
    <row r="114" ht="12.75" customHeight="1">
      <c r="A114" s="2">
        <f>$M$1</f>
        <v>2015</v>
      </c>
      <c r="B114" s="2">
        <v>2.0</v>
      </c>
      <c r="J114" s="2" t="s">
        <v>13</v>
      </c>
    </row>
    <row r="115" ht="12.75" customHeight="1">
      <c r="A115" s="2" t="s">
        <v>0</v>
      </c>
      <c r="B115" s="2" t="s">
        <v>1</v>
      </c>
      <c r="D115" s="2" t="s">
        <v>2</v>
      </c>
      <c r="E115" s="2" t="s">
        <v>3</v>
      </c>
      <c r="F115" s="2" t="s">
        <v>879</v>
      </c>
      <c r="G115" s="2" t="s">
        <v>4</v>
      </c>
      <c r="J115" s="2" t="s">
        <v>7</v>
      </c>
    </row>
    <row r="116" ht="12.75" customHeight="1">
      <c r="A116" s="2">
        <f>$M$1</f>
        <v>2015</v>
      </c>
      <c r="B116" s="2">
        <v>2.0</v>
      </c>
      <c r="J116" s="2" t="s">
        <v>18</v>
      </c>
    </row>
    <row r="117" ht="12.75" customHeight="1">
      <c r="A117" s="2" t="s">
        <v>0</v>
      </c>
      <c r="B117" s="2" t="s">
        <v>1</v>
      </c>
      <c r="D117" s="2" t="s">
        <v>2</v>
      </c>
      <c r="E117" s="2" t="s">
        <v>3</v>
      </c>
      <c r="F117" s="2" t="s">
        <v>879</v>
      </c>
      <c r="G117" s="2" t="s">
        <v>4</v>
      </c>
      <c r="J117" s="2" t="s">
        <v>7</v>
      </c>
    </row>
    <row r="118" ht="12.75" customHeight="1">
      <c r="A118" s="2">
        <f>$M$1</f>
        <v>2015</v>
      </c>
      <c r="B118" s="2">
        <v>2.0</v>
      </c>
      <c r="J118" s="2" t="s">
        <v>153</v>
      </c>
    </row>
    <row r="119" ht="12.75" customHeight="1">
      <c r="A119" s="2" t="s">
        <v>0</v>
      </c>
      <c r="B119" s="2" t="s">
        <v>1</v>
      </c>
      <c r="D119" s="2" t="s">
        <v>2</v>
      </c>
      <c r="E119" s="2" t="s">
        <v>3</v>
      </c>
      <c r="F119" s="2" t="s">
        <v>879</v>
      </c>
      <c r="G119" s="2" t="s">
        <v>4</v>
      </c>
      <c r="J119" s="2" t="s">
        <v>7</v>
      </c>
    </row>
    <row r="120" ht="12.75" customHeight="1">
      <c r="A120" s="2">
        <f>$M$1</f>
        <v>2015</v>
      </c>
      <c r="B120" s="2">
        <v>2.0</v>
      </c>
      <c r="J120" s="2" t="s">
        <v>805</v>
      </c>
    </row>
    <row r="121" ht="12.75" customHeight="1">
      <c r="A121" s="2" t="s">
        <v>0</v>
      </c>
      <c r="B121" s="2" t="s">
        <v>1</v>
      </c>
      <c r="D121" s="2" t="s">
        <v>2</v>
      </c>
      <c r="E121" s="2" t="s">
        <v>3</v>
      </c>
      <c r="F121" s="2" t="s">
        <v>879</v>
      </c>
      <c r="G121" s="2" t="s">
        <v>4</v>
      </c>
      <c r="J121" s="2" t="s">
        <v>7</v>
      </c>
    </row>
    <row r="122" ht="12.75" customHeight="1">
      <c r="A122" s="2">
        <f>$M$1</f>
        <v>2015</v>
      </c>
      <c r="B122" s="2">
        <v>2.0</v>
      </c>
      <c r="J122" s="2" t="s">
        <v>31</v>
      </c>
    </row>
    <row r="123" ht="12.75" customHeight="1">
      <c r="A123" s="2" t="s">
        <v>0</v>
      </c>
      <c r="B123" s="2" t="s">
        <v>1</v>
      </c>
      <c r="D123" s="2" t="s">
        <v>2</v>
      </c>
      <c r="E123" s="2" t="s">
        <v>3</v>
      </c>
      <c r="F123" s="2" t="s">
        <v>879</v>
      </c>
      <c r="G123" s="2" t="s">
        <v>4</v>
      </c>
      <c r="J123" s="2" t="s">
        <v>7</v>
      </c>
    </row>
    <row r="124" ht="12.75" customHeight="1">
      <c r="A124" s="2">
        <f>$M$1</f>
        <v>2015</v>
      </c>
      <c r="B124" s="2">
        <v>2.0</v>
      </c>
      <c r="J124" s="2" t="s">
        <v>123</v>
      </c>
    </row>
    <row r="125" ht="12.75" customHeight="1">
      <c r="A125" s="2" t="s">
        <v>0</v>
      </c>
      <c r="B125" s="2" t="s">
        <v>1</v>
      </c>
      <c r="D125" s="2" t="s">
        <v>2</v>
      </c>
      <c r="E125" s="2" t="s">
        <v>3</v>
      </c>
      <c r="F125" s="2" t="s">
        <v>879</v>
      </c>
      <c r="G125" s="2" t="s">
        <v>4</v>
      </c>
      <c r="J125" s="2" t="s">
        <v>7</v>
      </c>
    </row>
    <row r="126" ht="12.75" customHeight="1">
      <c r="A126" s="2">
        <f>$M$1</f>
        <v>2015</v>
      </c>
      <c r="B126" s="2">
        <v>2.0</v>
      </c>
      <c r="J126" s="2" t="s">
        <v>35</v>
      </c>
    </row>
    <row r="127" ht="12.75" customHeight="1">
      <c r="A127" s="2" t="s">
        <v>0</v>
      </c>
      <c r="B127" s="2" t="s">
        <v>1</v>
      </c>
      <c r="D127" s="2" t="s">
        <v>2</v>
      </c>
      <c r="E127" s="2" t="s">
        <v>3</v>
      </c>
      <c r="F127" s="2" t="s">
        <v>879</v>
      </c>
      <c r="G127" s="2" t="s">
        <v>4</v>
      </c>
      <c r="J127" s="2" t="s">
        <v>7</v>
      </c>
    </row>
    <row r="128" ht="12.75" customHeight="1">
      <c r="A128" s="2">
        <f>$M$1</f>
        <v>2015</v>
      </c>
      <c r="B128" s="2">
        <v>2.0</v>
      </c>
      <c r="J128" s="2" t="s">
        <v>210</v>
      </c>
    </row>
    <row r="129" ht="12.75" customHeight="1">
      <c r="A129" s="2" t="s">
        <v>0</v>
      </c>
      <c r="B129" s="2" t="s">
        <v>1</v>
      </c>
      <c r="D129" s="2" t="s">
        <v>2</v>
      </c>
      <c r="E129" s="2" t="s">
        <v>3</v>
      </c>
      <c r="F129" s="2" t="s">
        <v>879</v>
      </c>
      <c r="G129" s="2" t="s">
        <v>4</v>
      </c>
      <c r="J129" s="2" t="s">
        <v>7</v>
      </c>
    </row>
    <row r="130" ht="12.75" customHeight="1">
      <c r="A130" s="2">
        <f>$M$1</f>
        <v>2015</v>
      </c>
      <c r="B130" s="2">
        <v>2.0</v>
      </c>
      <c r="J130" s="2" t="s">
        <v>808</v>
      </c>
    </row>
    <row r="131" ht="12.75" customHeight="1">
      <c r="A131" s="2" t="s">
        <v>0</v>
      </c>
      <c r="B131" s="2" t="s">
        <v>1</v>
      </c>
      <c r="D131" s="2" t="s">
        <v>2</v>
      </c>
      <c r="E131" s="2" t="s">
        <v>3</v>
      </c>
      <c r="F131" s="2" t="s">
        <v>879</v>
      </c>
      <c r="G131" s="2" t="s">
        <v>4</v>
      </c>
      <c r="J131" s="2" t="s">
        <v>7</v>
      </c>
    </row>
    <row r="132" ht="12.75" customHeight="1">
      <c r="A132" s="2">
        <f>$M$1</f>
        <v>2015</v>
      </c>
      <c r="B132" s="2">
        <v>2.0</v>
      </c>
      <c r="J132" s="2" t="s">
        <v>810</v>
      </c>
    </row>
    <row r="133" ht="12.75" customHeight="1">
      <c r="A133" s="2" t="s">
        <v>0</v>
      </c>
      <c r="B133" s="2" t="s">
        <v>1</v>
      </c>
      <c r="D133" s="2" t="s">
        <v>2</v>
      </c>
      <c r="E133" s="2" t="s">
        <v>3</v>
      </c>
      <c r="F133" s="2" t="s">
        <v>879</v>
      </c>
      <c r="G133" s="2" t="s">
        <v>4</v>
      </c>
      <c r="J133" s="2" t="s">
        <v>7</v>
      </c>
    </row>
    <row r="134" ht="12.75" customHeight="1">
      <c r="A134" s="2">
        <f>$M$1</f>
        <v>2015</v>
      </c>
      <c r="B134" s="2">
        <v>3.0</v>
      </c>
      <c r="J134" s="2" t="s">
        <v>10</v>
      </c>
    </row>
    <row r="135" ht="12.75" customHeight="1">
      <c r="A135" s="2" t="s">
        <v>0</v>
      </c>
      <c r="B135" s="2" t="s">
        <v>1</v>
      </c>
      <c r="D135" s="2" t="s">
        <v>2</v>
      </c>
      <c r="E135" s="2" t="s">
        <v>3</v>
      </c>
      <c r="F135" s="2" t="s">
        <v>879</v>
      </c>
      <c r="G135" s="2" t="s">
        <v>4</v>
      </c>
      <c r="J135" s="2" t="s">
        <v>7</v>
      </c>
    </row>
    <row r="136" ht="12.75" customHeight="1">
      <c r="A136" s="2">
        <f>$M$1</f>
        <v>2015</v>
      </c>
      <c r="B136" s="2">
        <v>3.0</v>
      </c>
      <c r="J136" s="2" t="s">
        <v>20</v>
      </c>
    </row>
    <row r="137" ht="12.75" customHeight="1">
      <c r="A137" s="2" t="s">
        <v>0</v>
      </c>
      <c r="B137" s="2" t="s">
        <v>1</v>
      </c>
      <c r="D137" s="2" t="s">
        <v>2</v>
      </c>
      <c r="E137" s="2" t="s">
        <v>3</v>
      </c>
      <c r="F137" s="2" t="s">
        <v>879</v>
      </c>
      <c r="G137" s="2" t="s">
        <v>4</v>
      </c>
      <c r="J137" s="2" t="s">
        <v>7</v>
      </c>
    </row>
    <row r="138" ht="12.75" customHeight="1">
      <c r="A138" s="2">
        <f>$M$1</f>
        <v>2015</v>
      </c>
      <c r="B138" s="2">
        <v>3.0</v>
      </c>
      <c r="J138" s="2" t="s">
        <v>17</v>
      </c>
    </row>
    <row r="139" ht="12.75" customHeight="1">
      <c r="A139" s="2" t="s">
        <v>0</v>
      </c>
      <c r="B139" s="2" t="s">
        <v>1</v>
      </c>
      <c r="D139" s="2" t="s">
        <v>2</v>
      </c>
      <c r="E139" s="2" t="s">
        <v>3</v>
      </c>
      <c r="F139" s="2" t="s">
        <v>879</v>
      </c>
      <c r="G139" s="2" t="s">
        <v>4</v>
      </c>
      <c r="J139" s="2" t="s">
        <v>7</v>
      </c>
    </row>
    <row r="140" ht="12.75" customHeight="1">
      <c r="A140" s="2">
        <f>$M$1</f>
        <v>2015</v>
      </c>
      <c r="B140" s="2">
        <v>3.0</v>
      </c>
      <c r="J140" s="2" t="s">
        <v>24</v>
      </c>
    </row>
    <row r="141" ht="12.75" customHeight="1">
      <c r="A141" s="2" t="s">
        <v>0</v>
      </c>
      <c r="B141" s="2" t="s">
        <v>1</v>
      </c>
      <c r="D141" s="2" t="s">
        <v>2</v>
      </c>
      <c r="E141" s="2" t="s">
        <v>3</v>
      </c>
      <c r="F141" s="2" t="s">
        <v>879</v>
      </c>
      <c r="G141" s="2" t="s">
        <v>4</v>
      </c>
      <c r="J141" s="2" t="s">
        <v>7</v>
      </c>
    </row>
    <row r="142" ht="12.75" customHeight="1">
      <c r="A142" s="2">
        <f>$M$1</f>
        <v>2015</v>
      </c>
      <c r="B142" s="2">
        <v>3.0</v>
      </c>
      <c r="J142" s="2" t="s">
        <v>651</v>
      </c>
    </row>
    <row r="143" ht="12.75" customHeight="1">
      <c r="A143" s="2" t="s">
        <v>0</v>
      </c>
      <c r="B143" s="2" t="s">
        <v>1</v>
      </c>
      <c r="D143" s="2" t="s">
        <v>2</v>
      </c>
      <c r="E143" s="2" t="s">
        <v>3</v>
      </c>
      <c r="F143" s="2" t="s">
        <v>879</v>
      </c>
      <c r="G143" s="2" t="s">
        <v>4</v>
      </c>
      <c r="J143" s="2" t="s">
        <v>7</v>
      </c>
    </row>
    <row r="144" ht="12.75" customHeight="1">
      <c r="A144" s="2">
        <f>$M$1</f>
        <v>2015</v>
      </c>
      <c r="B144" s="2">
        <v>3.0</v>
      </c>
      <c r="J144" s="2" t="s">
        <v>76</v>
      </c>
    </row>
    <row r="145" ht="12.75" customHeight="1">
      <c r="A145" s="2" t="s">
        <v>0</v>
      </c>
      <c r="B145" s="2" t="s">
        <v>1</v>
      </c>
      <c r="D145" s="2" t="s">
        <v>2</v>
      </c>
      <c r="E145" s="2" t="s">
        <v>3</v>
      </c>
      <c r="F145" s="2" t="s">
        <v>879</v>
      </c>
      <c r="G145" s="2" t="s">
        <v>4</v>
      </c>
      <c r="J145" s="2" t="s">
        <v>7</v>
      </c>
    </row>
    <row r="146" ht="12.75" customHeight="1">
      <c r="A146" s="2">
        <f>$M$1</f>
        <v>2015</v>
      </c>
      <c r="B146" s="2">
        <v>3.0</v>
      </c>
      <c r="J146" s="2" t="s">
        <v>26</v>
      </c>
    </row>
    <row r="147" ht="12.75" customHeight="1">
      <c r="A147" s="2" t="s">
        <v>0</v>
      </c>
      <c r="B147" s="2" t="s">
        <v>1</v>
      </c>
      <c r="D147" s="2" t="s">
        <v>2</v>
      </c>
      <c r="E147" s="2" t="s">
        <v>3</v>
      </c>
      <c r="F147" s="2" t="s">
        <v>879</v>
      </c>
      <c r="G147" s="2" t="s">
        <v>4</v>
      </c>
      <c r="J147" s="2" t="s">
        <v>7</v>
      </c>
    </row>
    <row r="148" ht="12.75" customHeight="1">
      <c r="A148" s="2">
        <f>$M$1</f>
        <v>2015</v>
      </c>
      <c r="B148" s="2">
        <v>3.0</v>
      </c>
      <c r="J148" s="2" t="s">
        <v>103</v>
      </c>
    </row>
    <row r="149" ht="12.75" customHeight="1">
      <c r="A149" s="2" t="s">
        <v>0</v>
      </c>
      <c r="B149" s="2" t="s">
        <v>1</v>
      </c>
      <c r="D149" s="2" t="s">
        <v>2</v>
      </c>
      <c r="E149" s="2" t="s">
        <v>3</v>
      </c>
      <c r="F149" s="2" t="s">
        <v>879</v>
      </c>
      <c r="G149" s="2" t="s">
        <v>4</v>
      </c>
      <c r="J149" s="2" t="s">
        <v>7</v>
      </c>
    </row>
    <row r="150" ht="12.75" customHeight="1">
      <c r="A150" s="2">
        <f>$M$1</f>
        <v>2015</v>
      </c>
      <c r="B150" s="2">
        <v>3.0</v>
      </c>
      <c r="J150" s="2" t="s">
        <v>22</v>
      </c>
    </row>
    <row r="151" ht="12.75" customHeight="1">
      <c r="A151" s="2" t="s">
        <v>0</v>
      </c>
      <c r="B151" s="2" t="s">
        <v>1</v>
      </c>
      <c r="D151" s="2" t="s">
        <v>2</v>
      </c>
      <c r="E151" s="2" t="s">
        <v>3</v>
      </c>
      <c r="F151" s="2" t="s">
        <v>879</v>
      </c>
      <c r="G151" s="2" t="s">
        <v>4</v>
      </c>
      <c r="J151" s="2" t="s">
        <v>7</v>
      </c>
    </row>
    <row r="152" ht="12.75" customHeight="1">
      <c r="A152" s="2">
        <f>$M$1</f>
        <v>2015</v>
      </c>
      <c r="B152" s="2">
        <v>3.0</v>
      </c>
      <c r="J152" s="2" t="s">
        <v>428</v>
      </c>
    </row>
    <row r="153" ht="12.75" customHeight="1">
      <c r="A153" s="2" t="s">
        <v>0</v>
      </c>
      <c r="B153" s="2" t="s">
        <v>1</v>
      </c>
      <c r="D153" s="2" t="s">
        <v>2</v>
      </c>
      <c r="E153" s="2" t="s">
        <v>3</v>
      </c>
      <c r="F153" s="2" t="s">
        <v>879</v>
      </c>
      <c r="G153" s="2" t="s">
        <v>4</v>
      </c>
      <c r="J153" s="2" t="s">
        <v>7</v>
      </c>
    </row>
    <row r="154" ht="12.75" customHeight="1">
      <c r="A154" s="2">
        <f>$M$1</f>
        <v>2015</v>
      </c>
      <c r="B154" s="2">
        <v>3.0</v>
      </c>
      <c r="J154" s="2" t="s">
        <v>800</v>
      </c>
    </row>
    <row r="155" ht="12.75" customHeight="1">
      <c r="A155" s="2" t="s">
        <v>0</v>
      </c>
      <c r="B155" s="2" t="s">
        <v>1</v>
      </c>
      <c r="D155" s="2" t="s">
        <v>2</v>
      </c>
      <c r="E155" s="2" t="s">
        <v>3</v>
      </c>
      <c r="F155" s="2" t="s">
        <v>879</v>
      </c>
      <c r="G155" s="2" t="s">
        <v>4</v>
      </c>
      <c r="J155" s="2" t="s">
        <v>7</v>
      </c>
    </row>
    <row r="156" ht="12.75" customHeight="1">
      <c r="A156" s="2">
        <f>$M$1</f>
        <v>2015</v>
      </c>
      <c r="B156" s="2">
        <v>3.0</v>
      </c>
      <c r="J156" s="2" t="s">
        <v>54</v>
      </c>
    </row>
    <row r="157" ht="12.75" customHeight="1">
      <c r="A157" s="2" t="s">
        <v>0</v>
      </c>
      <c r="B157" s="2" t="s">
        <v>1</v>
      </c>
      <c r="D157" s="2" t="s">
        <v>2</v>
      </c>
      <c r="E157" s="2" t="s">
        <v>3</v>
      </c>
      <c r="F157" s="2" t="s">
        <v>879</v>
      </c>
      <c r="G157" s="2" t="s">
        <v>4</v>
      </c>
      <c r="J157" s="2" t="s">
        <v>7</v>
      </c>
    </row>
    <row r="158" ht="12.75" customHeight="1">
      <c r="A158" s="2">
        <f>$M$1</f>
        <v>2015</v>
      </c>
      <c r="B158" s="2">
        <v>3.0</v>
      </c>
      <c r="J158" s="2" t="s">
        <v>801</v>
      </c>
    </row>
    <row r="159" ht="12.75" customHeight="1">
      <c r="A159" s="2" t="s">
        <v>0</v>
      </c>
      <c r="B159" s="2" t="s">
        <v>1</v>
      </c>
      <c r="D159" s="2" t="s">
        <v>2</v>
      </c>
      <c r="E159" s="2" t="s">
        <v>3</v>
      </c>
      <c r="F159" s="2" t="s">
        <v>879</v>
      </c>
      <c r="G159" s="2" t="s">
        <v>4</v>
      </c>
      <c r="J159" s="2" t="s">
        <v>7</v>
      </c>
    </row>
    <row r="160" ht="12.75" customHeight="1">
      <c r="A160" s="2">
        <f>$M$1</f>
        <v>2015</v>
      </c>
      <c r="B160" s="2">
        <v>3.0</v>
      </c>
      <c r="J160" s="2" t="s">
        <v>38</v>
      </c>
    </row>
    <row r="161" ht="12.75" customHeight="1">
      <c r="A161" s="2" t="s">
        <v>0</v>
      </c>
      <c r="B161" s="2" t="s">
        <v>1</v>
      </c>
      <c r="D161" s="2" t="s">
        <v>2</v>
      </c>
      <c r="E161" s="2" t="s">
        <v>3</v>
      </c>
      <c r="F161" s="2" t="s">
        <v>879</v>
      </c>
      <c r="G161" s="2" t="s">
        <v>4</v>
      </c>
      <c r="J161" s="2" t="s">
        <v>7</v>
      </c>
    </row>
    <row r="162" ht="12.75" customHeight="1">
      <c r="A162" s="2">
        <f>$M$1</f>
        <v>2015</v>
      </c>
      <c r="B162" s="2">
        <v>3.0</v>
      </c>
      <c r="J162" s="2" t="s">
        <v>47</v>
      </c>
    </row>
    <row r="163" ht="12.75" customHeight="1">
      <c r="A163" s="2" t="s">
        <v>0</v>
      </c>
      <c r="B163" s="2" t="s">
        <v>1</v>
      </c>
      <c r="D163" s="2" t="s">
        <v>2</v>
      </c>
      <c r="E163" s="2" t="s">
        <v>3</v>
      </c>
      <c r="F163" s="2" t="s">
        <v>879</v>
      </c>
      <c r="G163" s="2" t="s">
        <v>4</v>
      </c>
      <c r="J163" s="2" t="s">
        <v>7</v>
      </c>
    </row>
    <row r="164" ht="12.75" customHeight="1">
      <c r="A164" s="2">
        <f>$M$1</f>
        <v>2015</v>
      </c>
      <c r="B164" s="2">
        <v>3.0</v>
      </c>
      <c r="J164" s="2" t="s">
        <v>52</v>
      </c>
    </row>
    <row r="165" ht="12.75" customHeight="1">
      <c r="A165" s="2" t="s">
        <v>0</v>
      </c>
      <c r="B165" s="2" t="s">
        <v>1</v>
      </c>
      <c r="D165" s="2" t="s">
        <v>2</v>
      </c>
      <c r="E165" s="2" t="s">
        <v>3</v>
      </c>
      <c r="F165" s="2" t="s">
        <v>879</v>
      </c>
      <c r="G165" s="2" t="s">
        <v>4</v>
      </c>
      <c r="J165" s="2" t="s">
        <v>7</v>
      </c>
    </row>
    <row r="166" ht="12.75" customHeight="1">
      <c r="A166" s="2">
        <f>$M$1</f>
        <v>2015</v>
      </c>
      <c r="B166" s="2">
        <v>3.0</v>
      </c>
      <c r="J166" s="2" t="s">
        <v>42</v>
      </c>
    </row>
    <row r="167" ht="12.75" customHeight="1">
      <c r="A167" s="2" t="s">
        <v>0</v>
      </c>
      <c r="B167" s="2" t="s">
        <v>1</v>
      </c>
      <c r="D167" s="2" t="s">
        <v>2</v>
      </c>
      <c r="E167" s="2" t="s">
        <v>3</v>
      </c>
      <c r="F167" s="2" t="s">
        <v>879</v>
      </c>
      <c r="G167" s="2" t="s">
        <v>4</v>
      </c>
      <c r="J167" s="2" t="s">
        <v>7</v>
      </c>
    </row>
    <row r="168" ht="12.75" customHeight="1">
      <c r="A168" s="2">
        <f>$M$1</f>
        <v>2015</v>
      </c>
      <c r="B168" s="2">
        <v>3.0</v>
      </c>
      <c r="J168" s="2" t="s">
        <v>133</v>
      </c>
    </row>
    <row r="169" ht="12.75" customHeight="1">
      <c r="A169" s="2" t="s">
        <v>0</v>
      </c>
      <c r="B169" s="2" t="s">
        <v>1</v>
      </c>
      <c r="D169" s="2" t="s">
        <v>2</v>
      </c>
      <c r="E169" s="2" t="s">
        <v>3</v>
      </c>
      <c r="F169" s="2" t="s">
        <v>879</v>
      </c>
      <c r="G169" s="2" t="s">
        <v>4</v>
      </c>
      <c r="J169" s="2" t="s">
        <v>7</v>
      </c>
    </row>
    <row r="170" ht="12.75" customHeight="1">
      <c r="A170" s="2">
        <f>$M$1</f>
        <v>2015</v>
      </c>
      <c r="B170" s="2">
        <v>3.0</v>
      </c>
      <c r="J170" s="2" t="s">
        <v>803</v>
      </c>
    </row>
    <row r="171" ht="12.75" customHeight="1">
      <c r="A171" s="2" t="s">
        <v>0</v>
      </c>
      <c r="B171" s="2" t="s">
        <v>1</v>
      </c>
      <c r="D171" s="2" t="s">
        <v>2</v>
      </c>
      <c r="E171" s="2" t="s">
        <v>3</v>
      </c>
      <c r="F171" s="2" t="s">
        <v>879</v>
      </c>
      <c r="G171" s="2" t="s">
        <v>4</v>
      </c>
      <c r="J171" s="2" t="s">
        <v>7</v>
      </c>
    </row>
    <row r="172" ht="12.75" customHeight="1">
      <c r="A172" s="2">
        <f>$M$1</f>
        <v>2015</v>
      </c>
      <c r="B172" s="2">
        <v>3.0</v>
      </c>
      <c r="J172" s="2" t="s">
        <v>164</v>
      </c>
    </row>
    <row r="173" ht="12.75" customHeight="1">
      <c r="A173" s="2" t="s">
        <v>0</v>
      </c>
      <c r="B173" s="2" t="s">
        <v>1</v>
      </c>
      <c r="D173" s="2" t="s">
        <v>2</v>
      </c>
      <c r="E173" s="2" t="s">
        <v>3</v>
      </c>
      <c r="F173" s="2" t="s">
        <v>879</v>
      </c>
      <c r="G173" s="2" t="s">
        <v>4</v>
      </c>
      <c r="J173" s="2" t="s">
        <v>7</v>
      </c>
    </row>
    <row r="174" ht="12.75" customHeight="1">
      <c r="A174" s="2">
        <f>$M$1</f>
        <v>2015</v>
      </c>
      <c r="B174" s="2">
        <v>3.0</v>
      </c>
      <c r="J174" s="2" t="s">
        <v>50</v>
      </c>
    </row>
    <row r="175" ht="12.75" customHeight="1">
      <c r="A175" s="2" t="s">
        <v>0</v>
      </c>
      <c r="B175" s="2" t="s">
        <v>1</v>
      </c>
      <c r="D175" s="2" t="s">
        <v>2</v>
      </c>
      <c r="E175" s="2" t="s">
        <v>3</v>
      </c>
      <c r="F175" s="2" t="s">
        <v>879</v>
      </c>
      <c r="G175" s="2" t="s">
        <v>4</v>
      </c>
      <c r="J175" s="2" t="s">
        <v>7</v>
      </c>
    </row>
    <row r="176" ht="12.75" customHeight="1">
      <c r="A176" s="2">
        <f>$M$1</f>
        <v>2015</v>
      </c>
      <c r="B176" s="2">
        <v>3.0</v>
      </c>
      <c r="J176" s="2" t="s">
        <v>304</v>
      </c>
    </row>
    <row r="177" ht="12.75" customHeight="1">
      <c r="A177" s="2" t="s">
        <v>0</v>
      </c>
      <c r="B177" s="2" t="s">
        <v>1</v>
      </c>
      <c r="D177" s="2" t="s">
        <v>2</v>
      </c>
      <c r="E177" s="2" t="s">
        <v>3</v>
      </c>
      <c r="F177" s="2" t="s">
        <v>879</v>
      </c>
      <c r="G177" s="2" t="s">
        <v>4</v>
      </c>
      <c r="J177" s="2" t="s">
        <v>7</v>
      </c>
    </row>
    <row r="178" ht="12.75" customHeight="1">
      <c r="A178" s="2">
        <f>$M$1</f>
        <v>2015</v>
      </c>
      <c r="B178" s="2">
        <v>3.0</v>
      </c>
      <c r="J178" s="2" t="s">
        <v>72</v>
      </c>
    </row>
    <row r="179" ht="12.75" customHeight="1">
      <c r="A179" s="2" t="s">
        <v>0</v>
      </c>
      <c r="B179" s="2" t="s">
        <v>1</v>
      </c>
      <c r="D179" s="2" t="s">
        <v>2</v>
      </c>
      <c r="E179" s="2" t="s">
        <v>3</v>
      </c>
      <c r="F179" s="2" t="s">
        <v>879</v>
      </c>
      <c r="G179" s="2" t="s">
        <v>4</v>
      </c>
      <c r="J179" s="2" t="s">
        <v>7</v>
      </c>
    </row>
    <row r="180" ht="12.75" customHeight="1">
      <c r="A180" s="2">
        <f>$M$1</f>
        <v>2015</v>
      </c>
      <c r="B180" s="2">
        <v>3.0</v>
      </c>
      <c r="J180" s="2" t="s">
        <v>13</v>
      </c>
    </row>
    <row r="181" ht="12.75" customHeight="1">
      <c r="A181" s="2" t="s">
        <v>0</v>
      </c>
      <c r="B181" s="2" t="s">
        <v>1</v>
      </c>
      <c r="D181" s="2" t="s">
        <v>2</v>
      </c>
      <c r="E181" s="2" t="s">
        <v>3</v>
      </c>
      <c r="F181" s="2" t="s">
        <v>879</v>
      </c>
      <c r="G181" s="2" t="s">
        <v>4</v>
      </c>
      <c r="J181" s="2" t="s">
        <v>7</v>
      </c>
    </row>
    <row r="182" ht="12.75" customHeight="1">
      <c r="A182" s="2">
        <f>$M$1</f>
        <v>2015</v>
      </c>
      <c r="B182" s="2">
        <v>3.0</v>
      </c>
      <c r="J182" s="2" t="s">
        <v>18</v>
      </c>
    </row>
    <row r="183" ht="12.75" customHeight="1">
      <c r="A183" s="2" t="s">
        <v>0</v>
      </c>
      <c r="B183" s="2" t="s">
        <v>1</v>
      </c>
      <c r="D183" s="2" t="s">
        <v>2</v>
      </c>
      <c r="E183" s="2" t="s">
        <v>3</v>
      </c>
      <c r="F183" s="2" t="s">
        <v>879</v>
      </c>
      <c r="G183" s="2" t="s">
        <v>4</v>
      </c>
      <c r="J183" s="2" t="s">
        <v>7</v>
      </c>
    </row>
    <row r="184" ht="12.75" customHeight="1">
      <c r="A184" s="2">
        <f>$M$1</f>
        <v>2015</v>
      </c>
      <c r="B184" s="2">
        <v>3.0</v>
      </c>
      <c r="J184" s="2" t="s">
        <v>153</v>
      </c>
    </row>
    <row r="185" ht="12.75" customHeight="1">
      <c r="A185" s="2" t="s">
        <v>0</v>
      </c>
      <c r="B185" s="2" t="s">
        <v>1</v>
      </c>
      <c r="D185" s="2" t="s">
        <v>2</v>
      </c>
      <c r="E185" s="2" t="s">
        <v>3</v>
      </c>
      <c r="F185" s="2" t="s">
        <v>879</v>
      </c>
      <c r="G185" s="2" t="s">
        <v>4</v>
      </c>
      <c r="J185" s="2" t="s">
        <v>7</v>
      </c>
    </row>
    <row r="186" ht="12.75" customHeight="1">
      <c r="A186" s="2">
        <f>$M$1</f>
        <v>2015</v>
      </c>
      <c r="B186" s="2">
        <v>3.0</v>
      </c>
      <c r="J186" s="2" t="s">
        <v>805</v>
      </c>
    </row>
    <row r="187" ht="12.75" customHeight="1">
      <c r="A187" s="2" t="s">
        <v>0</v>
      </c>
      <c r="B187" s="2" t="s">
        <v>1</v>
      </c>
      <c r="D187" s="2" t="s">
        <v>2</v>
      </c>
      <c r="E187" s="2" t="s">
        <v>3</v>
      </c>
      <c r="F187" s="2" t="s">
        <v>879</v>
      </c>
      <c r="G187" s="2" t="s">
        <v>4</v>
      </c>
      <c r="J187" s="2" t="s">
        <v>7</v>
      </c>
    </row>
    <row r="188" ht="12.75" customHeight="1">
      <c r="A188" s="2">
        <f>$M$1</f>
        <v>2015</v>
      </c>
      <c r="B188" s="2">
        <v>3.0</v>
      </c>
      <c r="J188" s="2" t="s">
        <v>31</v>
      </c>
    </row>
    <row r="189" ht="12.75" customHeight="1">
      <c r="A189" s="2" t="s">
        <v>0</v>
      </c>
      <c r="B189" s="2" t="s">
        <v>1</v>
      </c>
      <c r="D189" s="2" t="s">
        <v>2</v>
      </c>
      <c r="E189" s="2" t="s">
        <v>3</v>
      </c>
      <c r="F189" s="2" t="s">
        <v>879</v>
      </c>
      <c r="G189" s="2" t="s">
        <v>4</v>
      </c>
      <c r="J189" s="2" t="s">
        <v>7</v>
      </c>
    </row>
    <row r="190" ht="12.75" customHeight="1">
      <c r="A190" s="2">
        <f>$M$1</f>
        <v>2015</v>
      </c>
      <c r="B190" s="2">
        <v>3.0</v>
      </c>
      <c r="J190" s="2" t="s">
        <v>123</v>
      </c>
    </row>
    <row r="191" ht="12.75" customHeight="1">
      <c r="A191" s="2" t="s">
        <v>0</v>
      </c>
      <c r="B191" s="2" t="s">
        <v>1</v>
      </c>
      <c r="D191" s="2" t="s">
        <v>2</v>
      </c>
      <c r="E191" s="2" t="s">
        <v>3</v>
      </c>
      <c r="F191" s="2" t="s">
        <v>879</v>
      </c>
      <c r="G191" s="2" t="s">
        <v>4</v>
      </c>
      <c r="J191" s="2" t="s">
        <v>7</v>
      </c>
    </row>
    <row r="192" ht="12.75" customHeight="1">
      <c r="A192" s="2">
        <f>$M$1</f>
        <v>2015</v>
      </c>
      <c r="B192" s="2">
        <v>3.0</v>
      </c>
      <c r="J192" s="2" t="s">
        <v>35</v>
      </c>
    </row>
    <row r="193" ht="12.75" customHeight="1">
      <c r="A193" s="2" t="s">
        <v>0</v>
      </c>
      <c r="B193" s="2" t="s">
        <v>1</v>
      </c>
      <c r="D193" s="2" t="s">
        <v>2</v>
      </c>
      <c r="E193" s="2" t="s">
        <v>3</v>
      </c>
      <c r="F193" s="2" t="s">
        <v>879</v>
      </c>
      <c r="G193" s="2" t="s">
        <v>4</v>
      </c>
      <c r="J193" s="2" t="s">
        <v>7</v>
      </c>
    </row>
    <row r="194" ht="12.75" customHeight="1">
      <c r="A194" s="2">
        <f>$M$1</f>
        <v>2015</v>
      </c>
      <c r="B194" s="2">
        <v>3.0</v>
      </c>
      <c r="J194" s="2" t="s">
        <v>210</v>
      </c>
    </row>
    <row r="195" ht="12.75" customHeight="1">
      <c r="A195" s="2" t="s">
        <v>0</v>
      </c>
      <c r="B195" s="2" t="s">
        <v>1</v>
      </c>
      <c r="D195" s="2" t="s">
        <v>2</v>
      </c>
      <c r="E195" s="2" t="s">
        <v>3</v>
      </c>
      <c r="F195" s="2" t="s">
        <v>879</v>
      </c>
      <c r="G195" s="2" t="s">
        <v>4</v>
      </c>
      <c r="J195" s="2" t="s">
        <v>7</v>
      </c>
    </row>
    <row r="196" ht="12.75" customHeight="1">
      <c r="A196" s="2">
        <f>$M$1</f>
        <v>2015</v>
      </c>
      <c r="B196" s="2">
        <v>3.0</v>
      </c>
      <c r="J196" s="2" t="s">
        <v>808</v>
      </c>
    </row>
    <row r="197" ht="12.75" customHeight="1">
      <c r="A197" s="2" t="s">
        <v>0</v>
      </c>
      <c r="B197" s="2" t="s">
        <v>1</v>
      </c>
      <c r="D197" s="2" t="s">
        <v>2</v>
      </c>
      <c r="E197" s="2" t="s">
        <v>3</v>
      </c>
      <c r="F197" s="2" t="s">
        <v>879</v>
      </c>
      <c r="G197" s="2" t="s">
        <v>4</v>
      </c>
      <c r="J197" s="2" t="s">
        <v>7</v>
      </c>
    </row>
    <row r="198" ht="12.75" customHeight="1">
      <c r="A198" s="2">
        <f>$M$1</f>
        <v>2015</v>
      </c>
      <c r="B198" s="2">
        <v>3.0</v>
      </c>
      <c r="J198" s="2" t="s">
        <v>810</v>
      </c>
    </row>
    <row r="199" ht="12.75" customHeight="1">
      <c r="A199" s="2" t="s">
        <v>0</v>
      </c>
      <c r="B199" s="2" t="s">
        <v>1</v>
      </c>
      <c r="D199" s="2" t="s">
        <v>2</v>
      </c>
      <c r="E199" s="2" t="s">
        <v>3</v>
      </c>
      <c r="F199" s="2" t="s">
        <v>879</v>
      </c>
      <c r="G199" s="2" t="s">
        <v>4</v>
      </c>
      <c r="J199" s="2" t="s">
        <v>7</v>
      </c>
    </row>
    <row r="200" ht="12.75" customHeight="1">
      <c r="A200" s="2">
        <f>$M$1</f>
        <v>2015</v>
      </c>
      <c r="B200" s="2">
        <v>4.0</v>
      </c>
      <c r="J200" s="2" t="s">
        <v>10</v>
      </c>
    </row>
    <row r="201" ht="12.75" customHeight="1">
      <c r="A201" s="2" t="s">
        <v>0</v>
      </c>
      <c r="B201" s="2" t="s">
        <v>1</v>
      </c>
      <c r="D201" s="2" t="s">
        <v>2</v>
      </c>
      <c r="E201" s="2" t="s">
        <v>3</v>
      </c>
      <c r="F201" s="2" t="s">
        <v>879</v>
      </c>
      <c r="G201" s="2" t="s">
        <v>4</v>
      </c>
      <c r="J201" s="2" t="s">
        <v>7</v>
      </c>
    </row>
    <row r="202" ht="12.75" customHeight="1">
      <c r="A202" s="2">
        <f>$M$1</f>
        <v>2015</v>
      </c>
      <c r="B202" s="2">
        <v>4.0</v>
      </c>
      <c r="J202" s="2" t="s">
        <v>20</v>
      </c>
    </row>
    <row r="203" ht="12.75" customHeight="1">
      <c r="A203" s="2" t="s">
        <v>0</v>
      </c>
      <c r="B203" s="2" t="s">
        <v>1</v>
      </c>
      <c r="D203" s="2" t="s">
        <v>2</v>
      </c>
      <c r="E203" s="2" t="s">
        <v>3</v>
      </c>
      <c r="F203" s="2" t="s">
        <v>879</v>
      </c>
      <c r="G203" s="2" t="s">
        <v>4</v>
      </c>
      <c r="J203" s="2" t="s">
        <v>7</v>
      </c>
    </row>
    <row r="204" ht="12.75" customHeight="1">
      <c r="A204" s="2">
        <f>$M$1</f>
        <v>2015</v>
      </c>
      <c r="B204" s="2">
        <v>4.0</v>
      </c>
      <c r="J204" s="2" t="s">
        <v>17</v>
      </c>
    </row>
    <row r="205" ht="12.75" customHeight="1">
      <c r="A205" s="2" t="s">
        <v>0</v>
      </c>
      <c r="B205" s="2" t="s">
        <v>1</v>
      </c>
      <c r="D205" s="2" t="s">
        <v>2</v>
      </c>
      <c r="E205" s="2" t="s">
        <v>3</v>
      </c>
      <c r="F205" s="2" t="s">
        <v>879</v>
      </c>
      <c r="G205" s="2" t="s">
        <v>4</v>
      </c>
      <c r="J205" s="2" t="s">
        <v>7</v>
      </c>
    </row>
    <row r="206" ht="12.75" customHeight="1">
      <c r="A206" s="2">
        <f>$M$1</f>
        <v>2015</v>
      </c>
      <c r="B206" s="2">
        <v>4.0</v>
      </c>
      <c r="J206" s="2" t="s">
        <v>24</v>
      </c>
    </row>
    <row r="207" ht="12.75" customHeight="1">
      <c r="A207" s="2" t="s">
        <v>0</v>
      </c>
      <c r="B207" s="2" t="s">
        <v>1</v>
      </c>
      <c r="D207" s="2" t="s">
        <v>2</v>
      </c>
      <c r="E207" s="2" t="s">
        <v>3</v>
      </c>
      <c r="F207" s="2" t="s">
        <v>879</v>
      </c>
      <c r="G207" s="2" t="s">
        <v>4</v>
      </c>
      <c r="J207" s="2" t="s">
        <v>7</v>
      </c>
    </row>
    <row r="208" ht="12.75" customHeight="1">
      <c r="A208" s="2">
        <f>$M$1</f>
        <v>2015</v>
      </c>
      <c r="B208" s="2">
        <v>4.0</v>
      </c>
      <c r="J208" s="2" t="s">
        <v>651</v>
      </c>
    </row>
    <row r="209" ht="12.75" customHeight="1">
      <c r="A209" s="2" t="s">
        <v>0</v>
      </c>
      <c r="B209" s="2" t="s">
        <v>1</v>
      </c>
      <c r="D209" s="2" t="s">
        <v>2</v>
      </c>
      <c r="E209" s="2" t="s">
        <v>3</v>
      </c>
      <c r="F209" s="2" t="s">
        <v>879</v>
      </c>
      <c r="G209" s="2" t="s">
        <v>4</v>
      </c>
      <c r="J209" s="2" t="s">
        <v>7</v>
      </c>
    </row>
    <row r="210" ht="12.75" customHeight="1">
      <c r="A210" s="2">
        <f>$M$1</f>
        <v>2015</v>
      </c>
      <c r="B210" s="2">
        <v>4.0</v>
      </c>
      <c r="J210" s="2" t="s">
        <v>76</v>
      </c>
    </row>
    <row r="211" ht="12.75" customHeight="1">
      <c r="A211" s="2" t="s">
        <v>0</v>
      </c>
      <c r="B211" s="2" t="s">
        <v>1</v>
      </c>
      <c r="D211" s="2" t="s">
        <v>2</v>
      </c>
      <c r="E211" s="2" t="s">
        <v>3</v>
      </c>
      <c r="F211" s="2" t="s">
        <v>879</v>
      </c>
      <c r="G211" s="2" t="s">
        <v>4</v>
      </c>
      <c r="J211" s="2" t="s">
        <v>7</v>
      </c>
    </row>
    <row r="212" ht="12.75" customHeight="1">
      <c r="A212" s="2">
        <f>$M$1</f>
        <v>2015</v>
      </c>
      <c r="B212" s="2">
        <v>4.0</v>
      </c>
      <c r="J212" s="2" t="s">
        <v>26</v>
      </c>
    </row>
    <row r="213" ht="12.75" customHeight="1">
      <c r="A213" s="2" t="s">
        <v>0</v>
      </c>
      <c r="B213" s="2" t="s">
        <v>1</v>
      </c>
      <c r="D213" s="2" t="s">
        <v>2</v>
      </c>
      <c r="E213" s="2" t="s">
        <v>3</v>
      </c>
      <c r="F213" s="2" t="s">
        <v>879</v>
      </c>
      <c r="G213" s="2" t="s">
        <v>4</v>
      </c>
      <c r="J213" s="2" t="s">
        <v>7</v>
      </c>
    </row>
    <row r="214" ht="12.75" customHeight="1">
      <c r="A214" s="2">
        <f>$M$1</f>
        <v>2015</v>
      </c>
      <c r="B214" s="2">
        <v>4.0</v>
      </c>
      <c r="J214" s="2" t="s">
        <v>103</v>
      </c>
    </row>
    <row r="215" ht="12.75" customHeight="1">
      <c r="A215" s="2" t="s">
        <v>0</v>
      </c>
      <c r="B215" s="2" t="s">
        <v>1</v>
      </c>
      <c r="D215" s="2" t="s">
        <v>2</v>
      </c>
      <c r="E215" s="2" t="s">
        <v>3</v>
      </c>
      <c r="F215" s="2" t="s">
        <v>879</v>
      </c>
      <c r="G215" s="2" t="s">
        <v>4</v>
      </c>
      <c r="J215" s="2" t="s">
        <v>7</v>
      </c>
    </row>
    <row r="216" ht="12.75" customHeight="1">
      <c r="A216" s="2">
        <f>$M$1</f>
        <v>2015</v>
      </c>
      <c r="B216" s="2">
        <v>4.0</v>
      </c>
      <c r="J216" s="2" t="s">
        <v>22</v>
      </c>
    </row>
    <row r="217" ht="12.75" customHeight="1">
      <c r="A217" s="2" t="s">
        <v>0</v>
      </c>
      <c r="B217" s="2" t="s">
        <v>1</v>
      </c>
      <c r="D217" s="2" t="s">
        <v>2</v>
      </c>
      <c r="E217" s="2" t="s">
        <v>3</v>
      </c>
      <c r="F217" s="2" t="s">
        <v>879</v>
      </c>
      <c r="G217" s="2" t="s">
        <v>4</v>
      </c>
      <c r="J217" s="2" t="s">
        <v>7</v>
      </c>
    </row>
    <row r="218" ht="12.75" customHeight="1">
      <c r="A218" s="2">
        <f>$M$1</f>
        <v>2015</v>
      </c>
      <c r="B218" s="2">
        <v>4.0</v>
      </c>
      <c r="J218" s="2" t="s">
        <v>428</v>
      </c>
    </row>
    <row r="219" ht="12.75" customHeight="1">
      <c r="A219" s="2" t="s">
        <v>0</v>
      </c>
      <c r="B219" s="2" t="s">
        <v>1</v>
      </c>
      <c r="D219" s="2" t="s">
        <v>2</v>
      </c>
      <c r="E219" s="2" t="s">
        <v>3</v>
      </c>
      <c r="F219" s="2" t="s">
        <v>879</v>
      </c>
      <c r="G219" s="2" t="s">
        <v>4</v>
      </c>
      <c r="J219" s="2" t="s">
        <v>7</v>
      </c>
    </row>
    <row r="220" ht="12.75" customHeight="1">
      <c r="A220" s="2">
        <f>$M$1</f>
        <v>2015</v>
      </c>
      <c r="B220" s="2">
        <v>4.0</v>
      </c>
      <c r="J220" s="2" t="s">
        <v>800</v>
      </c>
    </row>
    <row r="221" ht="12.75" customHeight="1">
      <c r="A221" s="2" t="s">
        <v>0</v>
      </c>
      <c r="B221" s="2" t="s">
        <v>1</v>
      </c>
      <c r="D221" s="2" t="s">
        <v>2</v>
      </c>
      <c r="E221" s="2" t="s">
        <v>3</v>
      </c>
      <c r="F221" s="2" t="s">
        <v>879</v>
      </c>
      <c r="G221" s="2" t="s">
        <v>4</v>
      </c>
      <c r="J221" s="2" t="s">
        <v>7</v>
      </c>
    </row>
    <row r="222" ht="12.75" customHeight="1">
      <c r="A222" s="2">
        <f>$M$1</f>
        <v>2015</v>
      </c>
      <c r="B222" s="2">
        <v>4.0</v>
      </c>
      <c r="J222" s="2" t="s">
        <v>54</v>
      </c>
    </row>
    <row r="223" ht="12.75" customHeight="1">
      <c r="A223" s="2" t="s">
        <v>0</v>
      </c>
      <c r="B223" s="2" t="s">
        <v>1</v>
      </c>
      <c r="D223" s="2" t="s">
        <v>2</v>
      </c>
      <c r="E223" s="2" t="s">
        <v>3</v>
      </c>
      <c r="F223" s="2" t="s">
        <v>879</v>
      </c>
      <c r="G223" s="2" t="s">
        <v>4</v>
      </c>
      <c r="J223" s="2" t="s">
        <v>7</v>
      </c>
    </row>
    <row r="224" ht="12.75" customHeight="1">
      <c r="A224" s="2">
        <f>$M$1</f>
        <v>2015</v>
      </c>
      <c r="B224" s="2">
        <v>4.0</v>
      </c>
      <c r="J224" s="2" t="s">
        <v>801</v>
      </c>
    </row>
    <row r="225" ht="12.75" customHeight="1">
      <c r="A225" s="2" t="s">
        <v>0</v>
      </c>
      <c r="B225" s="2" t="s">
        <v>1</v>
      </c>
      <c r="D225" s="2" t="s">
        <v>2</v>
      </c>
      <c r="E225" s="2" t="s">
        <v>3</v>
      </c>
      <c r="F225" s="2" t="s">
        <v>879</v>
      </c>
      <c r="G225" s="2" t="s">
        <v>4</v>
      </c>
      <c r="J225" s="2" t="s">
        <v>7</v>
      </c>
    </row>
    <row r="226" ht="12.75" customHeight="1">
      <c r="A226" s="2">
        <f>$M$1</f>
        <v>2015</v>
      </c>
      <c r="B226" s="2">
        <v>4.0</v>
      </c>
      <c r="J226" s="2" t="s">
        <v>38</v>
      </c>
    </row>
    <row r="227" ht="12.75" customHeight="1">
      <c r="A227" s="2" t="s">
        <v>0</v>
      </c>
      <c r="B227" s="2" t="s">
        <v>1</v>
      </c>
      <c r="D227" s="2" t="s">
        <v>2</v>
      </c>
      <c r="E227" s="2" t="s">
        <v>3</v>
      </c>
      <c r="F227" s="2" t="s">
        <v>879</v>
      </c>
      <c r="G227" s="2" t="s">
        <v>4</v>
      </c>
      <c r="J227" s="2" t="s">
        <v>7</v>
      </c>
    </row>
    <row r="228" ht="12.75" customHeight="1">
      <c r="A228" s="2">
        <f>$M$1</f>
        <v>2015</v>
      </c>
      <c r="B228" s="2">
        <v>4.0</v>
      </c>
      <c r="J228" s="2" t="s">
        <v>47</v>
      </c>
    </row>
    <row r="229" ht="12.75" customHeight="1">
      <c r="A229" s="2" t="s">
        <v>0</v>
      </c>
      <c r="B229" s="2" t="s">
        <v>1</v>
      </c>
      <c r="D229" s="2" t="s">
        <v>2</v>
      </c>
      <c r="E229" s="2" t="s">
        <v>3</v>
      </c>
      <c r="F229" s="2" t="s">
        <v>879</v>
      </c>
      <c r="G229" s="2" t="s">
        <v>4</v>
      </c>
      <c r="J229" s="2" t="s">
        <v>7</v>
      </c>
    </row>
    <row r="230" ht="12.75" customHeight="1">
      <c r="A230" s="2">
        <f>$M$1</f>
        <v>2015</v>
      </c>
      <c r="B230" s="2">
        <v>4.0</v>
      </c>
      <c r="J230" s="2" t="s">
        <v>52</v>
      </c>
    </row>
    <row r="231" ht="12.75" customHeight="1">
      <c r="A231" s="2" t="s">
        <v>0</v>
      </c>
      <c r="B231" s="2" t="s">
        <v>1</v>
      </c>
      <c r="D231" s="2" t="s">
        <v>2</v>
      </c>
      <c r="E231" s="2" t="s">
        <v>3</v>
      </c>
      <c r="F231" s="2" t="s">
        <v>879</v>
      </c>
      <c r="G231" s="2" t="s">
        <v>4</v>
      </c>
      <c r="J231" s="2" t="s">
        <v>7</v>
      </c>
    </row>
    <row r="232" ht="12.75" customHeight="1">
      <c r="A232" s="2">
        <f>$M$1</f>
        <v>2015</v>
      </c>
      <c r="B232" s="2">
        <v>4.0</v>
      </c>
      <c r="J232" s="2" t="s">
        <v>42</v>
      </c>
    </row>
    <row r="233" ht="12.75" customHeight="1">
      <c r="A233" s="2" t="s">
        <v>0</v>
      </c>
      <c r="B233" s="2" t="s">
        <v>1</v>
      </c>
      <c r="D233" s="2" t="s">
        <v>2</v>
      </c>
      <c r="E233" s="2" t="s">
        <v>3</v>
      </c>
      <c r="F233" s="2" t="s">
        <v>879</v>
      </c>
      <c r="G233" s="2" t="s">
        <v>4</v>
      </c>
      <c r="J233" s="2" t="s">
        <v>7</v>
      </c>
    </row>
    <row r="234" ht="12.75" customHeight="1">
      <c r="A234" s="2">
        <f>$M$1</f>
        <v>2015</v>
      </c>
      <c r="B234" s="2">
        <v>4.0</v>
      </c>
      <c r="J234" s="2" t="s">
        <v>133</v>
      </c>
    </row>
    <row r="235" ht="12.75" customHeight="1">
      <c r="A235" s="2" t="s">
        <v>0</v>
      </c>
      <c r="B235" s="2" t="s">
        <v>1</v>
      </c>
      <c r="D235" s="2" t="s">
        <v>2</v>
      </c>
      <c r="E235" s="2" t="s">
        <v>3</v>
      </c>
      <c r="F235" s="2" t="s">
        <v>879</v>
      </c>
      <c r="G235" s="2" t="s">
        <v>4</v>
      </c>
      <c r="J235" s="2" t="s">
        <v>7</v>
      </c>
    </row>
    <row r="236" ht="12.75" customHeight="1">
      <c r="A236" s="2">
        <f>$M$1</f>
        <v>2015</v>
      </c>
      <c r="B236" s="2">
        <v>4.0</v>
      </c>
      <c r="J236" s="2" t="s">
        <v>803</v>
      </c>
    </row>
    <row r="237" ht="12.75" customHeight="1">
      <c r="A237" s="2" t="s">
        <v>0</v>
      </c>
      <c r="B237" s="2" t="s">
        <v>1</v>
      </c>
      <c r="D237" s="2" t="s">
        <v>2</v>
      </c>
      <c r="E237" s="2" t="s">
        <v>3</v>
      </c>
      <c r="F237" s="2" t="s">
        <v>879</v>
      </c>
      <c r="G237" s="2" t="s">
        <v>4</v>
      </c>
      <c r="J237" s="2" t="s">
        <v>7</v>
      </c>
    </row>
    <row r="238" ht="12.75" customHeight="1">
      <c r="A238" s="2">
        <f>$M$1</f>
        <v>2015</v>
      </c>
      <c r="B238" s="2">
        <v>4.0</v>
      </c>
      <c r="J238" s="2" t="s">
        <v>164</v>
      </c>
    </row>
    <row r="239" ht="12.75" customHeight="1">
      <c r="A239" s="2" t="s">
        <v>0</v>
      </c>
      <c r="B239" s="2" t="s">
        <v>1</v>
      </c>
      <c r="D239" s="2" t="s">
        <v>2</v>
      </c>
      <c r="E239" s="2" t="s">
        <v>3</v>
      </c>
      <c r="F239" s="2" t="s">
        <v>879</v>
      </c>
      <c r="G239" s="2" t="s">
        <v>4</v>
      </c>
      <c r="J239" s="2" t="s">
        <v>7</v>
      </c>
    </row>
    <row r="240" ht="12.75" customHeight="1">
      <c r="A240" s="2">
        <f>$M$1</f>
        <v>2015</v>
      </c>
      <c r="B240" s="2">
        <v>4.0</v>
      </c>
      <c r="J240" s="2" t="s">
        <v>50</v>
      </c>
    </row>
    <row r="241" ht="12.75" customHeight="1">
      <c r="A241" s="2" t="s">
        <v>0</v>
      </c>
      <c r="B241" s="2" t="s">
        <v>1</v>
      </c>
      <c r="D241" s="2" t="s">
        <v>2</v>
      </c>
      <c r="E241" s="2" t="s">
        <v>3</v>
      </c>
      <c r="F241" s="2" t="s">
        <v>879</v>
      </c>
      <c r="G241" s="2" t="s">
        <v>4</v>
      </c>
      <c r="J241" s="2" t="s">
        <v>7</v>
      </c>
    </row>
    <row r="242" ht="12.75" customHeight="1">
      <c r="A242" s="2">
        <f>$M$1</f>
        <v>2015</v>
      </c>
      <c r="B242" s="2">
        <v>4.0</v>
      </c>
      <c r="J242" s="2" t="s">
        <v>304</v>
      </c>
    </row>
    <row r="243" ht="12.75" customHeight="1">
      <c r="A243" s="2" t="s">
        <v>0</v>
      </c>
      <c r="B243" s="2" t="s">
        <v>1</v>
      </c>
      <c r="D243" s="2" t="s">
        <v>2</v>
      </c>
      <c r="E243" s="2" t="s">
        <v>3</v>
      </c>
      <c r="F243" s="2" t="s">
        <v>879</v>
      </c>
      <c r="G243" s="2" t="s">
        <v>4</v>
      </c>
      <c r="J243" s="2" t="s">
        <v>7</v>
      </c>
    </row>
    <row r="244" ht="12.75" customHeight="1">
      <c r="A244" s="2">
        <f>$M$1</f>
        <v>2015</v>
      </c>
      <c r="B244" s="2">
        <v>4.0</v>
      </c>
      <c r="J244" s="2" t="s">
        <v>72</v>
      </c>
    </row>
    <row r="245" ht="12.75" customHeight="1">
      <c r="A245" s="2" t="s">
        <v>0</v>
      </c>
      <c r="B245" s="2" t="s">
        <v>1</v>
      </c>
      <c r="D245" s="2" t="s">
        <v>2</v>
      </c>
      <c r="E245" s="2" t="s">
        <v>3</v>
      </c>
      <c r="F245" s="2" t="s">
        <v>879</v>
      </c>
      <c r="G245" s="2" t="s">
        <v>4</v>
      </c>
      <c r="J245" s="2" t="s">
        <v>7</v>
      </c>
    </row>
    <row r="246" ht="12.75" customHeight="1">
      <c r="A246" s="2">
        <f>$M$1</f>
        <v>2015</v>
      </c>
      <c r="B246" s="2">
        <v>4.0</v>
      </c>
      <c r="J246" s="2" t="s">
        <v>13</v>
      </c>
    </row>
    <row r="247" ht="12.75" customHeight="1">
      <c r="A247" s="2" t="s">
        <v>0</v>
      </c>
      <c r="B247" s="2" t="s">
        <v>1</v>
      </c>
      <c r="D247" s="2" t="s">
        <v>2</v>
      </c>
      <c r="E247" s="2" t="s">
        <v>3</v>
      </c>
      <c r="F247" s="2" t="s">
        <v>879</v>
      </c>
      <c r="G247" s="2" t="s">
        <v>4</v>
      </c>
      <c r="J247" s="2" t="s">
        <v>7</v>
      </c>
    </row>
    <row r="248" ht="12.75" customHeight="1">
      <c r="A248" s="2">
        <f>$M$1</f>
        <v>2015</v>
      </c>
      <c r="B248" s="2">
        <v>4.0</v>
      </c>
      <c r="J248" s="2" t="s">
        <v>18</v>
      </c>
    </row>
    <row r="249" ht="12.75" customHeight="1">
      <c r="A249" s="2" t="s">
        <v>0</v>
      </c>
      <c r="B249" s="2" t="s">
        <v>1</v>
      </c>
      <c r="D249" s="2" t="s">
        <v>2</v>
      </c>
      <c r="E249" s="2" t="s">
        <v>3</v>
      </c>
      <c r="F249" s="2" t="s">
        <v>879</v>
      </c>
      <c r="G249" s="2" t="s">
        <v>4</v>
      </c>
      <c r="J249" s="2" t="s">
        <v>7</v>
      </c>
    </row>
    <row r="250" ht="12.75" customHeight="1">
      <c r="A250" s="2">
        <f>$M$1</f>
        <v>2015</v>
      </c>
      <c r="B250" s="2">
        <v>4.0</v>
      </c>
      <c r="J250" s="2" t="s">
        <v>153</v>
      </c>
    </row>
    <row r="251" ht="12.75" customHeight="1">
      <c r="A251" s="2" t="s">
        <v>0</v>
      </c>
      <c r="B251" s="2" t="s">
        <v>1</v>
      </c>
      <c r="D251" s="2" t="s">
        <v>2</v>
      </c>
      <c r="E251" s="2" t="s">
        <v>3</v>
      </c>
      <c r="F251" s="2" t="s">
        <v>879</v>
      </c>
      <c r="G251" s="2" t="s">
        <v>4</v>
      </c>
      <c r="J251" s="2" t="s">
        <v>7</v>
      </c>
    </row>
    <row r="252" ht="12.75" customHeight="1">
      <c r="A252" s="2">
        <f>$M$1</f>
        <v>2015</v>
      </c>
      <c r="B252" s="2">
        <v>4.0</v>
      </c>
      <c r="J252" s="2" t="s">
        <v>805</v>
      </c>
    </row>
    <row r="253" ht="12.75" customHeight="1">
      <c r="A253" s="2" t="s">
        <v>0</v>
      </c>
      <c r="B253" s="2" t="s">
        <v>1</v>
      </c>
      <c r="D253" s="2" t="s">
        <v>2</v>
      </c>
      <c r="E253" s="2" t="s">
        <v>3</v>
      </c>
      <c r="F253" s="2" t="s">
        <v>879</v>
      </c>
      <c r="G253" s="2" t="s">
        <v>4</v>
      </c>
      <c r="J253" s="2" t="s">
        <v>7</v>
      </c>
    </row>
    <row r="254" ht="12.75" customHeight="1">
      <c r="A254" s="2">
        <f>$M$1</f>
        <v>2015</v>
      </c>
      <c r="B254" s="2">
        <v>4.0</v>
      </c>
      <c r="J254" s="2" t="s">
        <v>31</v>
      </c>
    </row>
    <row r="255" ht="12.75" customHeight="1">
      <c r="A255" s="2" t="s">
        <v>0</v>
      </c>
      <c r="B255" s="2" t="s">
        <v>1</v>
      </c>
      <c r="D255" s="2" t="s">
        <v>2</v>
      </c>
      <c r="E255" s="2" t="s">
        <v>3</v>
      </c>
      <c r="F255" s="2" t="s">
        <v>879</v>
      </c>
      <c r="G255" s="2" t="s">
        <v>4</v>
      </c>
      <c r="J255" s="2" t="s">
        <v>7</v>
      </c>
    </row>
    <row r="256" ht="12.75" customHeight="1">
      <c r="A256" s="2">
        <f>$M$1</f>
        <v>2015</v>
      </c>
      <c r="B256" s="2">
        <v>4.0</v>
      </c>
      <c r="J256" s="2" t="s">
        <v>123</v>
      </c>
    </row>
    <row r="257" ht="12.75" customHeight="1">
      <c r="A257" s="2" t="s">
        <v>0</v>
      </c>
      <c r="B257" s="2" t="s">
        <v>1</v>
      </c>
      <c r="D257" s="2" t="s">
        <v>2</v>
      </c>
      <c r="E257" s="2" t="s">
        <v>3</v>
      </c>
      <c r="F257" s="2" t="s">
        <v>879</v>
      </c>
      <c r="G257" s="2" t="s">
        <v>4</v>
      </c>
      <c r="J257" s="2" t="s">
        <v>7</v>
      </c>
    </row>
    <row r="258" ht="12.75" customHeight="1">
      <c r="A258" s="2">
        <f>$M$1</f>
        <v>2015</v>
      </c>
      <c r="B258" s="2">
        <v>4.0</v>
      </c>
      <c r="J258" s="2" t="s">
        <v>35</v>
      </c>
    </row>
    <row r="259" ht="12.75" customHeight="1">
      <c r="A259" s="2" t="s">
        <v>0</v>
      </c>
      <c r="B259" s="2" t="s">
        <v>1</v>
      </c>
      <c r="D259" s="2" t="s">
        <v>2</v>
      </c>
      <c r="E259" s="2" t="s">
        <v>3</v>
      </c>
      <c r="F259" s="2" t="s">
        <v>879</v>
      </c>
      <c r="G259" s="2" t="s">
        <v>4</v>
      </c>
      <c r="J259" s="2" t="s">
        <v>7</v>
      </c>
    </row>
    <row r="260" ht="12.75" customHeight="1">
      <c r="A260" s="2">
        <f>$M$1</f>
        <v>2015</v>
      </c>
      <c r="B260" s="2">
        <v>4.0</v>
      </c>
      <c r="J260" s="2" t="s">
        <v>210</v>
      </c>
    </row>
    <row r="261" ht="12.75" customHeight="1">
      <c r="A261" s="2" t="s">
        <v>0</v>
      </c>
      <c r="B261" s="2" t="s">
        <v>1</v>
      </c>
      <c r="D261" s="2" t="s">
        <v>2</v>
      </c>
      <c r="E261" s="2" t="s">
        <v>3</v>
      </c>
      <c r="F261" s="2" t="s">
        <v>879</v>
      </c>
      <c r="G261" s="2" t="s">
        <v>4</v>
      </c>
      <c r="J261" s="2" t="s">
        <v>7</v>
      </c>
    </row>
    <row r="262" ht="12.75" customHeight="1">
      <c r="A262" s="2">
        <f>$M$1</f>
        <v>2015</v>
      </c>
      <c r="B262" s="2">
        <v>4.0</v>
      </c>
      <c r="J262" s="2" t="s">
        <v>808</v>
      </c>
    </row>
    <row r="263" ht="12.75" customHeight="1">
      <c r="A263" s="2" t="s">
        <v>0</v>
      </c>
      <c r="B263" s="2" t="s">
        <v>1</v>
      </c>
      <c r="D263" s="2" t="s">
        <v>2</v>
      </c>
      <c r="E263" s="2" t="s">
        <v>3</v>
      </c>
      <c r="F263" s="2" t="s">
        <v>879</v>
      </c>
      <c r="G263" s="2" t="s">
        <v>4</v>
      </c>
      <c r="J263" s="2" t="s">
        <v>7</v>
      </c>
    </row>
    <row r="264" ht="12.75" customHeight="1">
      <c r="A264" s="2">
        <f>$M$1</f>
        <v>2015</v>
      </c>
      <c r="B264" s="2">
        <v>4.0</v>
      </c>
      <c r="J264" s="2" t="s">
        <v>810</v>
      </c>
    </row>
    <row r="265" ht="12.75" customHeight="1">
      <c r="A265" s="2" t="s">
        <v>0</v>
      </c>
      <c r="B265" s="2" t="s">
        <v>1</v>
      </c>
      <c r="D265" s="2" t="s">
        <v>2</v>
      </c>
      <c r="E265" s="2" t="s">
        <v>3</v>
      </c>
      <c r="F265" s="2" t="s">
        <v>879</v>
      </c>
      <c r="G265" s="2" t="s">
        <v>4</v>
      </c>
      <c r="J265" s="2" t="s">
        <v>7</v>
      </c>
    </row>
    <row r="266" ht="12.75" customHeight="1">
      <c r="A266" s="2">
        <f>$M$1</f>
        <v>2015</v>
      </c>
      <c r="B266" s="2">
        <v>5.0</v>
      </c>
      <c r="J266" s="2" t="s">
        <v>10</v>
      </c>
    </row>
    <row r="267" ht="12.75" customHeight="1">
      <c r="A267" s="2" t="s">
        <v>0</v>
      </c>
      <c r="B267" s="2" t="s">
        <v>1</v>
      </c>
      <c r="D267" s="2" t="s">
        <v>2</v>
      </c>
      <c r="E267" s="2" t="s">
        <v>3</v>
      </c>
      <c r="F267" s="2" t="s">
        <v>879</v>
      </c>
      <c r="G267" s="2" t="s">
        <v>4</v>
      </c>
      <c r="J267" s="2" t="s">
        <v>7</v>
      </c>
    </row>
    <row r="268" ht="12.75" customHeight="1">
      <c r="A268" s="2">
        <f>$M$1</f>
        <v>2015</v>
      </c>
      <c r="B268" s="2">
        <v>5.0</v>
      </c>
      <c r="J268" s="2" t="s">
        <v>20</v>
      </c>
    </row>
    <row r="269" ht="12.75" customHeight="1">
      <c r="A269" s="2" t="s">
        <v>0</v>
      </c>
      <c r="B269" s="2" t="s">
        <v>1</v>
      </c>
      <c r="D269" s="2" t="s">
        <v>2</v>
      </c>
      <c r="E269" s="2" t="s">
        <v>3</v>
      </c>
      <c r="F269" s="2" t="s">
        <v>879</v>
      </c>
      <c r="G269" s="2" t="s">
        <v>4</v>
      </c>
      <c r="J269" s="2" t="s">
        <v>7</v>
      </c>
    </row>
    <row r="270" ht="12.75" customHeight="1">
      <c r="A270" s="2">
        <f>$M$1</f>
        <v>2015</v>
      </c>
      <c r="B270" s="2">
        <v>5.0</v>
      </c>
      <c r="J270" s="2" t="s">
        <v>17</v>
      </c>
    </row>
    <row r="271" ht="12.75" customHeight="1">
      <c r="A271" s="2" t="s">
        <v>0</v>
      </c>
      <c r="B271" s="2" t="s">
        <v>1</v>
      </c>
      <c r="D271" s="2" t="s">
        <v>2</v>
      </c>
      <c r="E271" s="2" t="s">
        <v>3</v>
      </c>
      <c r="F271" s="2" t="s">
        <v>879</v>
      </c>
      <c r="G271" s="2" t="s">
        <v>4</v>
      </c>
      <c r="J271" s="2" t="s">
        <v>7</v>
      </c>
    </row>
    <row r="272" ht="12.75" customHeight="1">
      <c r="A272" s="2">
        <f>$M$1</f>
        <v>2015</v>
      </c>
      <c r="B272" s="2">
        <v>5.0</v>
      </c>
      <c r="J272" s="2" t="s">
        <v>24</v>
      </c>
    </row>
    <row r="273" ht="12.75" customHeight="1">
      <c r="A273" s="2" t="s">
        <v>0</v>
      </c>
      <c r="B273" s="2" t="s">
        <v>1</v>
      </c>
      <c r="D273" s="2" t="s">
        <v>2</v>
      </c>
      <c r="E273" s="2" t="s">
        <v>3</v>
      </c>
      <c r="F273" s="2" t="s">
        <v>879</v>
      </c>
      <c r="G273" s="2" t="s">
        <v>4</v>
      </c>
      <c r="J273" s="2" t="s">
        <v>7</v>
      </c>
    </row>
    <row r="274" ht="12.75" customHeight="1">
      <c r="A274" s="2">
        <f>$M$1</f>
        <v>2015</v>
      </c>
      <c r="B274" s="2">
        <v>5.0</v>
      </c>
      <c r="J274" s="2" t="s">
        <v>651</v>
      </c>
    </row>
    <row r="275" ht="12.75" customHeight="1">
      <c r="A275" s="2" t="s">
        <v>0</v>
      </c>
      <c r="B275" s="2" t="s">
        <v>1</v>
      </c>
      <c r="D275" s="2" t="s">
        <v>2</v>
      </c>
      <c r="E275" s="2" t="s">
        <v>3</v>
      </c>
      <c r="F275" s="2" t="s">
        <v>879</v>
      </c>
      <c r="G275" s="2" t="s">
        <v>4</v>
      </c>
      <c r="J275" s="2" t="s">
        <v>7</v>
      </c>
    </row>
    <row r="276" ht="12.75" customHeight="1">
      <c r="A276" s="2">
        <f>$M$1</f>
        <v>2015</v>
      </c>
      <c r="B276" s="2">
        <v>5.0</v>
      </c>
      <c r="J276" s="2" t="s">
        <v>76</v>
      </c>
    </row>
    <row r="277" ht="12.75" customHeight="1">
      <c r="A277" s="2" t="s">
        <v>0</v>
      </c>
      <c r="B277" s="2" t="s">
        <v>1</v>
      </c>
      <c r="D277" s="2" t="s">
        <v>2</v>
      </c>
      <c r="E277" s="2" t="s">
        <v>3</v>
      </c>
      <c r="F277" s="2" t="s">
        <v>879</v>
      </c>
      <c r="G277" s="2" t="s">
        <v>4</v>
      </c>
      <c r="J277" s="2" t="s">
        <v>7</v>
      </c>
    </row>
    <row r="278" ht="12.75" customHeight="1">
      <c r="A278" s="2">
        <f>$M$1</f>
        <v>2015</v>
      </c>
      <c r="B278" s="2">
        <v>5.0</v>
      </c>
      <c r="J278" s="2" t="s">
        <v>26</v>
      </c>
    </row>
    <row r="279" ht="12.75" customHeight="1">
      <c r="A279" s="2" t="s">
        <v>0</v>
      </c>
      <c r="B279" s="2" t="s">
        <v>1</v>
      </c>
      <c r="D279" s="2" t="s">
        <v>2</v>
      </c>
      <c r="E279" s="2" t="s">
        <v>3</v>
      </c>
      <c r="F279" s="2" t="s">
        <v>879</v>
      </c>
      <c r="G279" s="2" t="s">
        <v>4</v>
      </c>
      <c r="J279" s="2" t="s">
        <v>7</v>
      </c>
    </row>
    <row r="280" ht="12.75" customHeight="1">
      <c r="A280" s="2">
        <f>$M$1</f>
        <v>2015</v>
      </c>
      <c r="B280" s="2">
        <v>5.0</v>
      </c>
      <c r="J280" s="2" t="s">
        <v>103</v>
      </c>
    </row>
    <row r="281" ht="12.75" customHeight="1">
      <c r="A281" s="2" t="s">
        <v>0</v>
      </c>
      <c r="B281" s="2" t="s">
        <v>1</v>
      </c>
      <c r="D281" s="2" t="s">
        <v>2</v>
      </c>
      <c r="E281" s="2" t="s">
        <v>3</v>
      </c>
      <c r="F281" s="2" t="s">
        <v>879</v>
      </c>
      <c r="G281" s="2" t="s">
        <v>4</v>
      </c>
      <c r="J281" s="2" t="s">
        <v>7</v>
      </c>
    </row>
    <row r="282" ht="12.75" customHeight="1">
      <c r="A282" s="2">
        <f>$M$1</f>
        <v>2015</v>
      </c>
      <c r="B282" s="2">
        <v>5.0</v>
      </c>
      <c r="J282" s="2" t="s">
        <v>22</v>
      </c>
    </row>
    <row r="283" ht="12.75" customHeight="1">
      <c r="A283" s="2" t="s">
        <v>0</v>
      </c>
      <c r="B283" s="2" t="s">
        <v>1</v>
      </c>
      <c r="D283" s="2" t="s">
        <v>2</v>
      </c>
      <c r="E283" s="2" t="s">
        <v>3</v>
      </c>
      <c r="F283" s="2" t="s">
        <v>879</v>
      </c>
      <c r="G283" s="2" t="s">
        <v>4</v>
      </c>
      <c r="J283" s="2" t="s">
        <v>7</v>
      </c>
    </row>
    <row r="284" ht="12.75" customHeight="1">
      <c r="A284" s="2">
        <f>$M$1</f>
        <v>2015</v>
      </c>
      <c r="B284" s="2">
        <v>5.0</v>
      </c>
      <c r="J284" s="2" t="s">
        <v>428</v>
      </c>
    </row>
    <row r="285" ht="12.75" customHeight="1">
      <c r="A285" s="2" t="s">
        <v>0</v>
      </c>
      <c r="B285" s="2" t="s">
        <v>1</v>
      </c>
      <c r="D285" s="2" t="s">
        <v>2</v>
      </c>
      <c r="E285" s="2" t="s">
        <v>3</v>
      </c>
      <c r="F285" s="2" t="s">
        <v>879</v>
      </c>
      <c r="G285" s="2" t="s">
        <v>4</v>
      </c>
      <c r="J285" s="2" t="s">
        <v>7</v>
      </c>
    </row>
    <row r="286" ht="12.75" customHeight="1">
      <c r="A286" s="2">
        <f>$M$1</f>
        <v>2015</v>
      </c>
      <c r="B286" s="2">
        <v>5.0</v>
      </c>
      <c r="J286" s="2" t="s">
        <v>800</v>
      </c>
    </row>
    <row r="287" ht="12.75" customHeight="1">
      <c r="A287" s="2" t="s">
        <v>0</v>
      </c>
      <c r="B287" s="2" t="s">
        <v>1</v>
      </c>
      <c r="D287" s="2" t="s">
        <v>2</v>
      </c>
      <c r="E287" s="2" t="s">
        <v>3</v>
      </c>
      <c r="F287" s="2" t="s">
        <v>879</v>
      </c>
      <c r="G287" s="2" t="s">
        <v>4</v>
      </c>
      <c r="J287" s="2" t="s">
        <v>7</v>
      </c>
    </row>
    <row r="288" ht="12.75" customHeight="1">
      <c r="A288" s="2">
        <f>$M$1</f>
        <v>2015</v>
      </c>
      <c r="B288" s="2">
        <v>5.0</v>
      </c>
      <c r="J288" s="2" t="s">
        <v>54</v>
      </c>
    </row>
    <row r="289" ht="12.75" customHeight="1">
      <c r="A289" s="2" t="s">
        <v>0</v>
      </c>
      <c r="B289" s="2" t="s">
        <v>1</v>
      </c>
      <c r="D289" s="2" t="s">
        <v>2</v>
      </c>
      <c r="E289" s="2" t="s">
        <v>3</v>
      </c>
      <c r="F289" s="2" t="s">
        <v>879</v>
      </c>
      <c r="G289" s="2" t="s">
        <v>4</v>
      </c>
      <c r="J289" s="2" t="s">
        <v>7</v>
      </c>
    </row>
    <row r="290" ht="12.75" customHeight="1">
      <c r="A290" s="2">
        <f>$M$1</f>
        <v>2015</v>
      </c>
      <c r="B290" s="2">
        <v>5.0</v>
      </c>
      <c r="J290" s="2" t="s">
        <v>801</v>
      </c>
    </row>
    <row r="291" ht="12.75" customHeight="1">
      <c r="A291" s="2" t="s">
        <v>0</v>
      </c>
      <c r="B291" s="2" t="s">
        <v>1</v>
      </c>
      <c r="D291" s="2" t="s">
        <v>2</v>
      </c>
      <c r="E291" s="2" t="s">
        <v>3</v>
      </c>
      <c r="F291" s="2" t="s">
        <v>879</v>
      </c>
      <c r="G291" s="2" t="s">
        <v>4</v>
      </c>
      <c r="J291" s="2" t="s">
        <v>7</v>
      </c>
    </row>
    <row r="292" ht="12.75" customHeight="1">
      <c r="A292" s="2">
        <f>$M$1</f>
        <v>2015</v>
      </c>
      <c r="B292" s="2">
        <v>5.0</v>
      </c>
      <c r="J292" s="2" t="s">
        <v>38</v>
      </c>
    </row>
    <row r="293" ht="12.75" customHeight="1">
      <c r="A293" s="2" t="s">
        <v>0</v>
      </c>
      <c r="B293" s="2" t="s">
        <v>1</v>
      </c>
      <c r="D293" s="2" t="s">
        <v>2</v>
      </c>
      <c r="E293" s="2" t="s">
        <v>3</v>
      </c>
      <c r="F293" s="2" t="s">
        <v>879</v>
      </c>
      <c r="G293" s="2" t="s">
        <v>4</v>
      </c>
      <c r="J293" s="2" t="s">
        <v>7</v>
      </c>
    </row>
    <row r="294" ht="12.75" customHeight="1">
      <c r="A294" s="2">
        <f>$M$1</f>
        <v>2015</v>
      </c>
      <c r="B294" s="2">
        <v>5.0</v>
      </c>
      <c r="J294" s="2" t="s">
        <v>47</v>
      </c>
    </row>
    <row r="295" ht="12.75" customHeight="1">
      <c r="A295" s="2" t="s">
        <v>0</v>
      </c>
      <c r="B295" s="2" t="s">
        <v>1</v>
      </c>
      <c r="D295" s="2" t="s">
        <v>2</v>
      </c>
      <c r="E295" s="2" t="s">
        <v>3</v>
      </c>
      <c r="F295" s="2" t="s">
        <v>879</v>
      </c>
      <c r="G295" s="2" t="s">
        <v>4</v>
      </c>
      <c r="J295" s="2" t="s">
        <v>7</v>
      </c>
    </row>
    <row r="296" ht="12.75" customHeight="1">
      <c r="A296" s="2">
        <f>$M$1</f>
        <v>2015</v>
      </c>
      <c r="B296" s="2">
        <v>5.0</v>
      </c>
      <c r="J296" s="2" t="s">
        <v>52</v>
      </c>
    </row>
    <row r="297" ht="12.75" customHeight="1">
      <c r="A297" s="2" t="s">
        <v>0</v>
      </c>
      <c r="B297" s="2" t="s">
        <v>1</v>
      </c>
      <c r="D297" s="2" t="s">
        <v>2</v>
      </c>
      <c r="E297" s="2" t="s">
        <v>3</v>
      </c>
      <c r="F297" s="2" t="s">
        <v>879</v>
      </c>
      <c r="G297" s="2" t="s">
        <v>4</v>
      </c>
      <c r="J297" s="2" t="s">
        <v>7</v>
      </c>
    </row>
    <row r="298" ht="12.75" customHeight="1">
      <c r="A298" s="2">
        <f>$M$1</f>
        <v>2015</v>
      </c>
      <c r="B298" s="2">
        <v>5.0</v>
      </c>
      <c r="J298" s="2" t="s">
        <v>42</v>
      </c>
    </row>
    <row r="299" ht="12.75" customHeight="1">
      <c r="A299" s="2" t="s">
        <v>0</v>
      </c>
      <c r="B299" s="2" t="s">
        <v>1</v>
      </c>
      <c r="D299" s="2" t="s">
        <v>2</v>
      </c>
      <c r="E299" s="2" t="s">
        <v>3</v>
      </c>
      <c r="F299" s="2" t="s">
        <v>879</v>
      </c>
      <c r="G299" s="2" t="s">
        <v>4</v>
      </c>
      <c r="J299" s="2" t="s">
        <v>7</v>
      </c>
    </row>
    <row r="300" ht="12.75" customHeight="1">
      <c r="A300" s="2">
        <f>$M$1</f>
        <v>2015</v>
      </c>
      <c r="B300" s="2">
        <v>5.0</v>
      </c>
      <c r="J300" s="2" t="s">
        <v>133</v>
      </c>
    </row>
    <row r="301" ht="12.75" customHeight="1">
      <c r="A301" s="2" t="s">
        <v>0</v>
      </c>
      <c r="B301" s="2" t="s">
        <v>1</v>
      </c>
      <c r="D301" s="2" t="s">
        <v>2</v>
      </c>
      <c r="E301" s="2" t="s">
        <v>3</v>
      </c>
      <c r="F301" s="2" t="s">
        <v>879</v>
      </c>
      <c r="G301" s="2" t="s">
        <v>4</v>
      </c>
      <c r="J301" s="2" t="s">
        <v>7</v>
      </c>
    </row>
    <row r="302" ht="12.75" customHeight="1">
      <c r="A302" s="2">
        <f>$M$1</f>
        <v>2015</v>
      </c>
      <c r="B302" s="2">
        <v>5.0</v>
      </c>
      <c r="J302" s="2" t="s">
        <v>803</v>
      </c>
    </row>
    <row r="303" ht="12.75" customHeight="1">
      <c r="A303" s="2" t="s">
        <v>0</v>
      </c>
      <c r="B303" s="2" t="s">
        <v>1</v>
      </c>
      <c r="D303" s="2" t="s">
        <v>2</v>
      </c>
      <c r="E303" s="2" t="s">
        <v>3</v>
      </c>
      <c r="F303" s="2" t="s">
        <v>879</v>
      </c>
      <c r="G303" s="2" t="s">
        <v>4</v>
      </c>
      <c r="J303" s="2" t="s">
        <v>7</v>
      </c>
    </row>
    <row r="304" ht="12.75" customHeight="1">
      <c r="A304" s="2">
        <f>$M$1</f>
        <v>2015</v>
      </c>
      <c r="B304" s="2">
        <v>5.0</v>
      </c>
      <c r="J304" s="2" t="s">
        <v>164</v>
      </c>
    </row>
    <row r="305" ht="12.75" customHeight="1">
      <c r="A305" s="2" t="s">
        <v>0</v>
      </c>
      <c r="B305" s="2" t="s">
        <v>1</v>
      </c>
      <c r="D305" s="2" t="s">
        <v>2</v>
      </c>
      <c r="E305" s="2" t="s">
        <v>3</v>
      </c>
      <c r="F305" s="2" t="s">
        <v>879</v>
      </c>
      <c r="G305" s="2" t="s">
        <v>4</v>
      </c>
      <c r="J305" s="2" t="s">
        <v>7</v>
      </c>
    </row>
    <row r="306" ht="12.75" customHeight="1">
      <c r="A306" s="2">
        <f>$M$1</f>
        <v>2015</v>
      </c>
      <c r="B306" s="2">
        <v>5.0</v>
      </c>
      <c r="J306" s="2" t="s">
        <v>50</v>
      </c>
    </row>
    <row r="307" ht="12.75" customHeight="1">
      <c r="A307" s="2" t="s">
        <v>0</v>
      </c>
      <c r="B307" s="2" t="s">
        <v>1</v>
      </c>
      <c r="D307" s="2" t="s">
        <v>2</v>
      </c>
      <c r="E307" s="2" t="s">
        <v>3</v>
      </c>
      <c r="F307" s="2" t="s">
        <v>879</v>
      </c>
      <c r="G307" s="2" t="s">
        <v>4</v>
      </c>
      <c r="J307" s="2" t="s">
        <v>7</v>
      </c>
    </row>
    <row r="308" ht="12.75" customHeight="1">
      <c r="A308" s="2">
        <f>$M$1</f>
        <v>2015</v>
      </c>
      <c r="B308" s="2">
        <v>5.0</v>
      </c>
      <c r="J308" s="2" t="s">
        <v>304</v>
      </c>
    </row>
    <row r="309" ht="12.75" customHeight="1">
      <c r="A309" s="2" t="s">
        <v>0</v>
      </c>
      <c r="B309" s="2" t="s">
        <v>1</v>
      </c>
      <c r="D309" s="2" t="s">
        <v>2</v>
      </c>
      <c r="E309" s="2" t="s">
        <v>3</v>
      </c>
      <c r="F309" s="2" t="s">
        <v>879</v>
      </c>
      <c r="G309" s="2" t="s">
        <v>4</v>
      </c>
      <c r="J309" s="2" t="s">
        <v>7</v>
      </c>
    </row>
    <row r="310" ht="12.75" customHeight="1">
      <c r="A310" s="2">
        <f>$M$1</f>
        <v>2015</v>
      </c>
      <c r="B310" s="2">
        <v>5.0</v>
      </c>
      <c r="J310" s="2" t="s">
        <v>72</v>
      </c>
    </row>
    <row r="311" ht="12.75" customHeight="1">
      <c r="A311" s="2" t="s">
        <v>0</v>
      </c>
      <c r="B311" s="2" t="s">
        <v>1</v>
      </c>
      <c r="D311" s="2" t="s">
        <v>2</v>
      </c>
      <c r="E311" s="2" t="s">
        <v>3</v>
      </c>
      <c r="F311" s="2" t="s">
        <v>879</v>
      </c>
      <c r="G311" s="2" t="s">
        <v>4</v>
      </c>
      <c r="J311" s="2" t="s">
        <v>7</v>
      </c>
    </row>
    <row r="312" ht="12.75" customHeight="1">
      <c r="A312" s="2">
        <f>$M$1</f>
        <v>2015</v>
      </c>
      <c r="B312" s="2">
        <v>5.0</v>
      </c>
      <c r="J312" s="2" t="s">
        <v>13</v>
      </c>
    </row>
    <row r="313" ht="12.75" customHeight="1">
      <c r="A313" s="2" t="s">
        <v>0</v>
      </c>
      <c r="B313" s="2" t="s">
        <v>1</v>
      </c>
      <c r="D313" s="2" t="s">
        <v>2</v>
      </c>
      <c r="E313" s="2" t="s">
        <v>3</v>
      </c>
      <c r="F313" s="2" t="s">
        <v>879</v>
      </c>
      <c r="G313" s="2" t="s">
        <v>4</v>
      </c>
      <c r="J313" s="2" t="s">
        <v>7</v>
      </c>
    </row>
    <row r="314" ht="12.75" customHeight="1">
      <c r="A314" s="2">
        <f>$M$1</f>
        <v>2015</v>
      </c>
      <c r="B314" s="2">
        <v>5.0</v>
      </c>
      <c r="J314" s="2" t="s">
        <v>18</v>
      </c>
    </row>
    <row r="315" ht="12.75" customHeight="1">
      <c r="A315" s="2" t="s">
        <v>0</v>
      </c>
      <c r="B315" s="2" t="s">
        <v>1</v>
      </c>
      <c r="D315" s="2" t="s">
        <v>2</v>
      </c>
      <c r="E315" s="2" t="s">
        <v>3</v>
      </c>
      <c r="F315" s="2" t="s">
        <v>879</v>
      </c>
      <c r="G315" s="2" t="s">
        <v>4</v>
      </c>
      <c r="J315" s="2" t="s">
        <v>7</v>
      </c>
    </row>
    <row r="316" ht="12.75" customHeight="1">
      <c r="A316" s="2">
        <f>$M$1</f>
        <v>2015</v>
      </c>
      <c r="B316" s="2">
        <v>5.0</v>
      </c>
      <c r="J316" s="2" t="s">
        <v>153</v>
      </c>
    </row>
    <row r="317" ht="12.75" customHeight="1">
      <c r="A317" s="2" t="s">
        <v>0</v>
      </c>
      <c r="B317" s="2" t="s">
        <v>1</v>
      </c>
      <c r="D317" s="2" t="s">
        <v>2</v>
      </c>
      <c r="E317" s="2" t="s">
        <v>3</v>
      </c>
      <c r="F317" s="2" t="s">
        <v>879</v>
      </c>
      <c r="G317" s="2" t="s">
        <v>4</v>
      </c>
      <c r="J317" s="2" t="s">
        <v>7</v>
      </c>
    </row>
    <row r="318" ht="12.75" customHeight="1">
      <c r="A318" s="2">
        <f>$M$1</f>
        <v>2015</v>
      </c>
      <c r="B318" s="2">
        <v>5.0</v>
      </c>
      <c r="J318" s="2" t="s">
        <v>805</v>
      </c>
    </row>
    <row r="319" ht="12.75" customHeight="1">
      <c r="A319" s="2" t="s">
        <v>0</v>
      </c>
      <c r="B319" s="2" t="s">
        <v>1</v>
      </c>
      <c r="D319" s="2" t="s">
        <v>2</v>
      </c>
      <c r="E319" s="2" t="s">
        <v>3</v>
      </c>
      <c r="F319" s="2" t="s">
        <v>879</v>
      </c>
      <c r="G319" s="2" t="s">
        <v>4</v>
      </c>
      <c r="J319" s="2" t="s">
        <v>7</v>
      </c>
    </row>
    <row r="320" ht="12.75" customHeight="1">
      <c r="A320" s="2">
        <f>$M$1</f>
        <v>2015</v>
      </c>
      <c r="B320" s="2">
        <v>5.0</v>
      </c>
      <c r="J320" s="2" t="s">
        <v>31</v>
      </c>
    </row>
    <row r="321" ht="12.75" customHeight="1">
      <c r="A321" s="2" t="s">
        <v>0</v>
      </c>
      <c r="B321" s="2" t="s">
        <v>1</v>
      </c>
      <c r="D321" s="2" t="s">
        <v>2</v>
      </c>
      <c r="E321" s="2" t="s">
        <v>3</v>
      </c>
      <c r="F321" s="2" t="s">
        <v>879</v>
      </c>
      <c r="G321" s="2" t="s">
        <v>4</v>
      </c>
      <c r="J321" s="2" t="s">
        <v>7</v>
      </c>
    </row>
    <row r="322" ht="12.75" customHeight="1">
      <c r="A322" s="2">
        <f>$M$1</f>
        <v>2015</v>
      </c>
      <c r="B322" s="2">
        <v>5.0</v>
      </c>
      <c r="J322" s="2" t="s">
        <v>123</v>
      </c>
    </row>
    <row r="323" ht="12.75" customHeight="1">
      <c r="A323" s="2" t="s">
        <v>0</v>
      </c>
      <c r="B323" s="2" t="s">
        <v>1</v>
      </c>
      <c r="D323" s="2" t="s">
        <v>2</v>
      </c>
      <c r="E323" s="2" t="s">
        <v>3</v>
      </c>
      <c r="F323" s="2" t="s">
        <v>879</v>
      </c>
      <c r="G323" s="2" t="s">
        <v>4</v>
      </c>
      <c r="J323" s="2" t="s">
        <v>7</v>
      </c>
    </row>
    <row r="324" ht="12.75" customHeight="1">
      <c r="A324" s="2">
        <f>$M$1</f>
        <v>2015</v>
      </c>
      <c r="B324" s="2">
        <v>5.0</v>
      </c>
      <c r="J324" s="2" t="s">
        <v>35</v>
      </c>
    </row>
    <row r="325" ht="12.75" customHeight="1">
      <c r="A325" s="2" t="s">
        <v>0</v>
      </c>
      <c r="B325" s="2" t="s">
        <v>1</v>
      </c>
      <c r="D325" s="2" t="s">
        <v>2</v>
      </c>
      <c r="E325" s="2" t="s">
        <v>3</v>
      </c>
      <c r="F325" s="2" t="s">
        <v>879</v>
      </c>
      <c r="G325" s="2" t="s">
        <v>4</v>
      </c>
      <c r="J325" s="2" t="s">
        <v>7</v>
      </c>
    </row>
    <row r="326" ht="12.75" customHeight="1">
      <c r="A326" s="2">
        <f>$M$1</f>
        <v>2015</v>
      </c>
      <c r="B326" s="2">
        <v>5.0</v>
      </c>
      <c r="J326" s="2" t="s">
        <v>210</v>
      </c>
    </row>
    <row r="327" ht="12.75" customHeight="1">
      <c r="A327" s="2" t="s">
        <v>0</v>
      </c>
      <c r="B327" s="2" t="s">
        <v>1</v>
      </c>
      <c r="D327" s="2" t="s">
        <v>2</v>
      </c>
      <c r="E327" s="2" t="s">
        <v>3</v>
      </c>
      <c r="F327" s="2" t="s">
        <v>879</v>
      </c>
      <c r="G327" s="2" t="s">
        <v>4</v>
      </c>
      <c r="J327" s="2" t="s">
        <v>7</v>
      </c>
    </row>
    <row r="328" ht="12.75" customHeight="1">
      <c r="A328" s="2">
        <f>$M$1</f>
        <v>2015</v>
      </c>
      <c r="B328" s="2">
        <v>5.0</v>
      </c>
      <c r="J328" s="2" t="s">
        <v>808</v>
      </c>
    </row>
    <row r="329" ht="12.75" customHeight="1">
      <c r="A329" s="2" t="s">
        <v>0</v>
      </c>
      <c r="B329" s="2" t="s">
        <v>1</v>
      </c>
      <c r="D329" s="2" t="s">
        <v>2</v>
      </c>
      <c r="E329" s="2" t="s">
        <v>3</v>
      </c>
      <c r="F329" s="2" t="s">
        <v>879</v>
      </c>
      <c r="G329" s="2" t="s">
        <v>4</v>
      </c>
      <c r="J329" s="2" t="s">
        <v>7</v>
      </c>
    </row>
    <row r="330" ht="12.75" customHeight="1">
      <c r="A330" s="2">
        <f>$M$1</f>
        <v>2015</v>
      </c>
      <c r="B330" s="2">
        <v>5.0</v>
      </c>
      <c r="J330" s="2" t="s">
        <v>810</v>
      </c>
    </row>
    <row r="331" ht="12.75" customHeight="1">
      <c r="A331" s="2" t="s">
        <v>0</v>
      </c>
      <c r="B331" s="2" t="s">
        <v>1</v>
      </c>
      <c r="D331" s="2" t="s">
        <v>2</v>
      </c>
      <c r="E331" s="2" t="s">
        <v>3</v>
      </c>
      <c r="F331" s="2" t="s">
        <v>879</v>
      </c>
      <c r="G331" s="2" t="s">
        <v>4</v>
      </c>
      <c r="J331" s="2" t="s">
        <v>7</v>
      </c>
    </row>
    <row r="332" ht="12.75" customHeight="1">
      <c r="A332" s="2">
        <f>$M$1</f>
        <v>2015</v>
      </c>
      <c r="B332" s="2">
        <v>6.0</v>
      </c>
      <c r="J332" s="2" t="s">
        <v>10</v>
      </c>
    </row>
    <row r="333" ht="12.75" customHeight="1">
      <c r="A333" s="2" t="s">
        <v>0</v>
      </c>
      <c r="B333" s="2" t="s">
        <v>1</v>
      </c>
      <c r="D333" s="2" t="s">
        <v>2</v>
      </c>
      <c r="E333" s="2" t="s">
        <v>3</v>
      </c>
      <c r="F333" s="2" t="s">
        <v>879</v>
      </c>
      <c r="G333" s="2" t="s">
        <v>4</v>
      </c>
      <c r="J333" s="2" t="s">
        <v>7</v>
      </c>
    </row>
    <row r="334" ht="12.75" customHeight="1">
      <c r="A334" s="2">
        <f>$M$1</f>
        <v>2015</v>
      </c>
      <c r="B334" s="2">
        <v>6.0</v>
      </c>
      <c r="J334" s="2" t="s">
        <v>20</v>
      </c>
    </row>
    <row r="335" ht="12.75" customHeight="1">
      <c r="A335" s="2" t="s">
        <v>0</v>
      </c>
      <c r="B335" s="2" t="s">
        <v>1</v>
      </c>
      <c r="D335" s="2" t="s">
        <v>2</v>
      </c>
      <c r="E335" s="2" t="s">
        <v>3</v>
      </c>
      <c r="F335" s="2" t="s">
        <v>879</v>
      </c>
      <c r="G335" s="2" t="s">
        <v>4</v>
      </c>
      <c r="J335" s="2" t="s">
        <v>7</v>
      </c>
    </row>
    <row r="336" ht="12.75" customHeight="1">
      <c r="A336" s="2">
        <f>$M$1</f>
        <v>2015</v>
      </c>
      <c r="B336" s="2">
        <v>6.0</v>
      </c>
      <c r="J336" s="2" t="s">
        <v>17</v>
      </c>
    </row>
    <row r="337" ht="12.75" customHeight="1">
      <c r="A337" s="2" t="s">
        <v>0</v>
      </c>
      <c r="B337" s="2" t="s">
        <v>1</v>
      </c>
      <c r="D337" s="2" t="s">
        <v>2</v>
      </c>
      <c r="E337" s="2" t="s">
        <v>3</v>
      </c>
      <c r="F337" s="2" t="s">
        <v>879</v>
      </c>
      <c r="G337" s="2" t="s">
        <v>4</v>
      </c>
      <c r="J337" s="2" t="s">
        <v>7</v>
      </c>
    </row>
    <row r="338" ht="12.75" customHeight="1">
      <c r="A338" s="2">
        <f>$M$1</f>
        <v>2015</v>
      </c>
      <c r="B338" s="2">
        <v>6.0</v>
      </c>
      <c r="J338" s="2" t="s">
        <v>24</v>
      </c>
    </row>
    <row r="339" ht="12.75" customHeight="1">
      <c r="A339" s="2" t="s">
        <v>0</v>
      </c>
      <c r="B339" s="2" t="s">
        <v>1</v>
      </c>
      <c r="D339" s="2" t="s">
        <v>2</v>
      </c>
      <c r="E339" s="2" t="s">
        <v>3</v>
      </c>
      <c r="F339" s="2" t="s">
        <v>879</v>
      </c>
      <c r="G339" s="2" t="s">
        <v>4</v>
      </c>
      <c r="J339" s="2" t="s">
        <v>7</v>
      </c>
    </row>
    <row r="340" ht="12.75" customHeight="1">
      <c r="A340" s="2">
        <f>$M$1</f>
        <v>2015</v>
      </c>
      <c r="B340" s="2">
        <v>6.0</v>
      </c>
      <c r="J340" s="2" t="s">
        <v>651</v>
      </c>
    </row>
    <row r="341" ht="12.75" customHeight="1">
      <c r="A341" s="2" t="s">
        <v>0</v>
      </c>
      <c r="B341" s="2" t="s">
        <v>1</v>
      </c>
      <c r="D341" s="2" t="s">
        <v>2</v>
      </c>
      <c r="E341" s="2" t="s">
        <v>3</v>
      </c>
      <c r="F341" s="2" t="s">
        <v>879</v>
      </c>
      <c r="G341" s="2" t="s">
        <v>4</v>
      </c>
      <c r="J341" s="2" t="s">
        <v>7</v>
      </c>
    </row>
    <row r="342" ht="12.75" customHeight="1">
      <c r="A342" s="2">
        <f>$M$1</f>
        <v>2015</v>
      </c>
      <c r="B342" s="2">
        <v>6.0</v>
      </c>
      <c r="J342" s="2" t="s">
        <v>76</v>
      </c>
    </row>
    <row r="343" ht="12.75" customHeight="1">
      <c r="A343" s="2" t="s">
        <v>0</v>
      </c>
      <c r="B343" s="2" t="s">
        <v>1</v>
      </c>
      <c r="D343" s="2" t="s">
        <v>2</v>
      </c>
      <c r="E343" s="2" t="s">
        <v>3</v>
      </c>
      <c r="F343" s="2" t="s">
        <v>879</v>
      </c>
      <c r="G343" s="2" t="s">
        <v>4</v>
      </c>
      <c r="J343" s="2" t="s">
        <v>7</v>
      </c>
    </row>
    <row r="344" ht="12.75" customHeight="1">
      <c r="A344" s="2">
        <f>$M$1</f>
        <v>2015</v>
      </c>
      <c r="B344" s="2">
        <v>6.0</v>
      </c>
      <c r="J344" s="2" t="s">
        <v>26</v>
      </c>
    </row>
    <row r="345" ht="12.75" customHeight="1">
      <c r="A345" s="2" t="s">
        <v>0</v>
      </c>
      <c r="B345" s="2" t="s">
        <v>1</v>
      </c>
      <c r="D345" s="2" t="s">
        <v>2</v>
      </c>
      <c r="E345" s="2" t="s">
        <v>3</v>
      </c>
      <c r="F345" s="2" t="s">
        <v>879</v>
      </c>
      <c r="G345" s="2" t="s">
        <v>4</v>
      </c>
      <c r="J345" s="2" t="s">
        <v>7</v>
      </c>
    </row>
    <row r="346" ht="12.75" customHeight="1">
      <c r="A346" s="2">
        <f>$M$1</f>
        <v>2015</v>
      </c>
      <c r="B346" s="2">
        <v>6.0</v>
      </c>
      <c r="J346" s="2" t="s">
        <v>103</v>
      </c>
    </row>
    <row r="347" ht="12.75" customHeight="1">
      <c r="A347" s="2" t="s">
        <v>0</v>
      </c>
      <c r="B347" s="2" t="s">
        <v>1</v>
      </c>
      <c r="D347" s="2" t="s">
        <v>2</v>
      </c>
      <c r="E347" s="2" t="s">
        <v>3</v>
      </c>
      <c r="F347" s="2" t="s">
        <v>879</v>
      </c>
      <c r="G347" s="2" t="s">
        <v>4</v>
      </c>
      <c r="J347" s="2" t="s">
        <v>7</v>
      </c>
    </row>
    <row r="348" ht="12.75" customHeight="1">
      <c r="A348" s="2">
        <f>$M$1</f>
        <v>2015</v>
      </c>
      <c r="B348" s="2">
        <v>6.0</v>
      </c>
      <c r="J348" s="2" t="s">
        <v>22</v>
      </c>
    </row>
    <row r="349" ht="12.75" customHeight="1">
      <c r="A349" s="2" t="s">
        <v>0</v>
      </c>
      <c r="B349" s="2" t="s">
        <v>1</v>
      </c>
      <c r="D349" s="2" t="s">
        <v>2</v>
      </c>
      <c r="E349" s="2" t="s">
        <v>3</v>
      </c>
      <c r="F349" s="2" t="s">
        <v>879</v>
      </c>
      <c r="G349" s="2" t="s">
        <v>4</v>
      </c>
      <c r="J349" s="2" t="s">
        <v>7</v>
      </c>
    </row>
    <row r="350" ht="12.75" customHeight="1">
      <c r="A350" s="2">
        <f>$M$1</f>
        <v>2015</v>
      </c>
      <c r="B350" s="2">
        <v>6.0</v>
      </c>
      <c r="J350" s="2" t="s">
        <v>428</v>
      </c>
    </row>
    <row r="351" ht="12.75" customHeight="1">
      <c r="A351" s="2" t="s">
        <v>0</v>
      </c>
      <c r="B351" s="2" t="s">
        <v>1</v>
      </c>
      <c r="D351" s="2" t="s">
        <v>2</v>
      </c>
      <c r="E351" s="2" t="s">
        <v>3</v>
      </c>
      <c r="F351" s="2" t="s">
        <v>879</v>
      </c>
      <c r="G351" s="2" t="s">
        <v>4</v>
      </c>
      <c r="J351" s="2" t="s">
        <v>7</v>
      </c>
    </row>
    <row r="352" ht="12.75" customHeight="1">
      <c r="A352" s="2">
        <f>$M$1</f>
        <v>2015</v>
      </c>
      <c r="B352" s="2">
        <v>6.0</v>
      </c>
      <c r="J352" s="2" t="s">
        <v>800</v>
      </c>
    </row>
    <row r="353" ht="12.75" customHeight="1">
      <c r="A353" s="2" t="s">
        <v>0</v>
      </c>
      <c r="B353" s="2" t="s">
        <v>1</v>
      </c>
      <c r="D353" s="2" t="s">
        <v>2</v>
      </c>
      <c r="E353" s="2" t="s">
        <v>3</v>
      </c>
      <c r="F353" s="2" t="s">
        <v>879</v>
      </c>
      <c r="G353" s="2" t="s">
        <v>4</v>
      </c>
      <c r="J353" s="2" t="s">
        <v>7</v>
      </c>
    </row>
    <row r="354" ht="12.75" customHeight="1">
      <c r="A354" s="2">
        <f>$M$1</f>
        <v>2015</v>
      </c>
      <c r="B354" s="2">
        <v>6.0</v>
      </c>
      <c r="J354" s="2" t="s">
        <v>54</v>
      </c>
    </row>
    <row r="355" ht="12.75" customHeight="1">
      <c r="A355" s="2" t="s">
        <v>0</v>
      </c>
      <c r="B355" s="2" t="s">
        <v>1</v>
      </c>
      <c r="D355" s="2" t="s">
        <v>2</v>
      </c>
      <c r="E355" s="2" t="s">
        <v>3</v>
      </c>
      <c r="F355" s="2" t="s">
        <v>879</v>
      </c>
      <c r="G355" s="2" t="s">
        <v>4</v>
      </c>
      <c r="J355" s="2" t="s">
        <v>7</v>
      </c>
    </row>
    <row r="356" ht="12.75" customHeight="1">
      <c r="A356" s="2">
        <f>$M$1</f>
        <v>2015</v>
      </c>
      <c r="B356" s="2">
        <v>6.0</v>
      </c>
      <c r="J356" s="2" t="s">
        <v>801</v>
      </c>
    </row>
    <row r="357" ht="12.75" customHeight="1">
      <c r="A357" s="2" t="s">
        <v>0</v>
      </c>
      <c r="B357" s="2" t="s">
        <v>1</v>
      </c>
      <c r="D357" s="2" t="s">
        <v>2</v>
      </c>
      <c r="E357" s="2" t="s">
        <v>3</v>
      </c>
      <c r="F357" s="2" t="s">
        <v>879</v>
      </c>
      <c r="G357" s="2" t="s">
        <v>4</v>
      </c>
      <c r="J357" s="2" t="s">
        <v>7</v>
      </c>
    </row>
    <row r="358" ht="12.75" customHeight="1">
      <c r="A358" s="2">
        <f>$M$1</f>
        <v>2015</v>
      </c>
      <c r="B358" s="2">
        <v>6.0</v>
      </c>
      <c r="J358" s="2" t="s">
        <v>38</v>
      </c>
    </row>
    <row r="359" ht="12.75" customHeight="1">
      <c r="A359" s="2" t="s">
        <v>0</v>
      </c>
      <c r="B359" s="2" t="s">
        <v>1</v>
      </c>
      <c r="D359" s="2" t="s">
        <v>2</v>
      </c>
      <c r="E359" s="2" t="s">
        <v>3</v>
      </c>
      <c r="F359" s="2" t="s">
        <v>879</v>
      </c>
      <c r="G359" s="2" t="s">
        <v>4</v>
      </c>
      <c r="J359" s="2" t="s">
        <v>7</v>
      </c>
    </row>
    <row r="360" ht="12.75" customHeight="1">
      <c r="A360" s="2">
        <f>$M$1</f>
        <v>2015</v>
      </c>
      <c r="B360" s="2">
        <v>6.0</v>
      </c>
      <c r="J360" s="2" t="s">
        <v>47</v>
      </c>
    </row>
    <row r="361" ht="12.75" customHeight="1">
      <c r="A361" s="2" t="s">
        <v>0</v>
      </c>
      <c r="B361" s="2" t="s">
        <v>1</v>
      </c>
      <c r="D361" s="2" t="s">
        <v>2</v>
      </c>
      <c r="E361" s="2" t="s">
        <v>3</v>
      </c>
      <c r="F361" s="2" t="s">
        <v>879</v>
      </c>
      <c r="G361" s="2" t="s">
        <v>4</v>
      </c>
      <c r="J361" s="2" t="s">
        <v>7</v>
      </c>
    </row>
    <row r="362" ht="12.75" customHeight="1">
      <c r="A362" s="2">
        <f>$M$1</f>
        <v>2015</v>
      </c>
      <c r="B362" s="2">
        <v>6.0</v>
      </c>
      <c r="J362" s="2" t="s">
        <v>52</v>
      </c>
    </row>
    <row r="363" ht="12.75" customHeight="1">
      <c r="A363" s="2" t="s">
        <v>0</v>
      </c>
      <c r="B363" s="2" t="s">
        <v>1</v>
      </c>
      <c r="D363" s="2" t="s">
        <v>2</v>
      </c>
      <c r="E363" s="2" t="s">
        <v>3</v>
      </c>
      <c r="F363" s="2" t="s">
        <v>879</v>
      </c>
      <c r="G363" s="2" t="s">
        <v>4</v>
      </c>
      <c r="J363" s="2" t="s">
        <v>7</v>
      </c>
    </row>
    <row r="364" ht="12.75" customHeight="1">
      <c r="A364" s="2">
        <f>$M$1</f>
        <v>2015</v>
      </c>
      <c r="B364" s="2">
        <v>6.0</v>
      </c>
      <c r="J364" s="2" t="s">
        <v>42</v>
      </c>
    </row>
    <row r="365" ht="12.75" customHeight="1">
      <c r="A365" s="2" t="s">
        <v>0</v>
      </c>
      <c r="B365" s="2" t="s">
        <v>1</v>
      </c>
      <c r="D365" s="2" t="s">
        <v>2</v>
      </c>
      <c r="E365" s="2" t="s">
        <v>3</v>
      </c>
      <c r="F365" s="2" t="s">
        <v>879</v>
      </c>
      <c r="G365" s="2" t="s">
        <v>4</v>
      </c>
      <c r="J365" s="2" t="s">
        <v>7</v>
      </c>
    </row>
    <row r="366" ht="12.75" customHeight="1">
      <c r="A366" s="2">
        <f>$M$1</f>
        <v>2015</v>
      </c>
      <c r="B366" s="2">
        <v>6.0</v>
      </c>
      <c r="J366" s="2" t="s">
        <v>133</v>
      </c>
    </row>
    <row r="367" ht="12.75" customHeight="1">
      <c r="A367" s="2" t="s">
        <v>0</v>
      </c>
      <c r="B367" s="2" t="s">
        <v>1</v>
      </c>
      <c r="D367" s="2" t="s">
        <v>2</v>
      </c>
      <c r="E367" s="2" t="s">
        <v>3</v>
      </c>
      <c r="F367" s="2" t="s">
        <v>879</v>
      </c>
      <c r="G367" s="2" t="s">
        <v>4</v>
      </c>
      <c r="J367" s="2" t="s">
        <v>7</v>
      </c>
    </row>
    <row r="368" ht="12.75" customHeight="1">
      <c r="A368" s="2">
        <f>$M$1</f>
        <v>2015</v>
      </c>
      <c r="B368" s="2">
        <v>6.0</v>
      </c>
      <c r="J368" s="2" t="s">
        <v>803</v>
      </c>
    </row>
    <row r="369" ht="12.75" customHeight="1">
      <c r="A369" s="2" t="s">
        <v>0</v>
      </c>
      <c r="B369" s="2" t="s">
        <v>1</v>
      </c>
      <c r="D369" s="2" t="s">
        <v>2</v>
      </c>
      <c r="E369" s="2" t="s">
        <v>3</v>
      </c>
      <c r="F369" s="2" t="s">
        <v>879</v>
      </c>
      <c r="G369" s="2" t="s">
        <v>4</v>
      </c>
      <c r="J369" s="2" t="s">
        <v>7</v>
      </c>
    </row>
    <row r="370" ht="12.75" customHeight="1">
      <c r="A370" s="2">
        <f>$M$1</f>
        <v>2015</v>
      </c>
      <c r="B370" s="2">
        <v>6.0</v>
      </c>
      <c r="J370" s="2" t="s">
        <v>164</v>
      </c>
    </row>
    <row r="371" ht="12.75" customHeight="1">
      <c r="A371" s="2" t="s">
        <v>0</v>
      </c>
      <c r="B371" s="2" t="s">
        <v>1</v>
      </c>
      <c r="D371" s="2" t="s">
        <v>2</v>
      </c>
      <c r="E371" s="2" t="s">
        <v>3</v>
      </c>
      <c r="F371" s="2" t="s">
        <v>879</v>
      </c>
      <c r="G371" s="2" t="s">
        <v>4</v>
      </c>
      <c r="J371" s="2" t="s">
        <v>7</v>
      </c>
    </row>
    <row r="372" ht="12.75" customHeight="1">
      <c r="A372" s="2">
        <f>$M$1</f>
        <v>2015</v>
      </c>
      <c r="B372" s="2">
        <v>6.0</v>
      </c>
      <c r="J372" s="2" t="s">
        <v>50</v>
      </c>
    </row>
    <row r="373" ht="12.75" customHeight="1">
      <c r="A373" s="2" t="s">
        <v>0</v>
      </c>
      <c r="B373" s="2" t="s">
        <v>1</v>
      </c>
      <c r="D373" s="2" t="s">
        <v>2</v>
      </c>
      <c r="E373" s="2" t="s">
        <v>3</v>
      </c>
      <c r="F373" s="2" t="s">
        <v>879</v>
      </c>
      <c r="G373" s="2" t="s">
        <v>4</v>
      </c>
      <c r="J373" s="2" t="s">
        <v>7</v>
      </c>
    </row>
    <row r="374" ht="12.75" customHeight="1">
      <c r="A374" s="2">
        <f>$M$1</f>
        <v>2015</v>
      </c>
      <c r="B374" s="2">
        <v>6.0</v>
      </c>
      <c r="J374" s="2" t="s">
        <v>304</v>
      </c>
    </row>
    <row r="375" ht="12.75" customHeight="1">
      <c r="A375" s="2" t="s">
        <v>0</v>
      </c>
      <c r="B375" s="2" t="s">
        <v>1</v>
      </c>
      <c r="D375" s="2" t="s">
        <v>2</v>
      </c>
      <c r="E375" s="2" t="s">
        <v>3</v>
      </c>
      <c r="F375" s="2" t="s">
        <v>879</v>
      </c>
      <c r="G375" s="2" t="s">
        <v>4</v>
      </c>
      <c r="J375" s="2" t="s">
        <v>7</v>
      </c>
    </row>
    <row r="376" ht="12.75" customHeight="1">
      <c r="A376" s="2">
        <f>$M$1</f>
        <v>2015</v>
      </c>
      <c r="B376" s="2">
        <v>6.0</v>
      </c>
      <c r="J376" s="2" t="s">
        <v>72</v>
      </c>
    </row>
    <row r="377" ht="12.75" customHeight="1">
      <c r="A377" s="2" t="s">
        <v>0</v>
      </c>
      <c r="B377" s="2" t="s">
        <v>1</v>
      </c>
      <c r="D377" s="2" t="s">
        <v>2</v>
      </c>
      <c r="E377" s="2" t="s">
        <v>3</v>
      </c>
      <c r="F377" s="2" t="s">
        <v>879</v>
      </c>
      <c r="G377" s="2" t="s">
        <v>4</v>
      </c>
      <c r="J377" s="2" t="s">
        <v>7</v>
      </c>
    </row>
    <row r="378" ht="12.75" customHeight="1">
      <c r="A378" s="2">
        <f>$M$1</f>
        <v>2015</v>
      </c>
      <c r="B378" s="2">
        <v>6.0</v>
      </c>
      <c r="J378" s="2" t="s">
        <v>13</v>
      </c>
    </row>
    <row r="379" ht="12.75" customHeight="1">
      <c r="A379" s="2" t="s">
        <v>0</v>
      </c>
      <c r="B379" s="2" t="s">
        <v>1</v>
      </c>
      <c r="D379" s="2" t="s">
        <v>2</v>
      </c>
      <c r="E379" s="2" t="s">
        <v>3</v>
      </c>
      <c r="F379" s="2" t="s">
        <v>879</v>
      </c>
      <c r="G379" s="2" t="s">
        <v>4</v>
      </c>
      <c r="J379" s="2" t="s">
        <v>7</v>
      </c>
    </row>
    <row r="380" ht="12.75" customHeight="1">
      <c r="A380" s="2">
        <f>$M$1</f>
        <v>2015</v>
      </c>
      <c r="B380" s="2">
        <v>6.0</v>
      </c>
      <c r="J380" s="2" t="s">
        <v>18</v>
      </c>
    </row>
    <row r="381" ht="12.75" customHeight="1">
      <c r="A381" s="2" t="s">
        <v>0</v>
      </c>
      <c r="B381" s="2" t="s">
        <v>1</v>
      </c>
      <c r="D381" s="2" t="s">
        <v>2</v>
      </c>
      <c r="E381" s="2" t="s">
        <v>3</v>
      </c>
      <c r="F381" s="2" t="s">
        <v>879</v>
      </c>
      <c r="G381" s="2" t="s">
        <v>4</v>
      </c>
      <c r="J381" s="2" t="s">
        <v>7</v>
      </c>
    </row>
    <row r="382" ht="12.75" customHeight="1">
      <c r="A382" s="2">
        <f>$M$1</f>
        <v>2015</v>
      </c>
      <c r="B382" s="2">
        <v>6.0</v>
      </c>
      <c r="J382" s="2" t="s">
        <v>153</v>
      </c>
    </row>
    <row r="383" ht="12.75" customHeight="1">
      <c r="A383" s="2" t="s">
        <v>0</v>
      </c>
      <c r="B383" s="2" t="s">
        <v>1</v>
      </c>
      <c r="D383" s="2" t="s">
        <v>2</v>
      </c>
      <c r="E383" s="2" t="s">
        <v>3</v>
      </c>
      <c r="F383" s="2" t="s">
        <v>879</v>
      </c>
      <c r="G383" s="2" t="s">
        <v>4</v>
      </c>
      <c r="J383" s="2" t="s">
        <v>7</v>
      </c>
    </row>
    <row r="384" ht="12.75" customHeight="1">
      <c r="A384" s="2">
        <f>$M$1</f>
        <v>2015</v>
      </c>
      <c r="B384" s="2">
        <v>6.0</v>
      </c>
      <c r="J384" s="2" t="s">
        <v>805</v>
      </c>
    </row>
    <row r="385" ht="12.75" customHeight="1">
      <c r="A385" s="2" t="s">
        <v>0</v>
      </c>
      <c r="B385" s="2" t="s">
        <v>1</v>
      </c>
      <c r="D385" s="2" t="s">
        <v>2</v>
      </c>
      <c r="E385" s="2" t="s">
        <v>3</v>
      </c>
      <c r="F385" s="2" t="s">
        <v>879</v>
      </c>
      <c r="G385" s="2" t="s">
        <v>4</v>
      </c>
      <c r="J385" s="2" t="s">
        <v>7</v>
      </c>
    </row>
    <row r="386" ht="12.75" customHeight="1">
      <c r="A386" s="2">
        <f>$M$1</f>
        <v>2015</v>
      </c>
      <c r="B386" s="2">
        <v>6.0</v>
      </c>
      <c r="J386" s="2" t="s">
        <v>31</v>
      </c>
    </row>
    <row r="387" ht="12.75" customHeight="1">
      <c r="A387" s="2" t="s">
        <v>0</v>
      </c>
      <c r="B387" s="2" t="s">
        <v>1</v>
      </c>
      <c r="D387" s="2" t="s">
        <v>2</v>
      </c>
      <c r="E387" s="2" t="s">
        <v>3</v>
      </c>
      <c r="F387" s="2" t="s">
        <v>879</v>
      </c>
      <c r="G387" s="2" t="s">
        <v>4</v>
      </c>
      <c r="J387" s="2" t="s">
        <v>7</v>
      </c>
    </row>
    <row r="388" ht="12.75" customHeight="1">
      <c r="A388" s="2">
        <f>$M$1</f>
        <v>2015</v>
      </c>
      <c r="B388" s="2">
        <v>6.0</v>
      </c>
      <c r="J388" s="2" t="s">
        <v>123</v>
      </c>
    </row>
    <row r="389" ht="12.75" customHeight="1">
      <c r="A389" s="2" t="s">
        <v>0</v>
      </c>
      <c r="B389" s="2" t="s">
        <v>1</v>
      </c>
      <c r="D389" s="2" t="s">
        <v>2</v>
      </c>
      <c r="E389" s="2" t="s">
        <v>3</v>
      </c>
      <c r="F389" s="2" t="s">
        <v>879</v>
      </c>
      <c r="G389" s="2" t="s">
        <v>4</v>
      </c>
      <c r="J389" s="2" t="s">
        <v>7</v>
      </c>
    </row>
    <row r="390" ht="12.75" customHeight="1">
      <c r="A390" s="2">
        <f>$M$1</f>
        <v>2015</v>
      </c>
      <c r="B390" s="2">
        <v>6.0</v>
      </c>
      <c r="J390" s="2" t="s">
        <v>35</v>
      </c>
    </row>
    <row r="391" ht="12.75" customHeight="1">
      <c r="A391" s="2" t="s">
        <v>0</v>
      </c>
      <c r="B391" s="2" t="s">
        <v>1</v>
      </c>
      <c r="D391" s="2" t="s">
        <v>2</v>
      </c>
      <c r="E391" s="2" t="s">
        <v>3</v>
      </c>
      <c r="F391" s="2" t="s">
        <v>879</v>
      </c>
      <c r="G391" s="2" t="s">
        <v>4</v>
      </c>
      <c r="J391" s="2" t="s">
        <v>7</v>
      </c>
    </row>
    <row r="392" ht="12.75" customHeight="1">
      <c r="A392" s="2">
        <f>$M$1</f>
        <v>2015</v>
      </c>
      <c r="B392" s="2">
        <v>6.0</v>
      </c>
      <c r="J392" s="2" t="s">
        <v>210</v>
      </c>
    </row>
    <row r="393" ht="12.75" customHeight="1">
      <c r="A393" s="2" t="s">
        <v>0</v>
      </c>
      <c r="B393" s="2" t="s">
        <v>1</v>
      </c>
      <c r="D393" s="2" t="s">
        <v>2</v>
      </c>
      <c r="E393" s="2" t="s">
        <v>3</v>
      </c>
      <c r="F393" s="2" t="s">
        <v>879</v>
      </c>
      <c r="G393" s="2" t="s">
        <v>4</v>
      </c>
      <c r="J393" s="2" t="s">
        <v>7</v>
      </c>
    </row>
    <row r="394" ht="12.75" customHeight="1">
      <c r="A394" s="2">
        <f>$M$1</f>
        <v>2015</v>
      </c>
      <c r="B394" s="2">
        <v>6.0</v>
      </c>
      <c r="J394" s="2" t="s">
        <v>808</v>
      </c>
    </row>
    <row r="395" ht="12.75" customHeight="1">
      <c r="A395" s="2" t="s">
        <v>0</v>
      </c>
      <c r="B395" s="2" t="s">
        <v>1</v>
      </c>
      <c r="D395" s="2" t="s">
        <v>2</v>
      </c>
      <c r="E395" s="2" t="s">
        <v>3</v>
      </c>
      <c r="F395" s="2" t="s">
        <v>879</v>
      </c>
      <c r="G395" s="2" t="s">
        <v>4</v>
      </c>
      <c r="J395" s="2" t="s">
        <v>7</v>
      </c>
    </row>
    <row r="396" ht="12.75" customHeight="1">
      <c r="A396" s="2">
        <f>$M$1</f>
        <v>2015</v>
      </c>
      <c r="B396" s="2">
        <v>6.0</v>
      </c>
      <c r="J396" s="2" t="s">
        <v>810</v>
      </c>
    </row>
    <row r="397" ht="12.75" customHeight="1">
      <c r="A397" s="2" t="s">
        <v>0</v>
      </c>
      <c r="B397" s="2" t="s">
        <v>1</v>
      </c>
      <c r="D397" s="2" t="s">
        <v>2</v>
      </c>
      <c r="E397" s="2" t="s">
        <v>3</v>
      </c>
      <c r="F397" s="2" t="s">
        <v>879</v>
      </c>
      <c r="G397" s="2" t="s">
        <v>4</v>
      </c>
      <c r="J397" s="2" t="s">
        <v>7</v>
      </c>
    </row>
    <row r="398" ht="12.75" customHeight="1">
      <c r="A398" s="2">
        <f>$M$1</f>
        <v>2015</v>
      </c>
      <c r="B398" s="2">
        <v>7.0</v>
      </c>
      <c r="J398" s="2" t="s">
        <v>10</v>
      </c>
    </row>
    <row r="399" ht="12.75" customHeight="1">
      <c r="A399" s="2" t="s">
        <v>0</v>
      </c>
      <c r="B399" s="2" t="s">
        <v>1</v>
      </c>
      <c r="D399" s="2" t="s">
        <v>2</v>
      </c>
      <c r="E399" s="2" t="s">
        <v>3</v>
      </c>
      <c r="F399" s="2" t="s">
        <v>879</v>
      </c>
      <c r="G399" s="2" t="s">
        <v>4</v>
      </c>
      <c r="J399" s="2" t="s">
        <v>7</v>
      </c>
    </row>
    <row r="400" ht="12.75" customHeight="1">
      <c r="A400" s="2">
        <f>$M$1</f>
        <v>2015</v>
      </c>
      <c r="B400" s="2">
        <v>7.0</v>
      </c>
      <c r="J400" s="2" t="s">
        <v>20</v>
      </c>
    </row>
    <row r="401" ht="12.75" customHeight="1">
      <c r="A401" s="2" t="s">
        <v>0</v>
      </c>
      <c r="B401" s="2" t="s">
        <v>1</v>
      </c>
      <c r="D401" s="2" t="s">
        <v>2</v>
      </c>
      <c r="E401" s="2" t="s">
        <v>3</v>
      </c>
      <c r="F401" s="2" t="s">
        <v>879</v>
      </c>
      <c r="G401" s="2" t="s">
        <v>4</v>
      </c>
      <c r="J401" s="2" t="s">
        <v>7</v>
      </c>
    </row>
    <row r="402" ht="12.75" customHeight="1">
      <c r="A402" s="2">
        <f>$M$1</f>
        <v>2015</v>
      </c>
      <c r="B402" s="2">
        <v>7.0</v>
      </c>
      <c r="J402" s="2" t="s">
        <v>17</v>
      </c>
    </row>
    <row r="403" ht="12.75" customHeight="1">
      <c r="A403" s="2" t="s">
        <v>0</v>
      </c>
      <c r="B403" s="2" t="s">
        <v>1</v>
      </c>
      <c r="D403" s="2" t="s">
        <v>2</v>
      </c>
      <c r="E403" s="2" t="s">
        <v>3</v>
      </c>
      <c r="F403" s="2" t="s">
        <v>879</v>
      </c>
      <c r="G403" s="2" t="s">
        <v>4</v>
      </c>
      <c r="J403" s="2" t="s">
        <v>7</v>
      </c>
    </row>
    <row r="404" ht="12.75" customHeight="1">
      <c r="A404" s="2">
        <f>$M$1</f>
        <v>2015</v>
      </c>
      <c r="B404" s="2">
        <v>7.0</v>
      </c>
      <c r="J404" s="2" t="s">
        <v>24</v>
      </c>
    </row>
    <row r="405" ht="12.75" customHeight="1">
      <c r="A405" s="2" t="s">
        <v>0</v>
      </c>
      <c r="B405" s="2" t="s">
        <v>1</v>
      </c>
      <c r="D405" s="2" t="s">
        <v>2</v>
      </c>
      <c r="E405" s="2" t="s">
        <v>3</v>
      </c>
      <c r="F405" s="2" t="s">
        <v>879</v>
      </c>
      <c r="G405" s="2" t="s">
        <v>4</v>
      </c>
      <c r="J405" s="2" t="s">
        <v>7</v>
      </c>
    </row>
    <row r="406" ht="12.75" customHeight="1">
      <c r="A406" s="2">
        <f>$M$1</f>
        <v>2015</v>
      </c>
      <c r="B406" s="2">
        <v>7.0</v>
      </c>
      <c r="J406" s="2" t="s">
        <v>651</v>
      </c>
    </row>
    <row r="407" ht="12.75" customHeight="1">
      <c r="A407" s="2" t="s">
        <v>0</v>
      </c>
      <c r="B407" s="2" t="s">
        <v>1</v>
      </c>
      <c r="D407" s="2" t="s">
        <v>2</v>
      </c>
      <c r="E407" s="2" t="s">
        <v>3</v>
      </c>
      <c r="F407" s="2" t="s">
        <v>879</v>
      </c>
      <c r="G407" s="2" t="s">
        <v>4</v>
      </c>
      <c r="J407" s="2" t="s">
        <v>7</v>
      </c>
    </row>
    <row r="408" ht="12.75" customHeight="1">
      <c r="A408" s="2">
        <f>$M$1</f>
        <v>2015</v>
      </c>
      <c r="B408" s="2">
        <v>7.0</v>
      </c>
      <c r="J408" s="2" t="s">
        <v>76</v>
      </c>
    </row>
    <row r="409" ht="12.75" customHeight="1">
      <c r="A409" s="2" t="s">
        <v>0</v>
      </c>
      <c r="B409" s="2" t="s">
        <v>1</v>
      </c>
      <c r="D409" s="2" t="s">
        <v>2</v>
      </c>
      <c r="E409" s="2" t="s">
        <v>3</v>
      </c>
      <c r="F409" s="2" t="s">
        <v>879</v>
      </c>
      <c r="G409" s="2" t="s">
        <v>4</v>
      </c>
      <c r="J409" s="2" t="s">
        <v>7</v>
      </c>
    </row>
    <row r="410" ht="12.75" customHeight="1">
      <c r="A410" s="2">
        <f>$M$1</f>
        <v>2015</v>
      </c>
      <c r="B410" s="2">
        <v>7.0</v>
      </c>
      <c r="J410" s="2" t="s">
        <v>26</v>
      </c>
    </row>
    <row r="411" ht="12.75" customHeight="1">
      <c r="A411" s="2" t="s">
        <v>0</v>
      </c>
      <c r="B411" s="2" t="s">
        <v>1</v>
      </c>
      <c r="D411" s="2" t="s">
        <v>2</v>
      </c>
      <c r="E411" s="2" t="s">
        <v>3</v>
      </c>
      <c r="F411" s="2" t="s">
        <v>879</v>
      </c>
      <c r="G411" s="2" t="s">
        <v>4</v>
      </c>
      <c r="J411" s="2" t="s">
        <v>7</v>
      </c>
    </row>
    <row r="412" ht="12.75" customHeight="1">
      <c r="A412" s="2">
        <f>$M$1</f>
        <v>2015</v>
      </c>
      <c r="B412" s="2">
        <v>7.0</v>
      </c>
      <c r="J412" s="2" t="s">
        <v>103</v>
      </c>
    </row>
    <row r="413" ht="12.75" customHeight="1">
      <c r="A413" s="2" t="s">
        <v>0</v>
      </c>
      <c r="B413" s="2" t="s">
        <v>1</v>
      </c>
      <c r="D413" s="2" t="s">
        <v>2</v>
      </c>
      <c r="E413" s="2" t="s">
        <v>3</v>
      </c>
      <c r="F413" s="2" t="s">
        <v>879</v>
      </c>
      <c r="G413" s="2" t="s">
        <v>4</v>
      </c>
      <c r="J413" s="2" t="s">
        <v>7</v>
      </c>
    </row>
    <row r="414" ht="12.75" customHeight="1">
      <c r="A414" s="2">
        <f>$M$1</f>
        <v>2015</v>
      </c>
      <c r="B414" s="2">
        <v>7.0</v>
      </c>
      <c r="J414" s="2" t="s">
        <v>22</v>
      </c>
    </row>
    <row r="415" ht="12.75" customHeight="1">
      <c r="A415" s="2" t="s">
        <v>0</v>
      </c>
      <c r="B415" s="2" t="s">
        <v>1</v>
      </c>
      <c r="D415" s="2" t="s">
        <v>2</v>
      </c>
      <c r="E415" s="2" t="s">
        <v>3</v>
      </c>
      <c r="F415" s="2" t="s">
        <v>879</v>
      </c>
      <c r="G415" s="2" t="s">
        <v>4</v>
      </c>
      <c r="J415" s="2" t="s">
        <v>7</v>
      </c>
    </row>
    <row r="416" ht="12.75" customHeight="1">
      <c r="A416" s="2">
        <f>$M$1</f>
        <v>2015</v>
      </c>
      <c r="B416" s="2">
        <v>7.0</v>
      </c>
      <c r="J416" s="2" t="s">
        <v>428</v>
      </c>
    </row>
    <row r="417" ht="12.75" customHeight="1">
      <c r="A417" s="2" t="s">
        <v>0</v>
      </c>
      <c r="B417" s="2" t="s">
        <v>1</v>
      </c>
      <c r="D417" s="2" t="s">
        <v>2</v>
      </c>
      <c r="E417" s="2" t="s">
        <v>3</v>
      </c>
      <c r="F417" s="2" t="s">
        <v>879</v>
      </c>
      <c r="G417" s="2" t="s">
        <v>4</v>
      </c>
      <c r="J417" s="2" t="s">
        <v>7</v>
      </c>
    </row>
    <row r="418" ht="12.75" customHeight="1">
      <c r="A418" s="2">
        <f>$M$1</f>
        <v>2015</v>
      </c>
      <c r="B418" s="2">
        <v>7.0</v>
      </c>
      <c r="J418" s="2" t="s">
        <v>800</v>
      </c>
    </row>
    <row r="419" ht="12.75" customHeight="1">
      <c r="A419" s="2" t="s">
        <v>0</v>
      </c>
      <c r="B419" s="2" t="s">
        <v>1</v>
      </c>
      <c r="D419" s="2" t="s">
        <v>2</v>
      </c>
      <c r="E419" s="2" t="s">
        <v>3</v>
      </c>
      <c r="F419" s="2" t="s">
        <v>879</v>
      </c>
      <c r="G419" s="2" t="s">
        <v>4</v>
      </c>
      <c r="J419" s="2" t="s">
        <v>7</v>
      </c>
    </row>
    <row r="420" ht="12.75" customHeight="1">
      <c r="A420" s="2">
        <f>$M$1</f>
        <v>2015</v>
      </c>
      <c r="B420" s="2">
        <v>7.0</v>
      </c>
      <c r="J420" s="2" t="s">
        <v>54</v>
      </c>
    </row>
    <row r="421" ht="12.75" customHeight="1">
      <c r="A421" s="2" t="s">
        <v>0</v>
      </c>
      <c r="B421" s="2" t="s">
        <v>1</v>
      </c>
      <c r="D421" s="2" t="s">
        <v>2</v>
      </c>
      <c r="E421" s="2" t="s">
        <v>3</v>
      </c>
      <c r="F421" s="2" t="s">
        <v>879</v>
      </c>
      <c r="G421" s="2" t="s">
        <v>4</v>
      </c>
      <c r="J421" s="2" t="s">
        <v>7</v>
      </c>
    </row>
    <row r="422" ht="12.75" customHeight="1">
      <c r="A422" s="2">
        <f>$M$1</f>
        <v>2015</v>
      </c>
      <c r="B422" s="2">
        <v>7.0</v>
      </c>
      <c r="J422" s="2" t="s">
        <v>801</v>
      </c>
    </row>
    <row r="423" ht="12.75" customHeight="1">
      <c r="A423" s="2" t="s">
        <v>0</v>
      </c>
      <c r="B423" s="2" t="s">
        <v>1</v>
      </c>
      <c r="D423" s="2" t="s">
        <v>2</v>
      </c>
      <c r="E423" s="2" t="s">
        <v>3</v>
      </c>
      <c r="F423" s="2" t="s">
        <v>879</v>
      </c>
      <c r="G423" s="2" t="s">
        <v>4</v>
      </c>
      <c r="J423" s="2" t="s">
        <v>7</v>
      </c>
    </row>
    <row r="424" ht="12.75" customHeight="1">
      <c r="A424" s="2">
        <f>$M$1</f>
        <v>2015</v>
      </c>
      <c r="B424" s="2">
        <v>7.0</v>
      </c>
      <c r="J424" s="2" t="s">
        <v>38</v>
      </c>
    </row>
    <row r="425" ht="12.75" customHeight="1">
      <c r="A425" s="2" t="s">
        <v>0</v>
      </c>
      <c r="B425" s="2" t="s">
        <v>1</v>
      </c>
      <c r="D425" s="2" t="s">
        <v>2</v>
      </c>
      <c r="E425" s="2" t="s">
        <v>3</v>
      </c>
      <c r="F425" s="2" t="s">
        <v>879</v>
      </c>
      <c r="G425" s="2" t="s">
        <v>4</v>
      </c>
      <c r="J425" s="2" t="s">
        <v>7</v>
      </c>
    </row>
    <row r="426" ht="12.75" customHeight="1">
      <c r="A426" s="2">
        <f>$M$1</f>
        <v>2015</v>
      </c>
      <c r="B426" s="2">
        <v>7.0</v>
      </c>
      <c r="J426" s="2" t="s">
        <v>47</v>
      </c>
    </row>
    <row r="427" ht="12.75" customHeight="1">
      <c r="A427" s="2" t="s">
        <v>0</v>
      </c>
      <c r="B427" s="2" t="s">
        <v>1</v>
      </c>
      <c r="D427" s="2" t="s">
        <v>2</v>
      </c>
      <c r="E427" s="2" t="s">
        <v>3</v>
      </c>
      <c r="F427" s="2" t="s">
        <v>879</v>
      </c>
      <c r="G427" s="2" t="s">
        <v>4</v>
      </c>
      <c r="J427" s="2" t="s">
        <v>7</v>
      </c>
    </row>
    <row r="428" ht="12.75" customHeight="1">
      <c r="A428" s="2">
        <f>$M$1</f>
        <v>2015</v>
      </c>
      <c r="B428" s="2">
        <v>7.0</v>
      </c>
      <c r="J428" s="2" t="s">
        <v>52</v>
      </c>
    </row>
    <row r="429" ht="12.75" customHeight="1">
      <c r="A429" s="2" t="s">
        <v>0</v>
      </c>
      <c r="B429" s="2" t="s">
        <v>1</v>
      </c>
      <c r="D429" s="2" t="s">
        <v>2</v>
      </c>
      <c r="E429" s="2" t="s">
        <v>3</v>
      </c>
      <c r="F429" s="2" t="s">
        <v>879</v>
      </c>
      <c r="G429" s="2" t="s">
        <v>4</v>
      </c>
      <c r="J429" s="2" t="s">
        <v>7</v>
      </c>
    </row>
    <row r="430" ht="12.75" customHeight="1">
      <c r="A430" s="2">
        <f>$M$1</f>
        <v>2015</v>
      </c>
      <c r="B430" s="2">
        <v>7.0</v>
      </c>
      <c r="J430" s="2" t="s">
        <v>42</v>
      </c>
    </row>
    <row r="431" ht="12.75" customHeight="1">
      <c r="A431" s="2" t="s">
        <v>0</v>
      </c>
      <c r="B431" s="2" t="s">
        <v>1</v>
      </c>
      <c r="D431" s="2" t="s">
        <v>2</v>
      </c>
      <c r="E431" s="2" t="s">
        <v>3</v>
      </c>
      <c r="F431" s="2" t="s">
        <v>879</v>
      </c>
      <c r="G431" s="2" t="s">
        <v>4</v>
      </c>
      <c r="J431" s="2" t="s">
        <v>7</v>
      </c>
    </row>
    <row r="432" ht="12.75" customHeight="1">
      <c r="A432" s="2">
        <f>$M$1</f>
        <v>2015</v>
      </c>
      <c r="B432" s="2">
        <v>7.0</v>
      </c>
      <c r="J432" s="2" t="s">
        <v>133</v>
      </c>
    </row>
    <row r="433" ht="12.75" customHeight="1">
      <c r="A433" s="2" t="s">
        <v>0</v>
      </c>
      <c r="B433" s="2" t="s">
        <v>1</v>
      </c>
      <c r="D433" s="2" t="s">
        <v>2</v>
      </c>
      <c r="E433" s="2" t="s">
        <v>3</v>
      </c>
      <c r="F433" s="2" t="s">
        <v>879</v>
      </c>
      <c r="G433" s="2" t="s">
        <v>4</v>
      </c>
      <c r="J433" s="2" t="s">
        <v>7</v>
      </c>
    </row>
    <row r="434" ht="12.75" customHeight="1">
      <c r="A434" s="2">
        <f>$M$1</f>
        <v>2015</v>
      </c>
      <c r="B434" s="2">
        <v>7.0</v>
      </c>
      <c r="J434" s="2" t="s">
        <v>803</v>
      </c>
    </row>
    <row r="435" ht="12.75" customHeight="1">
      <c r="A435" s="2" t="s">
        <v>0</v>
      </c>
      <c r="B435" s="2" t="s">
        <v>1</v>
      </c>
      <c r="D435" s="2" t="s">
        <v>2</v>
      </c>
      <c r="E435" s="2" t="s">
        <v>3</v>
      </c>
      <c r="F435" s="2" t="s">
        <v>879</v>
      </c>
      <c r="G435" s="2" t="s">
        <v>4</v>
      </c>
      <c r="J435" s="2" t="s">
        <v>7</v>
      </c>
    </row>
    <row r="436" ht="12.75" customHeight="1">
      <c r="A436" s="2">
        <f>$M$1</f>
        <v>2015</v>
      </c>
      <c r="B436" s="2">
        <v>7.0</v>
      </c>
      <c r="J436" s="2" t="s">
        <v>164</v>
      </c>
    </row>
    <row r="437" ht="12.75" customHeight="1">
      <c r="A437" s="2" t="s">
        <v>0</v>
      </c>
      <c r="B437" s="2" t="s">
        <v>1</v>
      </c>
      <c r="D437" s="2" t="s">
        <v>2</v>
      </c>
      <c r="E437" s="2" t="s">
        <v>3</v>
      </c>
      <c r="F437" s="2" t="s">
        <v>879</v>
      </c>
      <c r="G437" s="2" t="s">
        <v>4</v>
      </c>
      <c r="J437" s="2" t="s">
        <v>7</v>
      </c>
    </row>
    <row r="438" ht="12.75" customHeight="1">
      <c r="A438" s="2">
        <f>$M$1</f>
        <v>2015</v>
      </c>
      <c r="B438" s="2">
        <v>7.0</v>
      </c>
      <c r="J438" s="2" t="s">
        <v>50</v>
      </c>
    </row>
    <row r="439" ht="12.75" customHeight="1">
      <c r="A439" s="2" t="s">
        <v>0</v>
      </c>
      <c r="B439" s="2" t="s">
        <v>1</v>
      </c>
      <c r="D439" s="2" t="s">
        <v>2</v>
      </c>
      <c r="E439" s="2" t="s">
        <v>3</v>
      </c>
      <c r="F439" s="2" t="s">
        <v>879</v>
      </c>
      <c r="G439" s="2" t="s">
        <v>4</v>
      </c>
      <c r="J439" s="2" t="s">
        <v>7</v>
      </c>
    </row>
    <row r="440" ht="12.75" customHeight="1">
      <c r="A440" s="2">
        <f>$M$1</f>
        <v>2015</v>
      </c>
      <c r="B440" s="2">
        <v>7.0</v>
      </c>
      <c r="J440" s="2" t="s">
        <v>304</v>
      </c>
    </row>
    <row r="441" ht="12.75" customHeight="1">
      <c r="A441" s="2" t="s">
        <v>0</v>
      </c>
      <c r="B441" s="2" t="s">
        <v>1</v>
      </c>
      <c r="D441" s="2" t="s">
        <v>2</v>
      </c>
      <c r="E441" s="2" t="s">
        <v>3</v>
      </c>
      <c r="F441" s="2" t="s">
        <v>879</v>
      </c>
      <c r="G441" s="2" t="s">
        <v>4</v>
      </c>
      <c r="J441" s="2" t="s">
        <v>7</v>
      </c>
    </row>
    <row r="442" ht="12.75" customHeight="1">
      <c r="A442" s="2">
        <f>$M$1</f>
        <v>2015</v>
      </c>
      <c r="B442" s="2">
        <v>7.0</v>
      </c>
      <c r="J442" s="2" t="s">
        <v>72</v>
      </c>
    </row>
    <row r="443" ht="12.75" customHeight="1">
      <c r="A443" s="2" t="s">
        <v>0</v>
      </c>
      <c r="B443" s="2" t="s">
        <v>1</v>
      </c>
      <c r="D443" s="2" t="s">
        <v>2</v>
      </c>
      <c r="E443" s="2" t="s">
        <v>3</v>
      </c>
      <c r="F443" s="2" t="s">
        <v>879</v>
      </c>
      <c r="G443" s="2" t="s">
        <v>4</v>
      </c>
      <c r="J443" s="2" t="s">
        <v>7</v>
      </c>
    </row>
    <row r="444" ht="12.75" customHeight="1">
      <c r="A444" s="2">
        <f>$M$1</f>
        <v>2015</v>
      </c>
      <c r="B444" s="2">
        <v>7.0</v>
      </c>
      <c r="J444" s="2" t="s">
        <v>13</v>
      </c>
    </row>
    <row r="445" ht="12.75" customHeight="1">
      <c r="A445" s="2" t="s">
        <v>0</v>
      </c>
      <c r="B445" s="2" t="s">
        <v>1</v>
      </c>
      <c r="D445" s="2" t="s">
        <v>2</v>
      </c>
      <c r="E445" s="2" t="s">
        <v>3</v>
      </c>
      <c r="F445" s="2" t="s">
        <v>879</v>
      </c>
      <c r="G445" s="2" t="s">
        <v>4</v>
      </c>
      <c r="J445" s="2" t="s">
        <v>7</v>
      </c>
    </row>
    <row r="446" ht="12.75" customHeight="1">
      <c r="A446" s="2">
        <f>$M$1</f>
        <v>2015</v>
      </c>
      <c r="B446" s="2">
        <v>7.0</v>
      </c>
      <c r="J446" s="2" t="s">
        <v>18</v>
      </c>
    </row>
    <row r="447" ht="12.75" customHeight="1">
      <c r="A447" s="2" t="s">
        <v>0</v>
      </c>
      <c r="B447" s="2" t="s">
        <v>1</v>
      </c>
      <c r="D447" s="2" t="s">
        <v>2</v>
      </c>
      <c r="E447" s="2" t="s">
        <v>3</v>
      </c>
      <c r="F447" s="2" t="s">
        <v>879</v>
      </c>
      <c r="G447" s="2" t="s">
        <v>4</v>
      </c>
      <c r="J447" s="2" t="s">
        <v>7</v>
      </c>
    </row>
    <row r="448" ht="12.75" customHeight="1">
      <c r="A448" s="2">
        <f>$M$1</f>
        <v>2015</v>
      </c>
      <c r="B448" s="2">
        <v>7.0</v>
      </c>
      <c r="J448" s="2" t="s">
        <v>153</v>
      </c>
    </row>
    <row r="449" ht="12.75" customHeight="1">
      <c r="A449" s="2" t="s">
        <v>0</v>
      </c>
      <c r="B449" s="2" t="s">
        <v>1</v>
      </c>
      <c r="D449" s="2" t="s">
        <v>2</v>
      </c>
      <c r="E449" s="2" t="s">
        <v>3</v>
      </c>
      <c r="F449" s="2" t="s">
        <v>879</v>
      </c>
      <c r="G449" s="2" t="s">
        <v>4</v>
      </c>
      <c r="J449" s="2" t="s">
        <v>7</v>
      </c>
    </row>
    <row r="450" ht="12.75" customHeight="1">
      <c r="A450" s="2">
        <f>$M$1</f>
        <v>2015</v>
      </c>
      <c r="B450" s="2">
        <v>7.0</v>
      </c>
      <c r="J450" s="2" t="s">
        <v>805</v>
      </c>
    </row>
    <row r="451" ht="12.75" customHeight="1">
      <c r="A451" s="2" t="s">
        <v>0</v>
      </c>
      <c r="B451" s="2" t="s">
        <v>1</v>
      </c>
      <c r="D451" s="2" t="s">
        <v>2</v>
      </c>
      <c r="E451" s="2" t="s">
        <v>3</v>
      </c>
      <c r="F451" s="2" t="s">
        <v>879</v>
      </c>
      <c r="G451" s="2" t="s">
        <v>4</v>
      </c>
      <c r="J451" s="2" t="s">
        <v>7</v>
      </c>
    </row>
    <row r="452" ht="12.75" customHeight="1">
      <c r="A452" s="2">
        <f>$M$1</f>
        <v>2015</v>
      </c>
      <c r="B452" s="2">
        <v>7.0</v>
      </c>
      <c r="J452" s="2" t="s">
        <v>31</v>
      </c>
    </row>
    <row r="453" ht="12.75" customHeight="1">
      <c r="A453" s="2" t="s">
        <v>0</v>
      </c>
      <c r="B453" s="2" t="s">
        <v>1</v>
      </c>
      <c r="D453" s="2" t="s">
        <v>2</v>
      </c>
      <c r="E453" s="2" t="s">
        <v>3</v>
      </c>
      <c r="F453" s="2" t="s">
        <v>879</v>
      </c>
      <c r="G453" s="2" t="s">
        <v>4</v>
      </c>
      <c r="J453" s="2" t="s">
        <v>7</v>
      </c>
    </row>
    <row r="454" ht="12.75" customHeight="1">
      <c r="A454" s="2">
        <f>$M$1</f>
        <v>2015</v>
      </c>
      <c r="B454" s="2">
        <v>7.0</v>
      </c>
      <c r="J454" s="2" t="s">
        <v>123</v>
      </c>
    </row>
    <row r="455" ht="12.75" customHeight="1">
      <c r="A455" s="2" t="s">
        <v>0</v>
      </c>
      <c r="B455" s="2" t="s">
        <v>1</v>
      </c>
      <c r="D455" s="2" t="s">
        <v>2</v>
      </c>
      <c r="E455" s="2" t="s">
        <v>3</v>
      </c>
      <c r="F455" s="2" t="s">
        <v>879</v>
      </c>
      <c r="G455" s="2" t="s">
        <v>4</v>
      </c>
      <c r="J455" s="2" t="s">
        <v>7</v>
      </c>
    </row>
    <row r="456" ht="12.75" customHeight="1">
      <c r="A456" s="2">
        <f>$M$1</f>
        <v>2015</v>
      </c>
      <c r="B456" s="2">
        <v>7.0</v>
      </c>
      <c r="J456" s="2" t="s">
        <v>35</v>
      </c>
    </row>
    <row r="457" ht="12.75" customHeight="1">
      <c r="A457" s="2" t="s">
        <v>0</v>
      </c>
      <c r="B457" s="2" t="s">
        <v>1</v>
      </c>
      <c r="D457" s="2" t="s">
        <v>2</v>
      </c>
      <c r="E457" s="2" t="s">
        <v>3</v>
      </c>
      <c r="F457" s="2" t="s">
        <v>879</v>
      </c>
      <c r="G457" s="2" t="s">
        <v>4</v>
      </c>
      <c r="J457" s="2" t="s">
        <v>7</v>
      </c>
    </row>
    <row r="458" ht="12.75" customHeight="1">
      <c r="A458" s="2">
        <f>$M$1</f>
        <v>2015</v>
      </c>
      <c r="B458" s="2">
        <v>7.0</v>
      </c>
      <c r="J458" s="2" t="s">
        <v>210</v>
      </c>
    </row>
    <row r="459" ht="12.75" customHeight="1">
      <c r="A459" s="2" t="s">
        <v>0</v>
      </c>
      <c r="B459" s="2" t="s">
        <v>1</v>
      </c>
      <c r="D459" s="2" t="s">
        <v>2</v>
      </c>
      <c r="E459" s="2" t="s">
        <v>3</v>
      </c>
      <c r="F459" s="2" t="s">
        <v>879</v>
      </c>
      <c r="G459" s="2" t="s">
        <v>4</v>
      </c>
      <c r="J459" s="2" t="s">
        <v>7</v>
      </c>
    </row>
    <row r="460" ht="12.75" customHeight="1">
      <c r="A460" s="2">
        <f>$M$1</f>
        <v>2015</v>
      </c>
      <c r="B460" s="2">
        <v>7.0</v>
      </c>
      <c r="J460" s="2" t="s">
        <v>808</v>
      </c>
    </row>
    <row r="461" ht="12.75" customHeight="1">
      <c r="A461" s="2" t="s">
        <v>0</v>
      </c>
      <c r="B461" s="2" t="s">
        <v>1</v>
      </c>
      <c r="D461" s="2" t="s">
        <v>2</v>
      </c>
      <c r="E461" s="2" t="s">
        <v>3</v>
      </c>
      <c r="F461" s="2" t="s">
        <v>879</v>
      </c>
      <c r="G461" s="2" t="s">
        <v>4</v>
      </c>
      <c r="J461" s="2" t="s">
        <v>7</v>
      </c>
    </row>
    <row r="462" ht="12.75" customHeight="1">
      <c r="A462" s="2">
        <f>$M$1</f>
        <v>2015</v>
      </c>
      <c r="B462" s="2">
        <v>7.0</v>
      </c>
      <c r="J462" s="2" t="s">
        <v>810</v>
      </c>
    </row>
    <row r="463" ht="12.75" customHeight="1">
      <c r="A463" s="2" t="s">
        <v>0</v>
      </c>
      <c r="B463" s="2" t="s">
        <v>1</v>
      </c>
      <c r="D463" s="2" t="s">
        <v>2</v>
      </c>
      <c r="E463" s="2" t="s">
        <v>3</v>
      </c>
      <c r="F463" s="2" t="s">
        <v>879</v>
      </c>
      <c r="G463" s="2" t="s">
        <v>4</v>
      </c>
      <c r="J463" s="2" t="s">
        <v>7</v>
      </c>
    </row>
    <row r="464" ht="12.75" customHeight="1">
      <c r="A464" s="2">
        <f>$M$1</f>
        <v>2015</v>
      </c>
      <c r="B464" s="2">
        <v>8.0</v>
      </c>
      <c r="J464" s="2" t="s">
        <v>10</v>
      </c>
    </row>
    <row r="465" ht="12.75" customHeight="1">
      <c r="A465" s="2" t="s">
        <v>0</v>
      </c>
      <c r="B465" s="2" t="s">
        <v>1</v>
      </c>
      <c r="D465" s="2" t="s">
        <v>2</v>
      </c>
      <c r="E465" s="2" t="s">
        <v>3</v>
      </c>
      <c r="F465" s="2" t="s">
        <v>879</v>
      </c>
      <c r="G465" s="2" t="s">
        <v>4</v>
      </c>
      <c r="J465" s="2" t="s">
        <v>7</v>
      </c>
    </row>
    <row r="466" ht="12.75" customHeight="1">
      <c r="A466" s="2">
        <f>$M$1</f>
        <v>2015</v>
      </c>
      <c r="B466" s="2">
        <v>8.0</v>
      </c>
      <c r="J466" s="2" t="s">
        <v>20</v>
      </c>
    </row>
    <row r="467" ht="12.75" customHeight="1">
      <c r="A467" s="2" t="s">
        <v>0</v>
      </c>
      <c r="B467" s="2" t="s">
        <v>1</v>
      </c>
      <c r="D467" s="2" t="s">
        <v>2</v>
      </c>
      <c r="E467" s="2" t="s">
        <v>3</v>
      </c>
      <c r="F467" s="2" t="s">
        <v>879</v>
      </c>
      <c r="G467" s="2" t="s">
        <v>4</v>
      </c>
      <c r="J467" s="2" t="s">
        <v>7</v>
      </c>
    </row>
    <row r="468" ht="12.75" customHeight="1">
      <c r="A468" s="2">
        <f>$M$1</f>
        <v>2015</v>
      </c>
      <c r="B468" s="2">
        <v>8.0</v>
      </c>
      <c r="J468" s="2" t="s">
        <v>17</v>
      </c>
    </row>
    <row r="469" ht="12.75" customHeight="1">
      <c r="A469" s="2" t="s">
        <v>0</v>
      </c>
      <c r="B469" s="2" t="s">
        <v>1</v>
      </c>
      <c r="D469" s="2" t="s">
        <v>2</v>
      </c>
      <c r="E469" s="2" t="s">
        <v>3</v>
      </c>
      <c r="F469" s="2" t="s">
        <v>879</v>
      </c>
      <c r="G469" s="2" t="s">
        <v>4</v>
      </c>
      <c r="J469" s="2" t="s">
        <v>7</v>
      </c>
    </row>
    <row r="470" ht="12.75" customHeight="1">
      <c r="A470" s="2">
        <f>$M$1</f>
        <v>2015</v>
      </c>
      <c r="B470" s="2">
        <v>8.0</v>
      </c>
      <c r="J470" s="2" t="s">
        <v>24</v>
      </c>
    </row>
    <row r="471" ht="12.75" customHeight="1">
      <c r="A471" s="2" t="s">
        <v>0</v>
      </c>
      <c r="B471" s="2" t="s">
        <v>1</v>
      </c>
      <c r="D471" s="2" t="s">
        <v>2</v>
      </c>
      <c r="E471" s="2" t="s">
        <v>3</v>
      </c>
      <c r="F471" s="2" t="s">
        <v>879</v>
      </c>
      <c r="G471" s="2" t="s">
        <v>4</v>
      </c>
      <c r="J471" s="2" t="s">
        <v>7</v>
      </c>
    </row>
    <row r="472" ht="12.75" customHeight="1">
      <c r="A472" s="2">
        <f>$M$1</f>
        <v>2015</v>
      </c>
      <c r="B472" s="2">
        <v>8.0</v>
      </c>
      <c r="J472" s="2" t="s">
        <v>651</v>
      </c>
    </row>
    <row r="473" ht="12.75" customHeight="1">
      <c r="A473" s="2" t="s">
        <v>0</v>
      </c>
      <c r="B473" s="2" t="s">
        <v>1</v>
      </c>
      <c r="D473" s="2" t="s">
        <v>2</v>
      </c>
      <c r="E473" s="2" t="s">
        <v>3</v>
      </c>
      <c r="F473" s="2" t="s">
        <v>879</v>
      </c>
      <c r="G473" s="2" t="s">
        <v>4</v>
      </c>
      <c r="J473" s="2" t="s">
        <v>7</v>
      </c>
    </row>
    <row r="474" ht="12.75" customHeight="1">
      <c r="A474" s="2">
        <f>$M$1</f>
        <v>2015</v>
      </c>
      <c r="B474" s="2">
        <v>8.0</v>
      </c>
      <c r="J474" s="2" t="s">
        <v>76</v>
      </c>
    </row>
    <row r="475" ht="12.75" customHeight="1">
      <c r="A475" s="2" t="s">
        <v>0</v>
      </c>
      <c r="B475" s="2" t="s">
        <v>1</v>
      </c>
      <c r="D475" s="2" t="s">
        <v>2</v>
      </c>
      <c r="E475" s="2" t="s">
        <v>3</v>
      </c>
      <c r="F475" s="2" t="s">
        <v>879</v>
      </c>
      <c r="G475" s="2" t="s">
        <v>4</v>
      </c>
      <c r="J475" s="2" t="s">
        <v>7</v>
      </c>
    </row>
    <row r="476" ht="12.75" customHeight="1">
      <c r="A476" s="2">
        <f>$M$1</f>
        <v>2015</v>
      </c>
      <c r="B476" s="2">
        <v>8.0</v>
      </c>
      <c r="J476" s="2" t="s">
        <v>26</v>
      </c>
    </row>
    <row r="477" ht="12.75" customHeight="1">
      <c r="A477" s="2" t="s">
        <v>0</v>
      </c>
      <c r="B477" s="2" t="s">
        <v>1</v>
      </c>
      <c r="D477" s="2" t="s">
        <v>2</v>
      </c>
      <c r="E477" s="2" t="s">
        <v>3</v>
      </c>
      <c r="F477" s="2" t="s">
        <v>879</v>
      </c>
      <c r="G477" s="2" t="s">
        <v>4</v>
      </c>
      <c r="J477" s="2" t="s">
        <v>7</v>
      </c>
    </row>
    <row r="478" ht="12.75" customHeight="1">
      <c r="A478" s="2">
        <f>$M$1</f>
        <v>2015</v>
      </c>
      <c r="B478" s="2">
        <v>8.0</v>
      </c>
      <c r="J478" s="2" t="s">
        <v>103</v>
      </c>
    </row>
    <row r="479" ht="12.75" customHeight="1">
      <c r="A479" s="2" t="s">
        <v>0</v>
      </c>
      <c r="B479" s="2" t="s">
        <v>1</v>
      </c>
      <c r="D479" s="2" t="s">
        <v>2</v>
      </c>
      <c r="E479" s="2" t="s">
        <v>3</v>
      </c>
      <c r="F479" s="2" t="s">
        <v>879</v>
      </c>
      <c r="G479" s="2" t="s">
        <v>4</v>
      </c>
      <c r="J479" s="2" t="s">
        <v>7</v>
      </c>
    </row>
    <row r="480" ht="12.75" customHeight="1">
      <c r="A480" s="2">
        <f>$M$1</f>
        <v>2015</v>
      </c>
      <c r="B480" s="2">
        <v>8.0</v>
      </c>
      <c r="J480" s="2" t="s">
        <v>22</v>
      </c>
    </row>
    <row r="481" ht="12.75" customHeight="1">
      <c r="A481" s="2" t="s">
        <v>0</v>
      </c>
      <c r="B481" s="2" t="s">
        <v>1</v>
      </c>
      <c r="D481" s="2" t="s">
        <v>2</v>
      </c>
      <c r="E481" s="2" t="s">
        <v>3</v>
      </c>
      <c r="F481" s="2" t="s">
        <v>879</v>
      </c>
      <c r="G481" s="2" t="s">
        <v>4</v>
      </c>
      <c r="J481" s="2" t="s">
        <v>7</v>
      </c>
    </row>
    <row r="482" ht="12.75" customHeight="1">
      <c r="A482" s="2">
        <f>$M$1</f>
        <v>2015</v>
      </c>
      <c r="B482" s="2">
        <v>8.0</v>
      </c>
      <c r="J482" s="2" t="s">
        <v>428</v>
      </c>
    </row>
    <row r="483" ht="12.75" customHeight="1">
      <c r="A483" s="2" t="s">
        <v>0</v>
      </c>
      <c r="B483" s="2" t="s">
        <v>1</v>
      </c>
      <c r="D483" s="2" t="s">
        <v>2</v>
      </c>
      <c r="E483" s="2" t="s">
        <v>3</v>
      </c>
      <c r="F483" s="2" t="s">
        <v>879</v>
      </c>
      <c r="G483" s="2" t="s">
        <v>4</v>
      </c>
      <c r="J483" s="2" t="s">
        <v>7</v>
      </c>
    </row>
    <row r="484" ht="12.75" customHeight="1">
      <c r="A484" s="2">
        <f>$M$1</f>
        <v>2015</v>
      </c>
      <c r="B484" s="2">
        <v>8.0</v>
      </c>
      <c r="J484" s="2" t="s">
        <v>800</v>
      </c>
    </row>
    <row r="485" ht="12.75" customHeight="1">
      <c r="A485" s="2" t="s">
        <v>0</v>
      </c>
      <c r="B485" s="2" t="s">
        <v>1</v>
      </c>
      <c r="D485" s="2" t="s">
        <v>2</v>
      </c>
      <c r="E485" s="2" t="s">
        <v>3</v>
      </c>
      <c r="F485" s="2" t="s">
        <v>879</v>
      </c>
      <c r="G485" s="2" t="s">
        <v>4</v>
      </c>
      <c r="J485" s="2" t="s">
        <v>7</v>
      </c>
    </row>
    <row r="486" ht="12.75" customHeight="1">
      <c r="A486" s="2">
        <f>$M$1</f>
        <v>2015</v>
      </c>
      <c r="B486" s="2">
        <v>8.0</v>
      </c>
      <c r="J486" s="2" t="s">
        <v>54</v>
      </c>
    </row>
    <row r="487" ht="12.75" customHeight="1">
      <c r="A487" s="2" t="s">
        <v>0</v>
      </c>
      <c r="B487" s="2" t="s">
        <v>1</v>
      </c>
      <c r="D487" s="2" t="s">
        <v>2</v>
      </c>
      <c r="E487" s="2" t="s">
        <v>3</v>
      </c>
      <c r="F487" s="2" t="s">
        <v>879</v>
      </c>
      <c r="G487" s="2" t="s">
        <v>4</v>
      </c>
      <c r="J487" s="2" t="s">
        <v>7</v>
      </c>
    </row>
    <row r="488" ht="12.75" customHeight="1">
      <c r="A488" s="2">
        <f>$M$1</f>
        <v>2015</v>
      </c>
      <c r="B488" s="2">
        <v>8.0</v>
      </c>
      <c r="J488" s="2" t="s">
        <v>801</v>
      </c>
    </row>
    <row r="489" ht="12.75" customHeight="1">
      <c r="A489" s="2" t="s">
        <v>0</v>
      </c>
      <c r="B489" s="2" t="s">
        <v>1</v>
      </c>
      <c r="D489" s="2" t="s">
        <v>2</v>
      </c>
      <c r="E489" s="2" t="s">
        <v>3</v>
      </c>
      <c r="F489" s="2" t="s">
        <v>879</v>
      </c>
      <c r="G489" s="2" t="s">
        <v>4</v>
      </c>
      <c r="J489" s="2" t="s">
        <v>7</v>
      </c>
    </row>
    <row r="490" ht="12.75" customHeight="1">
      <c r="A490" s="2">
        <f>$M$1</f>
        <v>2015</v>
      </c>
      <c r="B490" s="2">
        <v>8.0</v>
      </c>
      <c r="J490" s="2" t="s">
        <v>38</v>
      </c>
    </row>
    <row r="491" ht="12.75" customHeight="1">
      <c r="A491" s="2" t="s">
        <v>0</v>
      </c>
      <c r="B491" s="2" t="s">
        <v>1</v>
      </c>
      <c r="D491" s="2" t="s">
        <v>2</v>
      </c>
      <c r="E491" s="2" t="s">
        <v>3</v>
      </c>
      <c r="F491" s="2" t="s">
        <v>879</v>
      </c>
      <c r="G491" s="2" t="s">
        <v>4</v>
      </c>
      <c r="J491" s="2" t="s">
        <v>7</v>
      </c>
    </row>
    <row r="492" ht="12.75" customHeight="1">
      <c r="A492" s="2">
        <f>$M$1</f>
        <v>2015</v>
      </c>
      <c r="B492" s="2">
        <v>8.0</v>
      </c>
      <c r="J492" s="2" t="s">
        <v>47</v>
      </c>
    </row>
    <row r="493" ht="12.75" customHeight="1">
      <c r="A493" s="2" t="s">
        <v>0</v>
      </c>
      <c r="B493" s="2" t="s">
        <v>1</v>
      </c>
      <c r="D493" s="2" t="s">
        <v>2</v>
      </c>
      <c r="E493" s="2" t="s">
        <v>3</v>
      </c>
      <c r="F493" s="2" t="s">
        <v>879</v>
      </c>
      <c r="G493" s="2" t="s">
        <v>4</v>
      </c>
      <c r="J493" s="2" t="s">
        <v>7</v>
      </c>
    </row>
    <row r="494" ht="12.75" customHeight="1">
      <c r="A494" s="2">
        <f>$M$1</f>
        <v>2015</v>
      </c>
      <c r="B494" s="2">
        <v>8.0</v>
      </c>
      <c r="J494" s="2" t="s">
        <v>52</v>
      </c>
    </row>
    <row r="495" ht="12.75" customHeight="1">
      <c r="A495" s="2" t="s">
        <v>0</v>
      </c>
      <c r="B495" s="2" t="s">
        <v>1</v>
      </c>
      <c r="D495" s="2" t="s">
        <v>2</v>
      </c>
      <c r="E495" s="2" t="s">
        <v>3</v>
      </c>
      <c r="F495" s="2" t="s">
        <v>879</v>
      </c>
      <c r="G495" s="2" t="s">
        <v>4</v>
      </c>
      <c r="J495" s="2" t="s">
        <v>7</v>
      </c>
    </row>
    <row r="496" ht="12.75" customHeight="1">
      <c r="A496" s="2">
        <f>$M$1</f>
        <v>2015</v>
      </c>
      <c r="B496" s="2">
        <v>8.0</v>
      </c>
      <c r="J496" s="2" t="s">
        <v>42</v>
      </c>
    </row>
    <row r="497" ht="12.75" customHeight="1">
      <c r="A497" s="2" t="s">
        <v>0</v>
      </c>
      <c r="B497" s="2" t="s">
        <v>1</v>
      </c>
      <c r="D497" s="2" t="s">
        <v>2</v>
      </c>
      <c r="E497" s="2" t="s">
        <v>3</v>
      </c>
      <c r="F497" s="2" t="s">
        <v>879</v>
      </c>
      <c r="G497" s="2" t="s">
        <v>4</v>
      </c>
      <c r="J497" s="2" t="s">
        <v>7</v>
      </c>
    </row>
    <row r="498" ht="12.75" customHeight="1">
      <c r="A498" s="2">
        <f>$M$1</f>
        <v>2015</v>
      </c>
      <c r="B498" s="2">
        <v>8.0</v>
      </c>
      <c r="J498" s="2" t="s">
        <v>133</v>
      </c>
    </row>
    <row r="499" ht="12.75" customHeight="1">
      <c r="A499" s="2" t="s">
        <v>0</v>
      </c>
      <c r="B499" s="2" t="s">
        <v>1</v>
      </c>
      <c r="D499" s="2" t="s">
        <v>2</v>
      </c>
      <c r="E499" s="2" t="s">
        <v>3</v>
      </c>
      <c r="F499" s="2" t="s">
        <v>879</v>
      </c>
      <c r="G499" s="2" t="s">
        <v>4</v>
      </c>
      <c r="J499" s="2" t="s">
        <v>7</v>
      </c>
    </row>
    <row r="500" ht="12.75" customHeight="1">
      <c r="A500" s="2">
        <f>$M$1</f>
        <v>2015</v>
      </c>
      <c r="B500" s="2">
        <v>8.0</v>
      </c>
      <c r="J500" s="2" t="s">
        <v>803</v>
      </c>
    </row>
    <row r="501" ht="12.75" customHeight="1">
      <c r="A501" s="2" t="s">
        <v>0</v>
      </c>
      <c r="B501" s="2" t="s">
        <v>1</v>
      </c>
      <c r="D501" s="2" t="s">
        <v>2</v>
      </c>
      <c r="E501" s="2" t="s">
        <v>3</v>
      </c>
      <c r="F501" s="2" t="s">
        <v>879</v>
      </c>
      <c r="G501" s="2" t="s">
        <v>4</v>
      </c>
      <c r="J501" s="2" t="s">
        <v>7</v>
      </c>
    </row>
    <row r="502" ht="12.75" customHeight="1">
      <c r="A502" s="2">
        <f>$M$1</f>
        <v>2015</v>
      </c>
      <c r="B502" s="2">
        <v>8.0</v>
      </c>
      <c r="J502" s="2" t="s">
        <v>164</v>
      </c>
    </row>
    <row r="503" ht="12.75" customHeight="1">
      <c r="A503" s="2" t="s">
        <v>0</v>
      </c>
      <c r="B503" s="2" t="s">
        <v>1</v>
      </c>
      <c r="D503" s="2" t="s">
        <v>2</v>
      </c>
      <c r="E503" s="2" t="s">
        <v>3</v>
      </c>
      <c r="F503" s="2" t="s">
        <v>879</v>
      </c>
      <c r="G503" s="2" t="s">
        <v>4</v>
      </c>
      <c r="J503" s="2" t="s">
        <v>7</v>
      </c>
    </row>
    <row r="504" ht="12.75" customHeight="1">
      <c r="A504" s="2">
        <f>$M$1</f>
        <v>2015</v>
      </c>
      <c r="B504" s="2">
        <v>8.0</v>
      </c>
      <c r="J504" s="2" t="s">
        <v>50</v>
      </c>
    </row>
    <row r="505" ht="12.75" customHeight="1">
      <c r="A505" s="2" t="s">
        <v>0</v>
      </c>
      <c r="B505" s="2" t="s">
        <v>1</v>
      </c>
      <c r="D505" s="2" t="s">
        <v>2</v>
      </c>
      <c r="E505" s="2" t="s">
        <v>3</v>
      </c>
      <c r="F505" s="2" t="s">
        <v>879</v>
      </c>
      <c r="G505" s="2" t="s">
        <v>4</v>
      </c>
      <c r="J505" s="2" t="s">
        <v>7</v>
      </c>
    </row>
    <row r="506" ht="12.75" customHeight="1">
      <c r="A506" s="2">
        <f>$M$1</f>
        <v>2015</v>
      </c>
      <c r="B506" s="2">
        <v>8.0</v>
      </c>
      <c r="J506" s="2" t="s">
        <v>304</v>
      </c>
    </row>
    <row r="507" ht="12.75" customHeight="1">
      <c r="A507" s="2" t="s">
        <v>0</v>
      </c>
      <c r="B507" s="2" t="s">
        <v>1</v>
      </c>
      <c r="D507" s="2" t="s">
        <v>2</v>
      </c>
      <c r="E507" s="2" t="s">
        <v>3</v>
      </c>
      <c r="F507" s="2" t="s">
        <v>879</v>
      </c>
      <c r="G507" s="2" t="s">
        <v>4</v>
      </c>
      <c r="J507" s="2" t="s">
        <v>7</v>
      </c>
    </row>
    <row r="508" ht="12.75" customHeight="1">
      <c r="A508" s="2">
        <f>$M$1</f>
        <v>2015</v>
      </c>
      <c r="B508" s="2">
        <v>8.0</v>
      </c>
      <c r="J508" s="2" t="s">
        <v>72</v>
      </c>
    </row>
    <row r="509" ht="12.75" customHeight="1">
      <c r="A509" s="2" t="s">
        <v>0</v>
      </c>
      <c r="B509" s="2" t="s">
        <v>1</v>
      </c>
      <c r="D509" s="2" t="s">
        <v>2</v>
      </c>
      <c r="E509" s="2" t="s">
        <v>3</v>
      </c>
      <c r="F509" s="2" t="s">
        <v>879</v>
      </c>
      <c r="G509" s="2" t="s">
        <v>4</v>
      </c>
      <c r="J509" s="2" t="s">
        <v>7</v>
      </c>
    </row>
    <row r="510" ht="12.75" customHeight="1">
      <c r="A510" s="2">
        <f>$M$1</f>
        <v>2015</v>
      </c>
      <c r="B510" s="2">
        <v>8.0</v>
      </c>
      <c r="J510" s="2" t="s">
        <v>13</v>
      </c>
    </row>
    <row r="511" ht="12.75" customHeight="1">
      <c r="A511" s="2" t="s">
        <v>0</v>
      </c>
      <c r="B511" s="2" t="s">
        <v>1</v>
      </c>
      <c r="D511" s="2" t="s">
        <v>2</v>
      </c>
      <c r="E511" s="2" t="s">
        <v>3</v>
      </c>
      <c r="F511" s="2" t="s">
        <v>879</v>
      </c>
      <c r="G511" s="2" t="s">
        <v>4</v>
      </c>
      <c r="J511" s="2" t="s">
        <v>7</v>
      </c>
    </row>
    <row r="512" ht="12.75" customHeight="1">
      <c r="A512" s="2">
        <f>$M$1</f>
        <v>2015</v>
      </c>
      <c r="B512" s="2">
        <v>8.0</v>
      </c>
      <c r="J512" s="2" t="s">
        <v>18</v>
      </c>
    </row>
    <row r="513" ht="12.75" customHeight="1">
      <c r="A513" s="2" t="s">
        <v>0</v>
      </c>
      <c r="B513" s="2" t="s">
        <v>1</v>
      </c>
      <c r="D513" s="2" t="s">
        <v>2</v>
      </c>
      <c r="E513" s="2" t="s">
        <v>3</v>
      </c>
      <c r="F513" s="2" t="s">
        <v>879</v>
      </c>
      <c r="G513" s="2" t="s">
        <v>4</v>
      </c>
      <c r="J513" s="2" t="s">
        <v>7</v>
      </c>
    </row>
    <row r="514" ht="12.75" customHeight="1">
      <c r="A514" s="2">
        <f>$M$1</f>
        <v>2015</v>
      </c>
      <c r="B514" s="2">
        <v>8.0</v>
      </c>
      <c r="J514" s="2" t="s">
        <v>153</v>
      </c>
    </row>
    <row r="515" ht="12.75" customHeight="1">
      <c r="A515" s="2" t="s">
        <v>0</v>
      </c>
      <c r="B515" s="2" t="s">
        <v>1</v>
      </c>
      <c r="D515" s="2" t="s">
        <v>2</v>
      </c>
      <c r="E515" s="2" t="s">
        <v>3</v>
      </c>
      <c r="F515" s="2" t="s">
        <v>879</v>
      </c>
      <c r="G515" s="2" t="s">
        <v>4</v>
      </c>
      <c r="J515" s="2" t="s">
        <v>7</v>
      </c>
    </row>
    <row r="516" ht="12.75" customHeight="1">
      <c r="A516" s="2">
        <f>$M$1</f>
        <v>2015</v>
      </c>
      <c r="B516" s="2">
        <v>8.0</v>
      </c>
      <c r="J516" s="2" t="s">
        <v>805</v>
      </c>
    </row>
    <row r="517" ht="12.75" customHeight="1">
      <c r="A517" s="2" t="s">
        <v>0</v>
      </c>
      <c r="B517" s="2" t="s">
        <v>1</v>
      </c>
      <c r="D517" s="2" t="s">
        <v>2</v>
      </c>
      <c r="E517" s="2" t="s">
        <v>3</v>
      </c>
      <c r="F517" s="2" t="s">
        <v>879</v>
      </c>
      <c r="G517" s="2" t="s">
        <v>4</v>
      </c>
      <c r="J517" s="2" t="s">
        <v>7</v>
      </c>
    </row>
    <row r="518" ht="12.75" customHeight="1">
      <c r="A518" s="2">
        <f>$M$1</f>
        <v>2015</v>
      </c>
      <c r="B518" s="2">
        <v>8.0</v>
      </c>
      <c r="J518" s="2" t="s">
        <v>31</v>
      </c>
    </row>
    <row r="519" ht="12.75" customHeight="1">
      <c r="A519" s="2" t="s">
        <v>0</v>
      </c>
      <c r="B519" s="2" t="s">
        <v>1</v>
      </c>
      <c r="D519" s="2" t="s">
        <v>2</v>
      </c>
      <c r="E519" s="2" t="s">
        <v>3</v>
      </c>
      <c r="F519" s="2" t="s">
        <v>879</v>
      </c>
      <c r="G519" s="2" t="s">
        <v>4</v>
      </c>
      <c r="J519" s="2" t="s">
        <v>7</v>
      </c>
    </row>
    <row r="520" ht="12.75" customHeight="1">
      <c r="A520" s="2">
        <f>$M$1</f>
        <v>2015</v>
      </c>
      <c r="B520" s="2">
        <v>8.0</v>
      </c>
      <c r="J520" s="2" t="s">
        <v>123</v>
      </c>
    </row>
    <row r="521" ht="12.75" customHeight="1">
      <c r="A521" s="2" t="s">
        <v>0</v>
      </c>
      <c r="B521" s="2" t="s">
        <v>1</v>
      </c>
      <c r="D521" s="2" t="s">
        <v>2</v>
      </c>
      <c r="E521" s="2" t="s">
        <v>3</v>
      </c>
      <c r="F521" s="2" t="s">
        <v>879</v>
      </c>
      <c r="G521" s="2" t="s">
        <v>4</v>
      </c>
      <c r="J521" s="2" t="s">
        <v>7</v>
      </c>
    </row>
    <row r="522" ht="12.75" customHeight="1">
      <c r="A522" s="2">
        <f>$M$1</f>
        <v>2015</v>
      </c>
      <c r="B522" s="2">
        <v>8.0</v>
      </c>
      <c r="J522" s="2" t="s">
        <v>35</v>
      </c>
    </row>
    <row r="523" ht="12.75" customHeight="1">
      <c r="A523" s="2" t="s">
        <v>0</v>
      </c>
      <c r="B523" s="2" t="s">
        <v>1</v>
      </c>
      <c r="D523" s="2" t="s">
        <v>2</v>
      </c>
      <c r="E523" s="2" t="s">
        <v>3</v>
      </c>
      <c r="F523" s="2" t="s">
        <v>879</v>
      </c>
      <c r="G523" s="2" t="s">
        <v>4</v>
      </c>
      <c r="J523" s="2" t="s">
        <v>7</v>
      </c>
    </row>
    <row r="524" ht="12.75" customHeight="1">
      <c r="A524" s="2">
        <f>$M$1</f>
        <v>2015</v>
      </c>
      <c r="B524" s="2">
        <v>8.0</v>
      </c>
      <c r="J524" s="2" t="s">
        <v>210</v>
      </c>
    </row>
    <row r="525" ht="12.75" customHeight="1">
      <c r="A525" s="2" t="s">
        <v>0</v>
      </c>
      <c r="B525" s="2" t="s">
        <v>1</v>
      </c>
      <c r="D525" s="2" t="s">
        <v>2</v>
      </c>
      <c r="E525" s="2" t="s">
        <v>3</v>
      </c>
      <c r="F525" s="2" t="s">
        <v>879</v>
      </c>
      <c r="G525" s="2" t="s">
        <v>4</v>
      </c>
      <c r="J525" s="2" t="s">
        <v>7</v>
      </c>
    </row>
    <row r="526" ht="12.75" customHeight="1">
      <c r="A526" s="2">
        <f>$M$1</f>
        <v>2015</v>
      </c>
      <c r="B526" s="2">
        <v>8.0</v>
      </c>
      <c r="J526" s="2" t="s">
        <v>808</v>
      </c>
    </row>
    <row r="527" ht="12.75" customHeight="1">
      <c r="A527" s="2" t="s">
        <v>0</v>
      </c>
      <c r="B527" s="2" t="s">
        <v>1</v>
      </c>
      <c r="D527" s="2" t="s">
        <v>2</v>
      </c>
      <c r="E527" s="2" t="s">
        <v>3</v>
      </c>
      <c r="F527" s="2" t="s">
        <v>879</v>
      </c>
      <c r="G527" s="2" t="s">
        <v>4</v>
      </c>
      <c r="J527" s="2" t="s">
        <v>7</v>
      </c>
    </row>
    <row r="528" ht="12.75" customHeight="1">
      <c r="A528" s="2">
        <f>$M$1</f>
        <v>2015</v>
      </c>
      <c r="B528" s="2">
        <v>8.0</v>
      </c>
      <c r="J528" s="2" t="s">
        <v>810</v>
      </c>
    </row>
    <row r="529" ht="12.75" customHeight="1">
      <c r="A529" s="2" t="s">
        <v>0</v>
      </c>
      <c r="B529" s="2" t="s">
        <v>1</v>
      </c>
      <c r="D529" s="2" t="s">
        <v>2</v>
      </c>
      <c r="E529" s="2" t="s">
        <v>3</v>
      </c>
      <c r="F529" s="2" t="s">
        <v>879</v>
      </c>
      <c r="G529" s="2" t="s">
        <v>4</v>
      </c>
      <c r="J529" s="2" t="s">
        <v>7</v>
      </c>
    </row>
    <row r="530" ht="12.75" customHeight="1">
      <c r="A530" s="2">
        <f>$M$1</f>
        <v>2015</v>
      </c>
      <c r="B530" s="2">
        <v>9.0</v>
      </c>
      <c r="J530" s="2" t="s">
        <v>10</v>
      </c>
    </row>
    <row r="531" ht="12.75" customHeight="1">
      <c r="A531" s="2" t="s">
        <v>0</v>
      </c>
      <c r="B531" s="2" t="s">
        <v>1</v>
      </c>
      <c r="D531" s="2" t="s">
        <v>2</v>
      </c>
      <c r="E531" s="2" t="s">
        <v>3</v>
      </c>
      <c r="F531" s="2" t="s">
        <v>879</v>
      </c>
      <c r="G531" s="2" t="s">
        <v>4</v>
      </c>
      <c r="J531" s="2" t="s">
        <v>7</v>
      </c>
    </row>
    <row r="532" ht="12.75" customHeight="1">
      <c r="A532" s="2">
        <f>$M$1</f>
        <v>2015</v>
      </c>
      <c r="B532" s="2">
        <v>9.0</v>
      </c>
      <c r="J532" s="2" t="s">
        <v>20</v>
      </c>
    </row>
    <row r="533" ht="12.75" customHeight="1">
      <c r="A533" s="2" t="s">
        <v>0</v>
      </c>
      <c r="B533" s="2" t="s">
        <v>1</v>
      </c>
      <c r="D533" s="2" t="s">
        <v>2</v>
      </c>
      <c r="E533" s="2" t="s">
        <v>3</v>
      </c>
      <c r="F533" s="2" t="s">
        <v>879</v>
      </c>
      <c r="G533" s="2" t="s">
        <v>4</v>
      </c>
      <c r="J533" s="2" t="s">
        <v>7</v>
      </c>
    </row>
    <row r="534" ht="12.75" customHeight="1">
      <c r="A534" s="2">
        <f>$M$1</f>
        <v>2015</v>
      </c>
      <c r="B534" s="2">
        <v>9.0</v>
      </c>
      <c r="J534" s="2" t="s">
        <v>17</v>
      </c>
    </row>
    <row r="535" ht="12.75" customHeight="1">
      <c r="A535" s="2" t="s">
        <v>0</v>
      </c>
      <c r="B535" s="2" t="s">
        <v>1</v>
      </c>
      <c r="D535" s="2" t="s">
        <v>2</v>
      </c>
      <c r="E535" s="2" t="s">
        <v>3</v>
      </c>
      <c r="F535" s="2" t="s">
        <v>879</v>
      </c>
      <c r="G535" s="2" t="s">
        <v>4</v>
      </c>
      <c r="J535" s="2" t="s">
        <v>7</v>
      </c>
    </row>
    <row r="536" ht="12.75" customHeight="1">
      <c r="A536" s="2">
        <f>$M$1</f>
        <v>2015</v>
      </c>
      <c r="B536" s="2">
        <v>9.0</v>
      </c>
      <c r="J536" s="2" t="s">
        <v>24</v>
      </c>
    </row>
    <row r="537" ht="12.75" customHeight="1">
      <c r="A537" s="2" t="s">
        <v>0</v>
      </c>
      <c r="B537" s="2" t="s">
        <v>1</v>
      </c>
      <c r="D537" s="2" t="s">
        <v>2</v>
      </c>
      <c r="E537" s="2" t="s">
        <v>3</v>
      </c>
      <c r="F537" s="2" t="s">
        <v>879</v>
      </c>
      <c r="G537" s="2" t="s">
        <v>4</v>
      </c>
      <c r="J537" s="2" t="s">
        <v>7</v>
      </c>
    </row>
    <row r="538" ht="12.75" customHeight="1">
      <c r="A538" s="2">
        <f>$M$1</f>
        <v>2015</v>
      </c>
      <c r="B538" s="2">
        <v>9.0</v>
      </c>
      <c r="J538" s="2" t="s">
        <v>651</v>
      </c>
    </row>
    <row r="539" ht="12.75" customHeight="1">
      <c r="A539" s="2" t="s">
        <v>0</v>
      </c>
      <c r="B539" s="2" t="s">
        <v>1</v>
      </c>
      <c r="D539" s="2" t="s">
        <v>2</v>
      </c>
      <c r="E539" s="2" t="s">
        <v>3</v>
      </c>
      <c r="F539" s="2" t="s">
        <v>879</v>
      </c>
      <c r="G539" s="2" t="s">
        <v>4</v>
      </c>
      <c r="J539" s="2" t="s">
        <v>7</v>
      </c>
    </row>
    <row r="540" ht="12.75" customHeight="1">
      <c r="A540" s="2">
        <f>$M$1</f>
        <v>2015</v>
      </c>
      <c r="B540" s="2">
        <v>9.0</v>
      </c>
      <c r="J540" s="2" t="s">
        <v>76</v>
      </c>
    </row>
    <row r="541" ht="12.75" customHeight="1">
      <c r="A541" s="2" t="s">
        <v>0</v>
      </c>
      <c r="B541" s="2" t="s">
        <v>1</v>
      </c>
      <c r="D541" s="2" t="s">
        <v>2</v>
      </c>
      <c r="E541" s="2" t="s">
        <v>3</v>
      </c>
      <c r="F541" s="2" t="s">
        <v>879</v>
      </c>
      <c r="G541" s="2" t="s">
        <v>4</v>
      </c>
      <c r="J541" s="2" t="s">
        <v>7</v>
      </c>
    </row>
    <row r="542" ht="12.75" customHeight="1">
      <c r="A542" s="2">
        <f>$M$1</f>
        <v>2015</v>
      </c>
      <c r="B542" s="2">
        <v>9.0</v>
      </c>
      <c r="J542" s="2" t="s">
        <v>26</v>
      </c>
    </row>
    <row r="543" ht="12.75" customHeight="1">
      <c r="A543" s="2" t="s">
        <v>0</v>
      </c>
      <c r="B543" s="2" t="s">
        <v>1</v>
      </c>
      <c r="D543" s="2" t="s">
        <v>2</v>
      </c>
      <c r="E543" s="2" t="s">
        <v>3</v>
      </c>
      <c r="F543" s="2" t="s">
        <v>879</v>
      </c>
      <c r="G543" s="2" t="s">
        <v>4</v>
      </c>
      <c r="J543" s="2" t="s">
        <v>7</v>
      </c>
    </row>
    <row r="544" ht="12.75" customHeight="1">
      <c r="A544" s="2">
        <f>$M$1</f>
        <v>2015</v>
      </c>
      <c r="B544" s="2">
        <v>9.0</v>
      </c>
      <c r="J544" s="2" t="s">
        <v>103</v>
      </c>
    </row>
    <row r="545" ht="12.75" customHeight="1">
      <c r="A545" s="2" t="s">
        <v>0</v>
      </c>
      <c r="B545" s="2" t="s">
        <v>1</v>
      </c>
      <c r="D545" s="2" t="s">
        <v>2</v>
      </c>
      <c r="E545" s="2" t="s">
        <v>3</v>
      </c>
      <c r="F545" s="2" t="s">
        <v>879</v>
      </c>
      <c r="G545" s="2" t="s">
        <v>4</v>
      </c>
      <c r="J545" s="2" t="s">
        <v>7</v>
      </c>
    </row>
    <row r="546" ht="12.75" customHeight="1">
      <c r="A546" s="2">
        <f>$M$1</f>
        <v>2015</v>
      </c>
      <c r="B546" s="2">
        <v>9.0</v>
      </c>
      <c r="J546" s="2" t="s">
        <v>22</v>
      </c>
    </row>
    <row r="547" ht="12.75" customHeight="1">
      <c r="A547" s="2" t="s">
        <v>0</v>
      </c>
      <c r="B547" s="2" t="s">
        <v>1</v>
      </c>
      <c r="D547" s="2" t="s">
        <v>2</v>
      </c>
      <c r="E547" s="2" t="s">
        <v>3</v>
      </c>
      <c r="F547" s="2" t="s">
        <v>879</v>
      </c>
      <c r="G547" s="2" t="s">
        <v>4</v>
      </c>
      <c r="J547" s="2" t="s">
        <v>7</v>
      </c>
    </row>
    <row r="548" ht="12.75" customHeight="1">
      <c r="A548" s="2">
        <f>$M$1</f>
        <v>2015</v>
      </c>
      <c r="B548" s="2">
        <v>9.0</v>
      </c>
      <c r="J548" s="2" t="s">
        <v>428</v>
      </c>
    </row>
    <row r="549" ht="12.75" customHeight="1">
      <c r="A549" s="2" t="s">
        <v>0</v>
      </c>
      <c r="B549" s="2" t="s">
        <v>1</v>
      </c>
      <c r="D549" s="2" t="s">
        <v>2</v>
      </c>
      <c r="E549" s="2" t="s">
        <v>3</v>
      </c>
      <c r="F549" s="2" t="s">
        <v>879</v>
      </c>
      <c r="G549" s="2" t="s">
        <v>4</v>
      </c>
      <c r="J549" s="2" t="s">
        <v>7</v>
      </c>
    </row>
    <row r="550" ht="12.75" customHeight="1">
      <c r="A550" s="2">
        <f>$M$1</f>
        <v>2015</v>
      </c>
      <c r="B550" s="2">
        <v>9.0</v>
      </c>
      <c r="J550" s="2" t="s">
        <v>800</v>
      </c>
    </row>
    <row r="551" ht="12.75" customHeight="1">
      <c r="A551" s="2" t="s">
        <v>0</v>
      </c>
      <c r="B551" s="2" t="s">
        <v>1</v>
      </c>
      <c r="D551" s="2" t="s">
        <v>2</v>
      </c>
      <c r="E551" s="2" t="s">
        <v>3</v>
      </c>
      <c r="F551" s="2" t="s">
        <v>879</v>
      </c>
      <c r="G551" s="2" t="s">
        <v>4</v>
      </c>
      <c r="J551" s="2" t="s">
        <v>7</v>
      </c>
    </row>
    <row r="552" ht="12.75" customHeight="1">
      <c r="A552" s="2">
        <f>$M$1</f>
        <v>2015</v>
      </c>
      <c r="B552" s="2">
        <v>9.0</v>
      </c>
      <c r="J552" s="2" t="s">
        <v>54</v>
      </c>
    </row>
    <row r="553" ht="12.75" customHeight="1">
      <c r="A553" s="2" t="s">
        <v>0</v>
      </c>
      <c r="B553" s="2" t="s">
        <v>1</v>
      </c>
      <c r="D553" s="2" t="s">
        <v>2</v>
      </c>
      <c r="E553" s="2" t="s">
        <v>3</v>
      </c>
      <c r="F553" s="2" t="s">
        <v>879</v>
      </c>
      <c r="G553" s="2" t="s">
        <v>4</v>
      </c>
      <c r="J553" s="2" t="s">
        <v>7</v>
      </c>
    </row>
    <row r="554" ht="12.75" customHeight="1">
      <c r="A554" s="2">
        <f>$M$1</f>
        <v>2015</v>
      </c>
      <c r="B554" s="2">
        <v>9.0</v>
      </c>
      <c r="J554" s="2" t="s">
        <v>801</v>
      </c>
    </row>
    <row r="555" ht="12.75" customHeight="1">
      <c r="A555" s="2" t="s">
        <v>0</v>
      </c>
      <c r="B555" s="2" t="s">
        <v>1</v>
      </c>
      <c r="D555" s="2" t="s">
        <v>2</v>
      </c>
      <c r="E555" s="2" t="s">
        <v>3</v>
      </c>
      <c r="F555" s="2" t="s">
        <v>879</v>
      </c>
      <c r="G555" s="2" t="s">
        <v>4</v>
      </c>
      <c r="J555" s="2" t="s">
        <v>7</v>
      </c>
    </row>
    <row r="556" ht="12.75" customHeight="1">
      <c r="A556" s="2">
        <f>$M$1</f>
        <v>2015</v>
      </c>
      <c r="B556" s="2">
        <v>9.0</v>
      </c>
      <c r="J556" s="2" t="s">
        <v>38</v>
      </c>
    </row>
    <row r="557" ht="12.75" customHeight="1">
      <c r="A557" s="2" t="s">
        <v>0</v>
      </c>
      <c r="B557" s="2" t="s">
        <v>1</v>
      </c>
      <c r="D557" s="2" t="s">
        <v>2</v>
      </c>
      <c r="E557" s="2" t="s">
        <v>3</v>
      </c>
      <c r="F557" s="2" t="s">
        <v>879</v>
      </c>
      <c r="G557" s="2" t="s">
        <v>4</v>
      </c>
      <c r="J557" s="2" t="s">
        <v>7</v>
      </c>
    </row>
    <row r="558" ht="12.75" customHeight="1">
      <c r="A558" s="2">
        <f>$M$1</f>
        <v>2015</v>
      </c>
      <c r="B558" s="2">
        <v>9.0</v>
      </c>
      <c r="J558" s="2" t="s">
        <v>47</v>
      </c>
    </row>
    <row r="559" ht="12.75" customHeight="1">
      <c r="A559" s="2" t="s">
        <v>0</v>
      </c>
      <c r="B559" s="2" t="s">
        <v>1</v>
      </c>
      <c r="D559" s="2" t="s">
        <v>2</v>
      </c>
      <c r="E559" s="2" t="s">
        <v>3</v>
      </c>
      <c r="F559" s="2" t="s">
        <v>879</v>
      </c>
      <c r="G559" s="2" t="s">
        <v>4</v>
      </c>
      <c r="J559" s="2" t="s">
        <v>7</v>
      </c>
    </row>
    <row r="560" ht="12.75" customHeight="1">
      <c r="A560" s="2">
        <f>$M$1</f>
        <v>2015</v>
      </c>
      <c r="B560" s="2">
        <v>9.0</v>
      </c>
      <c r="J560" s="2" t="s">
        <v>52</v>
      </c>
    </row>
    <row r="561" ht="12.75" customHeight="1">
      <c r="A561" s="2" t="s">
        <v>0</v>
      </c>
      <c r="B561" s="2" t="s">
        <v>1</v>
      </c>
      <c r="D561" s="2" t="s">
        <v>2</v>
      </c>
      <c r="E561" s="2" t="s">
        <v>3</v>
      </c>
      <c r="F561" s="2" t="s">
        <v>879</v>
      </c>
      <c r="G561" s="2" t="s">
        <v>4</v>
      </c>
      <c r="J561" s="2" t="s">
        <v>7</v>
      </c>
    </row>
    <row r="562" ht="12.75" customHeight="1">
      <c r="A562" s="2">
        <f>$M$1</f>
        <v>2015</v>
      </c>
      <c r="B562" s="2">
        <v>9.0</v>
      </c>
      <c r="J562" s="2" t="s">
        <v>42</v>
      </c>
    </row>
    <row r="563" ht="12.75" customHeight="1">
      <c r="A563" s="2" t="s">
        <v>0</v>
      </c>
      <c r="B563" s="2" t="s">
        <v>1</v>
      </c>
      <c r="D563" s="2" t="s">
        <v>2</v>
      </c>
      <c r="E563" s="2" t="s">
        <v>3</v>
      </c>
      <c r="F563" s="2" t="s">
        <v>879</v>
      </c>
      <c r="G563" s="2" t="s">
        <v>4</v>
      </c>
      <c r="J563" s="2" t="s">
        <v>7</v>
      </c>
    </row>
    <row r="564" ht="12.75" customHeight="1">
      <c r="A564" s="2">
        <f>$M$1</f>
        <v>2015</v>
      </c>
      <c r="B564" s="2">
        <v>9.0</v>
      </c>
      <c r="J564" s="2" t="s">
        <v>133</v>
      </c>
    </row>
    <row r="565" ht="12.75" customHeight="1">
      <c r="A565" s="2" t="s">
        <v>0</v>
      </c>
      <c r="B565" s="2" t="s">
        <v>1</v>
      </c>
      <c r="D565" s="2" t="s">
        <v>2</v>
      </c>
      <c r="E565" s="2" t="s">
        <v>3</v>
      </c>
      <c r="F565" s="2" t="s">
        <v>879</v>
      </c>
      <c r="G565" s="2" t="s">
        <v>4</v>
      </c>
      <c r="J565" s="2" t="s">
        <v>7</v>
      </c>
    </row>
    <row r="566" ht="12.75" customHeight="1">
      <c r="A566" s="2">
        <f>$M$1</f>
        <v>2015</v>
      </c>
      <c r="B566" s="2">
        <v>9.0</v>
      </c>
      <c r="J566" s="2" t="s">
        <v>803</v>
      </c>
    </row>
    <row r="567" ht="12.75" customHeight="1">
      <c r="A567" s="2" t="s">
        <v>0</v>
      </c>
      <c r="B567" s="2" t="s">
        <v>1</v>
      </c>
      <c r="D567" s="2" t="s">
        <v>2</v>
      </c>
      <c r="E567" s="2" t="s">
        <v>3</v>
      </c>
      <c r="F567" s="2" t="s">
        <v>879</v>
      </c>
      <c r="G567" s="2" t="s">
        <v>4</v>
      </c>
      <c r="J567" s="2" t="s">
        <v>7</v>
      </c>
    </row>
    <row r="568" ht="12.75" customHeight="1">
      <c r="A568" s="2">
        <f>$M$1</f>
        <v>2015</v>
      </c>
      <c r="B568" s="2">
        <v>9.0</v>
      </c>
      <c r="J568" s="2" t="s">
        <v>164</v>
      </c>
    </row>
    <row r="569" ht="12.75" customHeight="1">
      <c r="A569" s="2" t="s">
        <v>0</v>
      </c>
      <c r="B569" s="2" t="s">
        <v>1</v>
      </c>
      <c r="D569" s="2" t="s">
        <v>2</v>
      </c>
      <c r="E569" s="2" t="s">
        <v>3</v>
      </c>
      <c r="F569" s="2" t="s">
        <v>879</v>
      </c>
      <c r="G569" s="2" t="s">
        <v>4</v>
      </c>
      <c r="J569" s="2" t="s">
        <v>7</v>
      </c>
    </row>
    <row r="570" ht="12.75" customHeight="1">
      <c r="A570" s="2">
        <f>$M$1</f>
        <v>2015</v>
      </c>
      <c r="B570" s="2">
        <v>9.0</v>
      </c>
      <c r="J570" s="2" t="s">
        <v>50</v>
      </c>
    </row>
    <row r="571" ht="12.75" customHeight="1">
      <c r="A571" s="2" t="s">
        <v>0</v>
      </c>
      <c r="B571" s="2" t="s">
        <v>1</v>
      </c>
      <c r="D571" s="2" t="s">
        <v>2</v>
      </c>
      <c r="E571" s="2" t="s">
        <v>3</v>
      </c>
      <c r="F571" s="2" t="s">
        <v>879</v>
      </c>
      <c r="G571" s="2" t="s">
        <v>4</v>
      </c>
      <c r="J571" s="2" t="s">
        <v>7</v>
      </c>
    </row>
    <row r="572" ht="12.75" customHeight="1">
      <c r="A572" s="2">
        <f>$M$1</f>
        <v>2015</v>
      </c>
      <c r="B572" s="2">
        <v>9.0</v>
      </c>
      <c r="J572" s="2" t="s">
        <v>304</v>
      </c>
    </row>
    <row r="573" ht="12.75" customHeight="1">
      <c r="A573" s="2" t="s">
        <v>0</v>
      </c>
      <c r="B573" s="2" t="s">
        <v>1</v>
      </c>
      <c r="D573" s="2" t="s">
        <v>2</v>
      </c>
      <c r="E573" s="2" t="s">
        <v>3</v>
      </c>
      <c r="F573" s="2" t="s">
        <v>879</v>
      </c>
      <c r="G573" s="2" t="s">
        <v>4</v>
      </c>
      <c r="J573" s="2" t="s">
        <v>7</v>
      </c>
    </row>
    <row r="574" ht="12.75" customHeight="1">
      <c r="A574" s="2">
        <f>$M$1</f>
        <v>2015</v>
      </c>
      <c r="B574" s="2">
        <v>9.0</v>
      </c>
      <c r="J574" s="2" t="s">
        <v>72</v>
      </c>
    </row>
    <row r="575" ht="12.75" customHeight="1">
      <c r="A575" s="2" t="s">
        <v>0</v>
      </c>
      <c r="B575" s="2" t="s">
        <v>1</v>
      </c>
      <c r="D575" s="2" t="s">
        <v>2</v>
      </c>
      <c r="E575" s="2" t="s">
        <v>3</v>
      </c>
      <c r="F575" s="2" t="s">
        <v>879</v>
      </c>
      <c r="G575" s="2" t="s">
        <v>4</v>
      </c>
      <c r="J575" s="2" t="s">
        <v>7</v>
      </c>
    </row>
    <row r="576" ht="12.75" customHeight="1">
      <c r="A576" s="2">
        <f>$M$1</f>
        <v>2015</v>
      </c>
      <c r="B576" s="2">
        <v>9.0</v>
      </c>
      <c r="J576" s="2" t="s">
        <v>13</v>
      </c>
    </row>
    <row r="577" ht="12.75" customHeight="1">
      <c r="A577" s="2" t="s">
        <v>0</v>
      </c>
      <c r="B577" s="2" t="s">
        <v>1</v>
      </c>
      <c r="D577" s="2" t="s">
        <v>2</v>
      </c>
      <c r="E577" s="2" t="s">
        <v>3</v>
      </c>
      <c r="F577" s="2" t="s">
        <v>879</v>
      </c>
      <c r="G577" s="2" t="s">
        <v>4</v>
      </c>
      <c r="J577" s="2" t="s">
        <v>7</v>
      </c>
    </row>
    <row r="578" ht="12.75" customHeight="1">
      <c r="A578" s="2">
        <f>$M$1</f>
        <v>2015</v>
      </c>
      <c r="B578" s="2">
        <v>9.0</v>
      </c>
      <c r="J578" s="2" t="s">
        <v>18</v>
      </c>
    </row>
    <row r="579" ht="12.75" customHeight="1">
      <c r="A579" s="2" t="s">
        <v>0</v>
      </c>
      <c r="B579" s="2" t="s">
        <v>1</v>
      </c>
      <c r="D579" s="2" t="s">
        <v>2</v>
      </c>
      <c r="E579" s="2" t="s">
        <v>3</v>
      </c>
      <c r="F579" s="2" t="s">
        <v>879</v>
      </c>
      <c r="G579" s="2" t="s">
        <v>4</v>
      </c>
      <c r="J579" s="2" t="s">
        <v>7</v>
      </c>
    </row>
    <row r="580" ht="12.75" customHeight="1">
      <c r="A580" s="2">
        <f>$M$1</f>
        <v>2015</v>
      </c>
      <c r="B580" s="2">
        <v>9.0</v>
      </c>
      <c r="J580" s="2" t="s">
        <v>153</v>
      </c>
    </row>
    <row r="581" ht="12.75" customHeight="1">
      <c r="A581" s="2" t="s">
        <v>0</v>
      </c>
      <c r="B581" s="2" t="s">
        <v>1</v>
      </c>
      <c r="D581" s="2" t="s">
        <v>2</v>
      </c>
      <c r="E581" s="2" t="s">
        <v>3</v>
      </c>
      <c r="F581" s="2" t="s">
        <v>879</v>
      </c>
      <c r="G581" s="2" t="s">
        <v>4</v>
      </c>
      <c r="J581" s="2" t="s">
        <v>7</v>
      </c>
    </row>
    <row r="582" ht="12.75" customHeight="1">
      <c r="A582" s="2">
        <f>$M$1</f>
        <v>2015</v>
      </c>
      <c r="B582" s="2">
        <v>9.0</v>
      </c>
      <c r="J582" s="2" t="s">
        <v>805</v>
      </c>
    </row>
    <row r="583" ht="12.75" customHeight="1">
      <c r="A583" s="2" t="s">
        <v>0</v>
      </c>
      <c r="B583" s="2" t="s">
        <v>1</v>
      </c>
      <c r="D583" s="2" t="s">
        <v>2</v>
      </c>
      <c r="E583" s="2" t="s">
        <v>3</v>
      </c>
      <c r="F583" s="2" t="s">
        <v>879</v>
      </c>
      <c r="G583" s="2" t="s">
        <v>4</v>
      </c>
      <c r="J583" s="2" t="s">
        <v>7</v>
      </c>
    </row>
    <row r="584" ht="12.75" customHeight="1">
      <c r="A584" s="2">
        <f>$M$1</f>
        <v>2015</v>
      </c>
      <c r="B584" s="2">
        <v>9.0</v>
      </c>
      <c r="J584" s="2" t="s">
        <v>31</v>
      </c>
    </row>
    <row r="585" ht="12.75" customHeight="1">
      <c r="A585" s="2" t="s">
        <v>0</v>
      </c>
      <c r="B585" s="2" t="s">
        <v>1</v>
      </c>
      <c r="D585" s="2" t="s">
        <v>2</v>
      </c>
      <c r="E585" s="2" t="s">
        <v>3</v>
      </c>
      <c r="F585" s="2" t="s">
        <v>879</v>
      </c>
      <c r="G585" s="2" t="s">
        <v>4</v>
      </c>
      <c r="J585" s="2" t="s">
        <v>7</v>
      </c>
    </row>
    <row r="586" ht="12.75" customHeight="1">
      <c r="A586" s="2">
        <f>$M$1</f>
        <v>2015</v>
      </c>
      <c r="B586" s="2">
        <v>9.0</v>
      </c>
      <c r="J586" s="2" t="s">
        <v>123</v>
      </c>
    </row>
    <row r="587" ht="12.75" customHeight="1">
      <c r="A587" s="2" t="s">
        <v>0</v>
      </c>
      <c r="B587" s="2" t="s">
        <v>1</v>
      </c>
      <c r="D587" s="2" t="s">
        <v>2</v>
      </c>
      <c r="E587" s="2" t="s">
        <v>3</v>
      </c>
      <c r="F587" s="2" t="s">
        <v>879</v>
      </c>
      <c r="G587" s="2" t="s">
        <v>4</v>
      </c>
      <c r="J587" s="2" t="s">
        <v>7</v>
      </c>
    </row>
    <row r="588" ht="12.75" customHeight="1">
      <c r="A588" s="2">
        <f>$M$1</f>
        <v>2015</v>
      </c>
      <c r="B588" s="2">
        <v>9.0</v>
      </c>
      <c r="J588" s="2" t="s">
        <v>35</v>
      </c>
    </row>
    <row r="589" ht="12.75" customHeight="1">
      <c r="A589" s="2" t="s">
        <v>0</v>
      </c>
      <c r="B589" s="2" t="s">
        <v>1</v>
      </c>
      <c r="D589" s="2" t="s">
        <v>2</v>
      </c>
      <c r="E589" s="2" t="s">
        <v>3</v>
      </c>
      <c r="F589" s="2" t="s">
        <v>879</v>
      </c>
      <c r="G589" s="2" t="s">
        <v>4</v>
      </c>
      <c r="J589" s="2" t="s">
        <v>7</v>
      </c>
    </row>
    <row r="590" ht="12.75" customHeight="1">
      <c r="A590" s="2">
        <f>$M$1</f>
        <v>2015</v>
      </c>
      <c r="B590" s="2">
        <v>9.0</v>
      </c>
      <c r="J590" s="2" t="s">
        <v>210</v>
      </c>
    </row>
    <row r="591" ht="12.75" customHeight="1">
      <c r="A591" s="2" t="s">
        <v>0</v>
      </c>
      <c r="B591" s="2" t="s">
        <v>1</v>
      </c>
      <c r="D591" s="2" t="s">
        <v>2</v>
      </c>
      <c r="E591" s="2" t="s">
        <v>3</v>
      </c>
      <c r="F591" s="2" t="s">
        <v>879</v>
      </c>
      <c r="G591" s="2" t="s">
        <v>4</v>
      </c>
      <c r="J591" s="2" t="s">
        <v>7</v>
      </c>
    </row>
    <row r="592" ht="12.75" customHeight="1">
      <c r="A592" s="2">
        <f>$M$1</f>
        <v>2015</v>
      </c>
      <c r="B592" s="2">
        <v>9.0</v>
      </c>
      <c r="J592" s="2" t="s">
        <v>808</v>
      </c>
    </row>
    <row r="593" ht="12.75" customHeight="1">
      <c r="A593" s="2" t="s">
        <v>0</v>
      </c>
      <c r="B593" s="2" t="s">
        <v>1</v>
      </c>
      <c r="D593" s="2" t="s">
        <v>2</v>
      </c>
      <c r="E593" s="2" t="s">
        <v>3</v>
      </c>
      <c r="F593" s="2" t="s">
        <v>879</v>
      </c>
      <c r="G593" s="2" t="s">
        <v>4</v>
      </c>
      <c r="J593" s="2" t="s">
        <v>7</v>
      </c>
    </row>
    <row r="594" ht="12.75" customHeight="1">
      <c r="A594" s="2">
        <f>$M$1</f>
        <v>2015</v>
      </c>
      <c r="B594" s="2">
        <v>9.0</v>
      </c>
      <c r="J594" s="2" t="s">
        <v>810</v>
      </c>
    </row>
    <row r="595" ht="12.75" customHeight="1">
      <c r="A595" s="2" t="s">
        <v>0</v>
      </c>
      <c r="B595" s="2" t="s">
        <v>1</v>
      </c>
      <c r="D595" s="2" t="s">
        <v>2</v>
      </c>
      <c r="E595" s="2" t="s">
        <v>3</v>
      </c>
      <c r="F595" s="2" t="s">
        <v>879</v>
      </c>
      <c r="G595" s="2" t="s">
        <v>4</v>
      </c>
      <c r="J595" s="2" t="s">
        <v>7</v>
      </c>
    </row>
    <row r="596" ht="12.75" customHeight="1">
      <c r="A596" s="2">
        <f>$M$1</f>
        <v>2015</v>
      </c>
      <c r="B596" s="2">
        <v>10.0</v>
      </c>
      <c r="J596" s="2" t="s">
        <v>10</v>
      </c>
    </row>
    <row r="597" ht="12.75" customHeight="1">
      <c r="A597" s="2" t="s">
        <v>0</v>
      </c>
      <c r="B597" s="2" t="s">
        <v>1</v>
      </c>
      <c r="D597" s="2" t="s">
        <v>2</v>
      </c>
      <c r="E597" s="2" t="s">
        <v>3</v>
      </c>
      <c r="F597" s="2" t="s">
        <v>879</v>
      </c>
      <c r="G597" s="2" t="s">
        <v>4</v>
      </c>
      <c r="J597" s="2" t="s">
        <v>7</v>
      </c>
    </row>
    <row r="598" ht="12.75" customHeight="1">
      <c r="A598" s="2">
        <f>$M$1</f>
        <v>2015</v>
      </c>
      <c r="B598" s="2">
        <v>10.0</v>
      </c>
      <c r="J598" s="2" t="s">
        <v>20</v>
      </c>
    </row>
    <row r="599" ht="12.75" customHeight="1">
      <c r="A599" s="2" t="s">
        <v>0</v>
      </c>
      <c r="B599" s="2" t="s">
        <v>1</v>
      </c>
      <c r="D599" s="2" t="s">
        <v>2</v>
      </c>
      <c r="E599" s="2" t="s">
        <v>3</v>
      </c>
      <c r="F599" s="2" t="s">
        <v>879</v>
      </c>
      <c r="G599" s="2" t="s">
        <v>4</v>
      </c>
      <c r="J599" s="2" t="s">
        <v>7</v>
      </c>
    </row>
    <row r="600" ht="12.75" customHeight="1">
      <c r="A600" s="2">
        <f>$M$1</f>
        <v>2015</v>
      </c>
      <c r="B600" s="2">
        <v>10.0</v>
      </c>
      <c r="J600" s="2" t="s">
        <v>17</v>
      </c>
    </row>
    <row r="601" ht="12.75" customHeight="1">
      <c r="A601" s="2" t="s">
        <v>0</v>
      </c>
      <c r="B601" s="2" t="s">
        <v>1</v>
      </c>
      <c r="D601" s="2" t="s">
        <v>2</v>
      </c>
      <c r="E601" s="2" t="s">
        <v>3</v>
      </c>
      <c r="F601" s="2" t="s">
        <v>879</v>
      </c>
      <c r="G601" s="2" t="s">
        <v>4</v>
      </c>
      <c r="J601" s="2" t="s">
        <v>7</v>
      </c>
    </row>
    <row r="602" ht="12.75" customHeight="1">
      <c r="A602" s="2">
        <f>$M$1</f>
        <v>2015</v>
      </c>
      <c r="B602" s="2">
        <v>10.0</v>
      </c>
      <c r="J602" s="2" t="s">
        <v>24</v>
      </c>
    </row>
    <row r="603" ht="12.75" customHeight="1">
      <c r="A603" s="2" t="s">
        <v>0</v>
      </c>
      <c r="B603" s="2" t="s">
        <v>1</v>
      </c>
      <c r="D603" s="2" t="s">
        <v>2</v>
      </c>
      <c r="E603" s="2" t="s">
        <v>3</v>
      </c>
      <c r="F603" s="2" t="s">
        <v>879</v>
      </c>
      <c r="G603" s="2" t="s">
        <v>4</v>
      </c>
      <c r="J603" s="2" t="s">
        <v>7</v>
      </c>
    </row>
    <row r="604" ht="12.75" customHeight="1">
      <c r="A604" s="2">
        <f>$M$1</f>
        <v>2015</v>
      </c>
      <c r="B604" s="2">
        <v>10.0</v>
      </c>
      <c r="J604" s="2" t="s">
        <v>651</v>
      </c>
    </row>
    <row r="605" ht="12.75" customHeight="1">
      <c r="A605" s="2" t="s">
        <v>0</v>
      </c>
      <c r="B605" s="2" t="s">
        <v>1</v>
      </c>
      <c r="D605" s="2" t="s">
        <v>2</v>
      </c>
      <c r="E605" s="2" t="s">
        <v>3</v>
      </c>
      <c r="F605" s="2" t="s">
        <v>879</v>
      </c>
      <c r="G605" s="2" t="s">
        <v>4</v>
      </c>
      <c r="J605" s="2" t="s">
        <v>7</v>
      </c>
    </row>
    <row r="606" ht="12.75" customHeight="1">
      <c r="A606" s="2">
        <f>$M$1</f>
        <v>2015</v>
      </c>
      <c r="B606" s="2">
        <v>10.0</v>
      </c>
      <c r="J606" s="2" t="s">
        <v>76</v>
      </c>
    </row>
    <row r="607" ht="12.75" customHeight="1">
      <c r="A607" s="2" t="s">
        <v>0</v>
      </c>
      <c r="B607" s="2" t="s">
        <v>1</v>
      </c>
      <c r="D607" s="2" t="s">
        <v>2</v>
      </c>
      <c r="E607" s="2" t="s">
        <v>3</v>
      </c>
      <c r="F607" s="2" t="s">
        <v>879</v>
      </c>
      <c r="G607" s="2" t="s">
        <v>4</v>
      </c>
      <c r="J607" s="2" t="s">
        <v>7</v>
      </c>
    </row>
    <row r="608" ht="12.75" customHeight="1">
      <c r="A608" s="2">
        <f>$M$1</f>
        <v>2015</v>
      </c>
      <c r="B608" s="2">
        <v>10.0</v>
      </c>
      <c r="J608" s="2" t="s">
        <v>26</v>
      </c>
    </row>
    <row r="609" ht="12.75" customHeight="1">
      <c r="A609" s="2" t="s">
        <v>0</v>
      </c>
      <c r="B609" s="2" t="s">
        <v>1</v>
      </c>
      <c r="D609" s="2" t="s">
        <v>2</v>
      </c>
      <c r="E609" s="2" t="s">
        <v>3</v>
      </c>
      <c r="F609" s="2" t="s">
        <v>879</v>
      </c>
      <c r="G609" s="2" t="s">
        <v>4</v>
      </c>
      <c r="J609" s="2" t="s">
        <v>7</v>
      </c>
    </row>
    <row r="610" ht="12.75" customHeight="1">
      <c r="A610" s="2">
        <f>$M$1</f>
        <v>2015</v>
      </c>
      <c r="B610" s="2">
        <v>10.0</v>
      </c>
      <c r="J610" s="2" t="s">
        <v>103</v>
      </c>
    </row>
    <row r="611" ht="12.75" customHeight="1">
      <c r="A611" s="2" t="s">
        <v>0</v>
      </c>
      <c r="B611" s="2" t="s">
        <v>1</v>
      </c>
      <c r="D611" s="2" t="s">
        <v>2</v>
      </c>
      <c r="E611" s="2" t="s">
        <v>3</v>
      </c>
      <c r="F611" s="2" t="s">
        <v>879</v>
      </c>
      <c r="G611" s="2" t="s">
        <v>4</v>
      </c>
      <c r="J611" s="2" t="s">
        <v>7</v>
      </c>
    </row>
    <row r="612" ht="12.75" customHeight="1">
      <c r="A612" s="2">
        <f>$M$1</f>
        <v>2015</v>
      </c>
      <c r="B612" s="2">
        <v>10.0</v>
      </c>
      <c r="J612" s="2" t="s">
        <v>22</v>
      </c>
    </row>
    <row r="613" ht="12.75" customHeight="1">
      <c r="A613" s="2" t="s">
        <v>0</v>
      </c>
      <c r="B613" s="2" t="s">
        <v>1</v>
      </c>
      <c r="D613" s="2" t="s">
        <v>2</v>
      </c>
      <c r="E613" s="2" t="s">
        <v>3</v>
      </c>
      <c r="F613" s="2" t="s">
        <v>879</v>
      </c>
      <c r="G613" s="2" t="s">
        <v>4</v>
      </c>
      <c r="J613" s="2" t="s">
        <v>7</v>
      </c>
    </row>
    <row r="614" ht="12.75" customHeight="1">
      <c r="A614" s="2">
        <f>$M$1</f>
        <v>2015</v>
      </c>
      <c r="B614" s="2">
        <v>10.0</v>
      </c>
      <c r="J614" s="2" t="s">
        <v>428</v>
      </c>
    </row>
    <row r="615" ht="12.75" customHeight="1">
      <c r="A615" s="2" t="s">
        <v>0</v>
      </c>
      <c r="B615" s="2" t="s">
        <v>1</v>
      </c>
      <c r="D615" s="2" t="s">
        <v>2</v>
      </c>
      <c r="E615" s="2" t="s">
        <v>3</v>
      </c>
      <c r="F615" s="2" t="s">
        <v>879</v>
      </c>
      <c r="G615" s="2" t="s">
        <v>4</v>
      </c>
      <c r="J615" s="2" t="s">
        <v>7</v>
      </c>
    </row>
    <row r="616" ht="12.75" customHeight="1">
      <c r="A616" s="2">
        <f>$M$1</f>
        <v>2015</v>
      </c>
      <c r="B616" s="2">
        <v>10.0</v>
      </c>
      <c r="J616" s="2" t="s">
        <v>800</v>
      </c>
    </row>
    <row r="617" ht="12.75" customHeight="1">
      <c r="A617" s="2" t="s">
        <v>0</v>
      </c>
      <c r="B617" s="2" t="s">
        <v>1</v>
      </c>
      <c r="D617" s="2" t="s">
        <v>2</v>
      </c>
      <c r="E617" s="2" t="s">
        <v>3</v>
      </c>
      <c r="F617" s="2" t="s">
        <v>879</v>
      </c>
      <c r="G617" s="2" t="s">
        <v>4</v>
      </c>
      <c r="J617" s="2" t="s">
        <v>7</v>
      </c>
    </row>
    <row r="618" ht="12.75" customHeight="1">
      <c r="A618" s="2">
        <f>$M$1</f>
        <v>2015</v>
      </c>
      <c r="B618" s="2">
        <v>10.0</v>
      </c>
      <c r="J618" s="2" t="s">
        <v>54</v>
      </c>
    </row>
    <row r="619" ht="12.75" customHeight="1">
      <c r="A619" s="2" t="s">
        <v>0</v>
      </c>
      <c r="B619" s="2" t="s">
        <v>1</v>
      </c>
      <c r="D619" s="2" t="s">
        <v>2</v>
      </c>
      <c r="E619" s="2" t="s">
        <v>3</v>
      </c>
      <c r="F619" s="2" t="s">
        <v>879</v>
      </c>
      <c r="G619" s="2" t="s">
        <v>4</v>
      </c>
      <c r="J619" s="2" t="s">
        <v>7</v>
      </c>
    </row>
    <row r="620" ht="12.75" customHeight="1">
      <c r="A620" s="2">
        <f>$M$1</f>
        <v>2015</v>
      </c>
      <c r="B620" s="2">
        <v>10.0</v>
      </c>
      <c r="J620" s="2" t="s">
        <v>801</v>
      </c>
    </row>
    <row r="621" ht="12.75" customHeight="1">
      <c r="A621" s="2" t="s">
        <v>0</v>
      </c>
      <c r="B621" s="2" t="s">
        <v>1</v>
      </c>
      <c r="D621" s="2" t="s">
        <v>2</v>
      </c>
      <c r="E621" s="2" t="s">
        <v>3</v>
      </c>
      <c r="F621" s="2" t="s">
        <v>879</v>
      </c>
      <c r="G621" s="2" t="s">
        <v>4</v>
      </c>
      <c r="J621" s="2" t="s">
        <v>7</v>
      </c>
    </row>
    <row r="622" ht="12.75" customHeight="1">
      <c r="A622" s="2">
        <f>$M$1</f>
        <v>2015</v>
      </c>
      <c r="B622" s="2">
        <v>10.0</v>
      </c>
      <c r="J622" s="2" t="s">
        <v>38</v>
      </c>
    </row>
    <row r="623" ht="12.75" customHeight="1">
      <c r="A623" s="2" t="s">
        <v>0</v>
      </c>
      <c r="B623" s="2" t="s">
        <v>1</v>
      </c>
      <c r="D623" s="2" t="s">
        <v>2</v>
      </c>
      <c r="E623" s="2" t="s">
        <v>3</v>
      </c>
      <c r="F623" s="2" t="s">
        <v>879</v>
      </c>
      <c r="G623" s="2" t="s">
        <v>4</v>
      </c>
      <c r="J623" s="2" t="s">
        <v>7</v>
      </c>
    </row>
    <row r="624" ht="12.75" customHeight="1">
      <c r="A624" s="2">
        <f>$M$1</f>
        <v>2015</v>
      </c>
      <c r="B624" s="2">
        <v>10.0</v>
      </c>
      <c r="J624" s="2" t="s">
        <v>47</v>
      </c>
    </row>
    <row r="625" ht="12.75" customHeight="1">
      <c r="A625" s="2" t="s">
        <v>0</v>
      </c>
      <c r="B625" s="2" t="s">
        <v>1</v>
      </c>
      <c r="D625" s="2" t="s">
        <v>2</v>
      </c>
      <c r="E625" s="2" t="s">
        <v>3</v>
      </c>
      <c r="F625" s="2" t="s">
        <v>879</v>
      </c>
      <c r="G625" s="2" t="s">
        <v>4</v>
      </c>
      <c r="J625" s="2" t="s">
        <v>7</v>
      </c>
    </row>
    <row r="626" ht="12.75" customHeight="1">
      <c r="A626" s="2">
        <f>$M$1</f>
        <v>2015</v>
      </c>
      <c r="B626" s="2">
        <v>10.0</v>
      </c>
      <c r="J626" s="2" t="s">
        <v>52</v>
      </c>
    </row>
    <row r="627" ht="12.75" customHeight="1">
      <c r="A627" s="2" t="s">
        <v>0</v>
      </c>
      <c r="B627" s="2" t="s">
        <v>1</v>
      </c>
      <c r="D627" s="2" t="s">
        <v>2</v>
      </c>
      <c r="E627" s="2" t="s">
        <v>3</v>
      </c>
      <c r="F627" s="2" t="s">
        <v>879</v>
      </c>
      <c r="G627" s="2" t="s">
        <v>4</v>
      </c>
      <c r="J627" s="2" t="s">
        <v>7</v>
      </c>
    </row>
    <row r="628" ht="12.75" customHeight="1">
      <c r="A628" s="2">
        <f>$M$1</f>
        <v>2015</v>
      </c>
      <c r="B628" s="2">
        <v>10.0</v>
      </c>
      <c r="J628" s="2" t="s">
        <v>42</v>
      </c>
    </row>
    <row r="629" ht="12.75" customHeight="1">
      <c r="A629" s="2" t="s">
        <v>0</v>
      </c>
      <c r="B629" s="2" t="s">
        <v>1</v>
      </c>
      <c r="D629" s="2" t="s">
        <v>2</v>
      </c>
      <c r="E629" s="2" t="s">
        <v>3</v>
      </c>
      <c r="F629" s="2" t="s">
        <v>879</v>
      </c>
      <c r="G629" s="2" t="s">
        <v>4</v>
      </c>
      <c r="J629" s="2" t="s">
        <v>7</v>
      </c>
    </row>
    <row r="630" ht="12.75" customHeight="1">
      <c r="A630" s="2">
        <f>$M$1</f>
        <v>2015</v>
      </c>
      <c r="B630" s="2">
        <v>10.0</v>
      </c>
      <c r="J630" s="2" t="s">
        <v>133</v>
      </c>
    </row>
    <row r="631" ht="12.75" customHeight="1">
      <c r="A631" s="2" t="s">
        <v>0</v>
      </c>
      <c r="B631" s="2" t="s">
        <v>1</v>
      </c>
      <c r="D631" s="2" t="s">
        <v>2</v>
      </c>
      <c r="E631" s="2" t="s">
        <v>3</v>
      </c>
      <c r="F631" s="2" t="s">
        <v>879</v>
      </c>
      <c r="G631" s="2" t="s">
        <v>4</v>
      </c>
      <c r="J631" s="2" t="s">
        <v>7</v>
      </c>
    </row>
    <row r="632" ht="12.75" customHeight="1">
      <c r="A632" s="2">
        <f>$M$1</f>
        <v>2015</v>
      </c>
      <c r="B632" s="2">
        <v>10.0</v>
      </c>
      <c r="J632" s="2" t="s">
        <v>803</v>
      </c>
    </row>
    <row r="633" ht="12.75" customHeight="1">
      <c r="A633" s="2" t="s">
        <v>0</v>
      </c>
      <c r="B633" s="2" t="s">
        <v>1</v>
      </c>
      <c r="D633" s="2" t="s">
        <v>2</v>
      </c>
      <c r="E633" s="2" t="s">
        <v>3</v>
      </c>
      <c r="F633" s="2" t="s">
        <v>879</v>
      </c>
      <c r="G633" s="2" t="s">
        <v>4</v>
      </c>
      <c r="J633" s="2" t="s">
        <v>7</v>
      </c>
    </row>
    <row r="634" ht="12.75" customHeight="1">
      <c r="A634" s="2">
        <f>$M$1</f>
        <v>2015</v>
      </c>
      <c r="B634" s="2">
        <v>10.0</v>
      </c>
      <c r="J634" s="2" t="s">
        <v>164</v>
      </c>
    </row>
    <row r="635" ht="12.75" customHeight="1">
      <c r="A635" s="2" t="s">
        <v>0</v>
      </c>
      <c r="B635" s="2" t="s">
        <v>1</v>
      </c>
      <c r="D635" s="2" t="s">
        <v>2</v>
      </c>
      <c r="E635" s="2" t="s">
        <v>3</v>
      </c>
      <c r="F635" s="2" t="s">
        <v>879</v>
      </c>
      <c r="G635" s="2" t="s">
        <v>4</v>
      </c>
      <c r="J635" s="2" t="s">
        <v>7</v>
      </c>
    </row>
    <row r="636" ht="12.75" customHeight="1">
      <c r="A636" s="2">
        <f>$M$1</f>
        <v>2015</v>
      </c>
      <c r="B636" s="2">
        <v>10.0</v>
      </c>
      <c r="J636" s="2" t="s">
        <v>50</v>
      </c>
    </row>
    <row r="637" ht="12.75" customHeight="1">
      <c r="A637" s="2" t="s">
        <v>0</v>
      </c>
      <c r="B637" s="2" t="s">
        <v>1</v>
      </c>
      <c r="D637" s="2" t="s">
        <v>2</v>
      </c>
      <c r="E637" s="2" t="s">
        <v>3</v>
      </c>
      <c r="F637" s="2" t="s">
        <v>879</v>
      </c>
      <c r="G637" s="2" t="s">
        <v>4</v>
      </c>
      <c r="J637" s="2" t="s">
        <v>7</v>
      </c>
    </row>
    <row r="638" ht="12.75" customHeight="1">
      <c r="A638" s="2">
        <f>$M$1</f>
        <v>2015</v>
      </c>
      <c r="B638" s="2">
        <v>10.0</v>
      </c>
      <c r="J638" s="2" t="s">
        <v>304</v>
      </c>
    </row>
    <row r="639" ht="12.75" customHeight="1">
      <c r="A639" s="2" t="s">
        <v>0</v>
      </c>
      <c r="B639" s="2" t="s">
        <v>1</v>
      </c>
      <c r="D639" s="2" t="s">
        <v>2</v>
      </c>
      <c r="E639" s="2" t="s">
        <v>3</v>
      </c>
      <c r="F639" s="2" t="s">
        <v>879</v>
      </c>
      <c r="G639" s="2" t="s">
        <v>4</v>
      </c>
      <c r="J639" s="2" t="s">
        <v>7</v>
      </c>
    </row>
    <row r="640" ht="12.75" customHeight="1">
      <c r="A640" s="2">
        <f>$M$1</f>
        <v>2015</v>
      </c>
      <c r="B640" s="2">
        <v>10.0</v>
      </c>
      <c r="J640" s="2" t="s">
        <v>72</v>
      </c>
    </row>
    <row r="641" ht="12.75" customHeight="1">
      <c r="A641" s="2" t="s">
        <v>0</v>
      </c>
      <c r="B641" s="2" t="s">
        <v>1</v>
      </c>
      <c r="D641" s="2" t="s">
        <v>2</v>
      </c>
      <c r="E641" s="2" t="s">
        <v>3</v>
      </c>
      <c r="F641" s="2" t="s">
        <v>879</v>
      </c>
      <c r="G641" s="2" t="s">
        <v>4</v>
      </c>
      <c r="J641" s="2" t="s">
        <v>7</v>
      </c>
    </row>
    <row r="642" ht="12.75" customHeight="1">
      <c r="A642" s="2">
        <f>$M$1</f>
        <v>2015</v>
      </c>
      <c r="B642" s="2">
        <v>10.0</v>
      </c>
      <c r="J642" s="2" t="s">
        <v>13</v>
      </c>
    </row>
    <row r="643" ht="12.75" customHeight="1">
      <c r="A643" s="2" t="s">
        <v>0</v>
      </c>
      <c r="B643" s="2" t="s">
        <v>1</v>
      </c>
      <c r="D643" s="2" t="s">
        <v>2</v>
      </c>
      <c r="E643" s="2" t="s">
        <v>3</v>
      </c>
      <c r="F643" s="2" t="s">
        <v>879</v>
      </c>
      <c r="G643" s="2" t="s">
        <v>4</v>
      </c>
      <c r="J643" s="2" t="s">
        <v>7</v>
      </c>
    </row>
    <row r="644" ht="12.75" customHeight="1">
      <c r="A644" s="2">
        <f>$M$1</f>
        <v>2015</v>
      </c>
      <c r="B644" s="2">
        <v>10.0</v>
      </c>
      <c r="J644" s="2" t="s">
        <v>18</v>
      </c>
    </row>
    <row r="645" ht="12.75" customHeight="1">
      <c r="A645" s="2" t="s">
        <v>0</v>
      </c>
      <c r="B645" s="2" t="s">
        <v>1</v>
      </c>
      <c r="D645" s="2" t="s">
        <v>2</v>
      </c>
      <c r="E645" s="2" t="s">
        <v>3</v>
      </c>
      <c r="F645" s="2" t="s">
        <v>879</v>
      </c>
      <c r="G645" s="2" t="s">
        <v>4</v>
      </c>
      <c r="J645" s="2" t="s">
        <v>7</v>
      </c>
    </row>
    <row r="646" ht="12.75" customHeight="1">
      <c r="A646" s="2">
        <f>$M$1</f>
        <v>2015</v>
      </c>
      <c r="B646" s="2">
        <v>10.0</v>
      </c>
      <c r="J646" s="2" t="s">
        <v>153</v>
      </c>
    </row>
    <row r="647" ht="12.75" customHeight="1">
      <c r="A647" s="2" t="s">
        <v>0</v>
      </c>
      <c r="B647" s="2" t="s">
        <v>1</v>
      </c>
      <c r="D647" s="2" t="s">
        <v>2</v>
      </c>
      <c r="E647" s="2" t="s">
        <v>3</v>
      </c>
      <c r="F647" s="2" t="s">
        <v>879</v>
      </c>
      <c r="G647" s="2" t="s">
        <v>4</v>
      </c>
      <c r="J647" s="2" t="s">
        <v>7</v>
      </c>
    </row>
    <row r="648" ht="12.75" customHeight="1">
      <c r="A648" s="2">
        <f>$M$1</f>
        <v>2015</v>
      </c>
      <c r="B648" s="2">
        <v>10.0</v>
      </c>
      <c r="J648" s="2" t="s">
        <v>805</v>
      </c>
    </row>
    <row r="649" ht="12.75" customHeight="1">
      <c r="A649" s="2" t="s">
        <v>0</v>
      </c>
      <c r="B649" s="2" t="s">
        <v>1</v>
      </c>
      <c r="D649" s="2" t="s">
        <v>2</v>
      </c>
      <c r="E649" s="2" t="s">
        <v>3</v>
      </c>
      <c r="F649" s="2" t="s">
        <v>879</v>
      </c>
      <c r="G649" s="2" t="s">
        <v>4</v>
      </c>
      <c r="J649" s="2" t="s">
        <v>7</v>
      </c>
    </row>
    <row r="650" ht="12.75" customHeight="1">
      <c r="A650" s="2">
        <f>$M$1</f>
        <v>2015</v>
      </c>
      <c r="B650" s="2">
        <v>10.0</v>
      </c>
      <c r="J650" s="2" t="s">
        <v>31</v>
      </c>
    </row>
    <row r="651" ht="12.75" customHeight="1">
      <c r="A651" s="2" t="s">
        <v>0</v>
      </c>
      <c r="B651" s="2" t="s">
        <v>1</v>
      </c>
      <c r="D651" s="2" t="s">
        <v>2</v>
      </c>
      <c r="E651" s="2" t="s">
        <v>3</v>
      </c>
      <c r="F651" s="2" t="s">
        <v>879</v>
      </c>
      <c r="G651" s="2" t="s">
        <v>4</v>
      </c>
      <c r="J651" s="2" t="s">
        <v>7</v>
      </c>
    </row>
    <row r="652" ht="12.75" customHeight="1">
      <c r="A652" s="2">
        <f>$M$1</f>
        <v>2015</v>
      </c>
      <c r="B652" s="2">
        <v>10.0</v>
      </c>
      <c r="J652" s="2" t="s">
        <v>123</v>
      </c>
    </row>
    <row r="653" ht="12.75" customHeight="1">
      <c r="A653" s="2" t="s">
        <v>0</v>
      </c>
      <c r="B653" s="2" t="s">
        <v>1</v>
      </c>
      <c r="D653" s="2" t="s">
        <v>2</v>
      </c>
      <c r="E653" s="2" t="s">
        <v>3</v>
      </c>
      <c r="F653" s="2" t="s">
        <v>879</v>
      </c>
      <c r="G653" s="2" t="s">
        <v>4</v>
      </c>
      <c r="J653" s="2" t="s">
        <v>7</v>
      </c>
    </row>
    <row r="654" ht="12.75" customHeight="1">
      <c r="A654" s="2">
        <f>$M$1</f>
        <v>2015</v>
      </c>
      <c r="B654" s="2">
        <v>10.0</v>
      </c>
      <c r="J654" s="2" t="s">
        <v>35</v>
      </c>
    </row>
    <row r="655" ht="12.75" customHeight="1">
      <c r="A655" s="2" t="s">
        <v>0</v>
      </c>
      <c r="B655" s="2" t="s">
        <v>1</v>
      </c>
      <c r="D655" s="2" t="s">
        <v>2</v>
      </c>
      <c r="E655" s="2" t="s">
        <v>3</v>
      </c>
      <c r="F655" s="2" t="s">
        <v>879</v>
      </c>
      <c r="G655" s="2" t="s">
        <v>4</v>
      </c>
      <c r="J655" s="2" t="s">
        <v>7</v>
      </c>
    </row>
    <row r="656" ht="12.75" customHeight="1">
      <c r="A656" s="2">
        <f>$M$1</f>
        <v>2015</v>
      </c>
      <c r="B656" s="2">
        <v>10.0</v>
      </c>
      <c r="J656" s="2" t="s">
        <v>210</v>
      </c>
    </row>
    <row r="657" ht="12.75" customHeight="1">
      <c r="A657" s="2" t="s">
        <v>0</v>
      </c>
      <c r="B657" s="2" t="s">
        <v>1</v>
      </c>
      <c r="D657" s="2" t="s">
        <v>2</v>
      </c>
      <c r="E657" s="2" t="s">
        <v>3</v>
      </c>
      <c r="F657" s="2" t="s">
        <v>879</v>
      </c>
      <c r="G657" s="2" t="s">
        <v>4</v>
      </c>
      <c r="J657" s="2" t="s">
        <v>7</v>
      </c>
    </row>
    <row r="658" ht="12.75" customHeight="1">
      <c r="A658" s="2">
        <f>$M$1</f>
        <v>2015</v>
      </c>
      <c r="B658" s="2">
        <v>10.0</v>
      </c>
      <c r="J658" s="2" t="s">
        <v>808</v>
      </c>
    </row>
    <row r="659" ht="12.75" customHeight="1">
      <c r="A659" s="2" t="s">
        <v>0</v>
      </c>
      <c r="B659" s="2" t="s">
        <v>1</v>
      </c>
      <c r="D659" s="2" t="s">
        <v>2</v>
      </c>
      <c r="E659" s="2" t="s">
        <v>3</v>
      </c>
      <c r="F659" s="2" t="s">
        <v>879</v>
      </c>
      <c r="G659" s="2" t="s">
        <v>4</v>
      </c>
      <c r="J659" s="2" t="s">
        <v>7</v>
      </c>
    </row>
    <row r="660" ht="12.75" customHeight="1">
      <c r="A660" s="2">
        <f>$M$1</f>
        <v>2015</v>
      </c>
      <c r="B660" s="2">
        <v>10.0</v>
      </c>
      <c r="J660" s="2" t="s">
        <v>810</v>
      </c>
    </row>
    <row r="661" ht="12.75" customHeight="1">
      <c r="A661" s="2" t="s">
        <v>0</v>
      </c>
      <c r="B661" s="2" t="s">
        <v>1</v>
      </c>
      <c r="D661" s="2" t="s">
        <v>2</v>
      </c>
      <c r="E661" s="2" t="s">
        <v>3</v>
      </c>
      <c r="F661" s="2" t="s">
        <v>879</v>
      </c>
      <c r="G661" s="2" t="s">
        <v>4</v>
      </c>
      <c r="J661" s="2" t="s">
        <v>7</v>
      </c>
    </row>
    <row r="662" ht="12.75" customHeight="1">
      <c r="A662" s="2">
        <f>$M$1</f>
        <v>2015</v>
      </c>
      <c r="B662" s="2">
        <v>11.0</v>
      </c>
      <c r="J662" s="2" t="s">
        <v>10</v>
      </c>
    </row>
    <row r="663" ht="12.75" customHeight="1">
      <c r="A663" s="2" t="s">
        <v>0</v>
      </c>
      <c r="B663" s="2" t="s">
        <v>1</v>
      </c>
      <c r="D663" s="2" t="s">
        <v>2</v>
      </c>
      <c r="E663" s="2" t="s">
        <v>3</v>
      </c>
      <c r="F663" s="2" t="s">
        <v>879</v>
      </c>
      <c r="G663" s="2" t="s">
        <v>4</v>
      </c>
      <c r="J663" s="2" t="s">
        <v>7</v>
      </c>
    </row>
    <row r="664" ht="12.75" customHeight="1">
      <c r="A664" s="2">
        <f>$M$1</f>
        <v>2015</v>
      </c>
      <c r="B664" s="2">
        <v>11.0</v>
      </c>
      <c r="J664" s="2" t="s">
        <v>20</v>
      </c>
    </row>
    <row r="665" ht="12.75" customHeight="1">
      <c r="A665" s="2" t="s">
        <v>0</v>
      </c>
      <c r="B665" s="2" t="s">
        <v>1</v>
      </c>
      <c r="D665" s="2" t="s">
        <v>2</v>
      </c>
      <c r="E665" s="2" t="s">
        <v>3</v>
      </c>
      <c r="F665" s="2" t="s">
        <v>879</v>
      </c>
      <c r="G665" s="2" t="s">
        <v>4</v>
      </c>
      <c r="J665" s="2" t="s">
        <v>7</v>
      </c>
    </row>
    <row r="666" ht="12.75" customHeight="1">
      <c r="A666" s="2">
        <f>$M$1</f>
        <v>2015</v>
      </c>
      <c r="B666" s="2">
        <v>11.0</v>
      </c>
      <c r="J666" s="2" t="s">
        <v>17</v>
      </c>
    </row>
    <row r="667" ht="12.75" customHeight="1">
      <c r="A667" s="2" t="s">
        <v>0</v>
      </c>
      <c r="B667" s="2" t="s">
        <v>1</v>
      </c>
      <c r="D667" s="2" t="s">
        <v>2</v>
      </c>
      <c r="E667" s="2" t="s">
        <v>3</v>
      </c>
      <c r="F667" s="2" t="s">
        <v>879</v>
      </c>
      <c r="G667" s="2" t="s">
        <v>4</v>
      </c>
      <c r="J667" s="2" t="s">
        <v>7</v>
      </c>
    </row>
    <row r="668" ht="12.75" customHeight="1">
      <c r="A668" s="2">
        <f>$M$1</f>
        <v>2015</v>
      </c>
      <c r="B668" s="2">
        <v>11.0</v>
      </c>
      <c r="J668" s="2" t="s">
        <v>24</v>
      </c>
    </row>
    <row r="669" ht="12.75" customHeight="1">
      <c r="A669" s="2" t="s">
        <v>0</v>
      </c>
      <c r="B669" s="2" t="s">
        <v>1</v>
      </c>
      <c r="D669" s="2" t="s">
        <v>2</v>
      </c>
      <c r="E669" s="2" t="s">
        <v>3</v>
      </c>
      <c r="F669" s="2" t="s">
        <v>879</v>
      </c>
      <c r="G669" s="2" t="s">
        <v>4</v>
      </c>
      <c r="J669" s="2" t="s">
        <v>7</v>
      </c>
    </row>
    <row r="670" ht="12.75" customHeight="1">
      <c r="A670" s="2">
        <f>$M$1</f>
        <v>2015</v>
      </c>
      <c r="B670" s="2">
        <v>11.0</v>
      </c>
      <c r="J670" s="2" t="s">
        <v>651</v>
      </c>
    </row>
    <row r="671" ht="12.75" customHeight="1">
      <c r="A671" s="2" t="s">
        <v>0</v>
      </c>
      <c r="B671" s="2" t="s">
        <v>1</v>
      </c>
      <c r="D671" s="2" t="s">
        <v>2</v>
      </c>
      <c r="E671" s="2" t="s">
        <v>3</v>
      </c>
      <c r="F671" s="2" t="s">
        <v>879</v>
      </c>
      <c r="G671" s="2" t="s">
        <v>4</v>
      </c>
      <c r="J671" s="2" t="s">
        <v>7</v>
      </c>
    </row>
    <row r="672" ht="12.75" customHeight="1">
      <c r="A672" s="2">
        <f>$M$1</f>
        <v>2015</v>
      </c>
      <c r="B672" s="2">
        <v>11.0</v>
      </c>
      <c r="J672" s="2" t="s">
        <v>76</v>
      </c>
    </row>
    <row r="673" ht="12.75" customHeight="1">
      <c r="A673" s="2" t="s">
        <v>0</v>
      </c>
      <c r="B673" s="2" t="s">
        <v>1</v>
      </c>
      <c r="D673" s="2" t="s">
        <v>2</v>
      </c>
      <c r="E673" s="2" t="s">
        <v>3</v>
      </c>
      <c r="F673" s="2" t="s">
        <v>879</v>
      </c>
      <c r="G673" s="2" t="s">
        <v>4</v>
      </c>
      <c r="J673" s="2" t="s">
        <v>7</v>
      </c>
    </row>
    <row r="674" ht="12.75" customHeight="1">
      <c r="A674" s="2">
        <f>$M$1</f>
        <v>2015</v>
      </c>
      <c r="B674" s="2">
        <v>11.0</v>
      </c>
      <c r="J674" s="2" t="s">
        <v>26</v>
      </c>
    </row>
    <row r="675" ht="12.75" customHeight="1">
      <c r="A675" s="2" t="s">
        <v>0</v>
      </c>
      <c r="B675" s="2" t="s">
        <v>1</v>
      </c>
      <c r="D675" s="2" t="s">
        <v>2</v>
      </c>
      <c r="E675" s="2" t="s">
        <v>3</v>
      </c>
      <c r="F675" s="2" t="s">
        <v>879</v>
      </c>
      <c r="G675" s="2" t="s">
        <v>4</v>
      </c>
      <c r="J675" s="2" t="s">
        <v>7</v>
      </c>
    </row>
    <row r="676" ht="12.75" customHeight="1">
      <c r="A676" s="2">
        <f>$M$1</f>
        <v>2015</v>
      </c>
      <c r="B676" s="2">
        <v>11.0</v>
      </c>
      <c r="J676" s="2" t="s">
        <v>103</v>
      </c>
    </row>
    <row r="677" ht="12.75" customHeight="1">
      <c r="A677" s="2" t="s">
        <v>0</v>
      </c>
      <c r="B677" s="2" t="s">
        <v>1</v>
      </c>
      <c r="D677" s="2" t="s">
        <v>2</v>
      </c>
      <c r="E677" s="2" t="s">
        <v>3</v>
      </c>
      <c r="F677" s="2" t="s">
        <v>879</v>
      </c>
      <c r="G677" s="2" t="s">
        <v>4</v>
      </c>
      <c r="J677" s="2" t="s">
        <v>7</v>
      </c>
    </row>
    <row r="678" ht="12.75" customHeight="1">
      <c r="A678" s="2">
        <f>$M$1</f>
        <v>2015</v>
      </c>
      <c r="B678" s="2">
        <v>11.0</v>
      </c>
      <c r="J678" s="2" t="s">
        <v>22</v>
      </c>
    </row>
    <row r="679" ht="12.75" customHeight="1">
      <c r="A679" s="2" t="s">
        <v>0</v>
      </c>
      <c r="B679" s="2" t="s">
        <v>1</v>
      </c>
      <c r="D679" s="2" t="s">
        <v>2</v>
      </c>
      <c r="E679" s="2" t="s">
        <v>3</v>
      </c>
      <c r="F679" s="2" t="s">
        <v>879</v>
      </c>
      <c r="G679" s="2" t="s">
        <v>4</v>
      </c>
      <c r="J679" s="2" t="s">
        <v>7</v>
      </c>
    </row>
    <row r="680" ht="12.75" customHeight="1">
      <c r="A680" s="2">
        <f>$M$1</f>
        <v>2015</v>
      </c>
      <c r="B680" s="2">
        <v>11.0</v>
      </c>
      <c r="J680" s="2" t="s">
        <v>428</v>
      </c>
    </row>
    <row r="681" ht="12.75" customHeight="1">
      <c r="A681" s="2" t="s">
        <v>0</v>
      </c>
      <c r="B681" s="2" t="s">
        <v>1</v>
      </c>
      <c r="D681" s="2" t="s">
        <v>2</v>
      </c>
      <c r="E681" s="2" t="s">
        <v>3</v>
      </c>
      <c r="F681" s="2" t="s">
        <v>879</v>
      </c>
      <c r="G681" s="2" t="s">
        <v>4</v>
      </c>
      <c r="J681" s="2" t="s">
        <v>7</v>
      </c>
    </row>
    <row r="682" ht="12.75" customHeight="1">
      <c r="A682" s="2">
        <f>$M$1</f>
        <v>2015</v>
      </c>
      <c r="B682" s="2">
        <v>11.0</v>
      </c>
      <c r="J682" s="2" t="s">
        <v>800</v>
      </c>
    </row>
    <row r="683" ht="12.75" customHeight="1">
      <c r="A683" s="2" t="s">
        <v>0</v>
      </c>
      <c r="B683" s="2" t="s">
        <v>1</v>
      </c>
      <c r="D683" s="2" t="s">
        <v>2</v>
      </c>
      <c r="E683" s="2" t="s">
        <v>3</v>
      </c>
      <c r="F683" s="2" t="s">
        <v>879</v>
      </c>
      <c r="G683" s="2" t="s">
        <v>4</v>
      </c>
      <c r="J683" s="2" t="s">
        <v>7</v>
      </c>
    </row>
    <row r="684" ht="12.75" customHeight="1">
      <c r="A684" s="2">
        <f>$M$1</f>
        <v>2015</v>
      </c>
      <c r="B684" s="2">
        <v>11.0</v>
      </c>
      <c r="J684" s="2" t="s">
        <v>54</v>
      </c>
    </row>
    <row r="685" ht="12.75" customHeight="1">
      <c r="A685" s="2" t="s">
        <v>0</v>
      </c>
      <c r="B685" s="2" t="s">
        <v>1</v>
      </c>
      <c r="D685" s="2" t="s">
        <v>2</v>
      </c>
      <c r="E685" s="2" t="s">
        <v>3</v>
      </c>
      <c r="F685" s="2" t="s">
        <v>879</v>
      </c>
      <c r="G685" s="2" t="s">
        <v>4</v>
      </c>
      <c r="J685" s="2" t="s">
        <v>7</v>
      </c>
    </row>
    <row r="686" ht="12.75" customHeight="1">
      <c r="A686" s="2">
        <f>$M$1</f>
        <v>2015</v>
      </c>
      <c r="B686" s="2">
        <v>11.0</v>
      </c>
      <c r="J686" s="2" t="s">
        <v>801</v>
      </c>
    </row>
    <row r="687" ht="12.75" customHeight="1">
      <c r="A687" s="2" t="s">
        <v>0</v>
      </c>
      <c r="B687" s="2" t="s">
        <v>1</v>
      </c>
      <c r="D687" s="2" t="s">
        <v>2</v>
      </c>
      <c r="E687" s="2" t="s">
        <v>3</v>
      </c>
      <c r="F687" s="2" t="s">
        <v>879</v>
      </c>
      <c r="G687" s="2" t="s">
        <v>4</v>
      </c>
      <c r="J687" s="2" t="s">
        <v>7</v>
      </c>
    </row>
    <row r="688" ht="12.75" customHeight="1">
      <c r="A688" s="2">
        <f>$M$1</f>
        <v>2015</v>
      </c>
      <c r="B688" s="2">
        <v>11.0</v>
      </c>
      <c r="J688" s="2" t="s">
        <v>38</v>
      </c>
    </row>
    <row r="689" ht="12.75" customHeight="1">
      <c r="A689" s="2" t="s">
        <v>0</v>
      </c>
      <c r="B689" s="2" t="s">
        <v>1</v>
      </c>
      <c r="D689" s="2" t="s">
        <v>2</v>
      </c>
      <c r="E689" s="2" t="s">
        <v>3</v>
      </c>
      <c r="F689" s="2" t="s">
        <v>879</v>
      </c>
      <c r="G689" s="2" t="s">
        <v>4</v>
      </c>
      <c r="J689" s="2" t="s">
        <v>7</v>
      </c>
    </row>
    <row r="690" ht="12.75" customHeight="1">
      <c r="A690" s="2">
        <f>$M$1</f>
        <v>2015</v>
      </c>
      <c r="B690" s="2">
        <v>11.0</v>
      </c>
      <c r="J690" s="2" t="s">
        <v>47</v>
      </c>
    </row>
    <row r="691" ht="12.75" customHeight="1">
      <c r="A691" s="2" t="s">
        <v>0</v>
      </c>
      <c r="B691" s="2" t="s">
        <v>1</v>
      </c>
      <c r="D691" s="2" t="s">
        <v>2</v>
      </c>
      <c r="E691" s="2" t="s">
        <v>3</v>
      </c>
      <c r="F691" s="2" t="s">
        <v>879</v>
      </c>
      <c r="G691" s="2" t="s">
        <v>4</v>
      </c>
      <c r="J691" s="2" t="s">
        <v>7</v>
      </c>
    </row>
    <row r="692" ht="12.75" customHeight="1">
      <c r="A692" s="2">
        <f>$M$1</f>
        <v>2015</v>
      </c>
      <c r="B692" s="2">
        <v>11.0</v>
      </c>
      <c r="J692" s="2" t="s">
        <v>52</v>
      </c>
    </row>
    <row r="693" ht="12.75" customHeight="1">
      <c r="A693" s="2" t="s">
        <v>0</v>
      </c>
      <c r="B693" s="2" t="s">
        <v>1</v>
      </c>
      <c r="D693" s="2" t="s">
        <v>2</v>
      </c>
      <c r="E693" s="2" t="s">
        <v>3</v>
      </c>
      <c r="F693" s="2" t="s">
        <v>879</v>
      </c>
      <c r="G693" s="2" t="s">
        <v>4</v>
      </c>
      <c r="J693" s="2" t="s">
        <v>7</v>
      </c>
    </row>
    <row r="694" ht="12.75" customHeight="1">
      <c r="A694" s="2">
        <f>$M$1</f>
        <v>2015</v>
      </c>
      <c r="B694" s="2">
        <v>11.0</v>
      </c>
      <c r="J694" s="2" t="s">
        <v>42</v>
      </c>
    </row>
    <row r="695" ht="12.75" customHeight="1">
      <c r="A695" s="2" t="s">
        <v>0</v>
      </c>
      <c r="B695" s="2" t="s">
        <v>1</v>
      </c>
      <c r="D695" s="2" t="s">
        <v>2</v>
      </c>
      <c r="E695" s="2" t="s">
        <v>3</v>
      </c>
      <c r="F695" s="2" t="s">
        <v>879</v>
      </c>
      <c r="G695" s="2" t="s">
        <v>4</v>
      </c>
      <c r="J695" s="2" t="s">
        <v>7</v>
      </c>
    </row>
    <row r="696" ht="12.75" customHeight="1">
      <c r="A696" s="2">
        <f>$M$1</f>
        <v>2015</v>
      </c>
      <c r="B696" s="2">
        <v>11.0</v>
      </c>
      <c r="J696" s="2" t="s">
        <v>133</v>
      </c>
    </row>
    <row r="697" ht="12.75" customHeight="1">
      <c r="A697" s="2" t="s">
        <v>0</v>
      </c>
      <c r="B697" s="2" t="s">
        <v>1</v>
      </c>
      <c r="D697" s="2" t="s">
        <v>2</v>
      </c>
      <c r="E697" s="2" t="s">
        <v>3</v>
      </c>
      <c r="F697" s="2" t="s">
        <v>879</v>
      </c>
      <c r="G697" s="2" t="s">
        <v>4</v>
      </c>
      <c r="J697" s="2" t="s">
        <v>7</v>
      </c>
    </row>
    <row r="698" ht="12.75" customHeight="1">
      <c r="A698" s="2">
        <f>$M$1</f>
        <v>2015</v>
      </c>
      <c r="B698" s="2">
        <v>11.0</v>
      </c>
      <c r="J698" s="2" t="s">
        <v>803</v>
      </c>
    </row>
    <row r="699" ht="12.75" customHeight="1">
      <c r="A699" s="2" t="s">
        <v>0</v>
      </c>
      <c r="B699" s="2" t="s">
        <v>1</v>
      </c>
      <c r="D699" s="2" t="s">
        <v>2</v>
      </c>
      <c r="E699" s="2" t="s">
        <v>3</v>
      </c>
      <c r="F699" s="2" t="s">
        <v>879</v>
      </c>
      <c r="G699" s="2" t="s">
        <v>4</v>
      </c>
      <c r="J699" s="2" t="s">
        <v>7</v>
      </c>
    </row>
    <row r="700" ht="12.75" customHeight="1">
      <c r="A700" s="2">
        <f>$M$1</f>
        <v>2015</v>
      </c>
      <c r="B700" s="2">
        <v>11.0</v>
      </c>
      <c r="J700" s="2" t="s">
        <v>164</v>
      </c>
    </row>
    <row r="701" ht="12.75" customHeight="1">
      <c r="A701" s="2" t="s">
        <v>0</v>
      </c>
      <c r="B701" s="2" t="s">
        <v>1</v>
      </c>
      <c r="D701" s="2" t="s">
        <v>2</v>
      </c>
      <c r="E701" s="2" t="s">
        <v>3</v>
      </c>
      <c r="F701" s="2" t="s">
        <v>879</v>
      </c>
      <c r="G701" s="2" t="s">
        <v>4</v>
      </c>
      <c r="J701" s="2" t="s">
        <v>7</v>
      </c>
    </row>
    <row r="702" ht="12.75" customHeight="1">
      <c r="A702" s="2">
        <f>$M$1</f>
        <v>2015</v>
      </c>
      <c r="B702" s="2">
        <v>11.0</v>
      </c>
      <c r="J702" s="2" t="s">
        <v>50</v>
      </c>
    </row>
    <row r="703" ht="12.75" customHeight="1">
      <c r="A703" s="2" t="s">
        <v>0</v>
      </c>
      <c r="B703" s="2" t="s">
        <v>1</v>
      </c>
      <c r="D703" s="2" t="s">
        <v>2</v>
      </c>
      <c r="E703" s="2" t="s">
        <v>3</v>
      </c>
      <c r="F703" s="2" t="s">
        <v>879</v>
      </c>
      <c r="G703" s="2" t="s">
        <v>4</v>
      </c>
      <c r="J703" s="2" t="s">
        <v>7</v>
      </c>
    </row>
    <row r="704" ht="12.75" customHeight="1">
      <c r="A704" s="2">
        <f>$M$1</f>
        <v>2015</v>
      </c>
      <c r="B704" s="2">
        <v>11.0</v>
      </c>
      <c r="J704" s="2" t="s">
        <v>304</v>
      </c>
    </row>
    <row r="705" ht="12.75" customHeight="1">
      <c r="A705" s="2" t="s">
        <v>0</v>
      </c>
      <c r="B705" s="2" t="s">
        <v>1</v>
      </c>
      <c r="D705" s="2" t="s">
        <v>2</v>
      </c>
      <c r="E705" s="2" t="s">
        <v>3</v>
      </c>
      <c r="F705" s="2" t="s">
        <v>879</v>
      </c>
      <c r="G705" s="2" t="s">
        <v>4</v>
      </c>
      <c r="J705" s="2" t="s">
        <v>7</v>
      </c>
    </row>
    <row r="706" ht="12.75" customHeight="1">
      <c r="A706" s="2">
        <f>$M$1</f>
        <v>2015</v>
      </c>
      <c r="B706" s="2">
        <v>11.0</v>
      </c>
      <c r="J706" s="2" t="s">
        <v>72</v>
      </c>
    </row>
    <row r="707" ht="12.75" customHeight="1">
      <c r="A707" s="2" t="s">
        <v>0</v>
      </c>
      <c r="B707" s="2" t="s">
        <v>1</v>
      </c>
      <c r="D707" s="2" t="s">
        <v>2</v>
      </c>
      <c r="E707" s="2" t="s">
        <v>3</v>
      </c>
      <c r="F707" s="2" t="s">
        <v>879</v>
      </c>
      <c r="G707" s="2" t="s">
        <v>4</v>
      </c>
      <c r="J707" s="2" t="s">
        <v>7</v>
      </c>
    </row>
    <row r="708" ht="12.75" customHeight="1">
      <c r="A708" s="2">
        <f>$M$1</f>
        <v>2015</v>
      </c>
      <c r="B708" s="2">
        <v>11.0</v>
      </c>
      <c r="J708" s="2" t="s">
        <v>13</v>
      </c>
    </row>
    <row r="709" ht="12.75" customHeight="1">
      <c r="A709" s="2" t="s">
        <v>0</v>
      </c>
      <c r="B709" s="2" t="s">
        <v>1</v>
      </c>
      <c r="D709" s="2" t="s">
        <v>2</v>
      </c>
      <c r="E709" s="2" t="s">
        <v>3</v>
      </c>
      <c r="F709" s="2" t="s">
        <v>879</v>
      </c>
      <c r="G709" s="2" t="s">
        <v>4</v>
      </c>
      <c r="J709" s="2" t="s">
        <v>7</v>
      </c>
    </row>
    <row r="710" ht="12.75" customHeight="1">
      <c r="A710" s="2">
        <f>$M$1</f>
        <v>2015</v>
      </c>
      <c r="B710" s="2">
        <v>11.0</v>
      </c>
      <c r="J710" s="2" t="s">
        <v>18</v>
      </c>
    </row>
    <row r="711" ht="12.75" customHeight="1">
      <c r="A711" s="2" t="s">
        <v>0</v>
      </c>
      <c r="B711" s="2" t="s">
        <v>1</v>
      </c>
      <c r="D711" s="2" t="s">
        <v>2</v>
      </c>
      <c r="E711" s="2" t="s">
        <v>3</v>
      </c>
      <c r="F711" s="2" t="s">
        <v>879</v>
      </c>
      <c r="G711" s="2" t="s">
        <v>4</v>
      </c>
      <c r="J711" s="2" t="s">
        <v>7</v>
      </c>
    </row>
    <row r="712" ht="12.75" customHeight="1">
      <c r="A712" s="2">
        <f>$M$1</f>
        <v>2015</v>
      </c>
      <c r="B712" s="2">
        <v>11.0</v>
      </c>
      <c r="J712" s="2" t="s">
        <v>153</v>
      </c>
    </row>
    <row r="713" ht="12.75" customHeight="1">
      <c r="A713" s="2" t="s">
        <v>0</v>
      </c>
      <c r="B713" s="2" t="s">
        <v>1</v>
      </c>
      <c r="D713" s="2" t="s">
        <v>2</v>
      </c>
      <c r="E713" s="2" t="s">
        <v>3</v>
      </c>
      <c r="F713" s="2" t="s">
        <v>879</v>
      </c>
      <c r="G713" s="2" t="s">
        <v>4</v>
      </c>
      <c r="J713" s="2" t="s">
        <v>7</v>
      </c>
    </row>
    <row r="714" ht="12.75" customHeight="1">
      <c r="A714" s="2">
        <f>$M$1</f>
        <v>2015</v>
      </c>
      <c r="B714" s="2">
        <v>11.0</v>
      </c>
      <c r="J714" s="2" t="s">
        <v>805</v>
      </c>
    </row>
    <row r="715" ht="12.75" customHeight="1">
      <c r="A715" s="2" t="s">
        <v>0</v>
      </c>
      <c r="B715" s="2" t="s">
        <v>1</v>
      </c>
      <c r="D715" s="2" t="s">
        <v>2</v>
      </c>
      <c r="E715" s="2" t="s">
        <v>3</v>
      </c>
      <c r="F715" s="2" t="s">
        <v>879</v>
      </c>
      <c r="G715" s="2" t="s">
        <v>4</v>
      </c>
      <c r="J715" s="2" t="s">
        <v>7</v>
      </c>
    </row>
    <row r="716" ht="12.75" customHeight="1">
      <c r="A716" s="2">
        <f>$M$1</f>
        <v>2015</v>
      </c>
      <c r="B716" s="2">
        <v>11.0</v>
      </c>
      <c r="J716" s="2" t="s">
        <v>31</v>
      </c>
    </row>
    <row r="717" ht="12.75" customHeight="1">
      <c r="A717" s="2" t="s">
        <v>0</v>
      </c>
      <c r="B717" s="2" t="s">
        <v>1</v>
      </c>
      <c r="D717" s="2" t="s">
        <v>2</v>
      </c>
      <c r="E717" s="2" t="s">
        <v>3</v>
      </c>
      <c r="F717" s="2" t="s">
        <v>879</v>
      </c>
      <c r="G717" s="2" t="s">
        <v>4</v>
      </c>
      <c r="J717" s="2" t="s">
        <v>7</v>
      </c>
    </row>
    <row r="718" ht="12.75" customHeight="1">
      <c r="A718" s="2">
        <f>$M$1</f>
        <v>2015</v>
      </c>
      <c r="B718" s="2">
        <v>11.0</v>
      </c>
      <c r="J718" s="2" t="s">
        <v>123</v>
      </c>
    </row>
    <row r="719" ht="12.75" customHeight="1">
      <c r="A719" s="2" t="s">
        <v>0</v>
      </c>
      <c r="B719" s="2" t="s">
        <v>1</v>
      </c>
      <c r="D719" s="2" t="s">
        <v>2</v>
      </c>
      <c r="E719" s="2" t="s">
        <v>3</v>
      </c>
      <c r="F719" s="2" t="s">
        <v>879</v>
      </c>
      <c r="G719" s="2" t="s">
        <v>4</v>
      </c>
      <c r="J719" s="2" t="s">
        <v>7</v>
      </c>
    </row>
    <row r="720" ht="12.75" customHeight="1">
      <c r="A720" s="2">
        <f>$M$1</f>
        <v>2015</v>
      </c>
      <c r="B720" s="2">
        <v>11.0</v>
      </c>
      <c r="J720" s="2" t="s">
        <v>35</v>
      </c>
    </row>
    <row r="721" ht="12.75" customHeight="1">
      <c r="A721" s="2" t="s">
        <v>0</v>
      </c>
      <c r="B721" s="2" t="s">
        <v>1</v>
      </c>
      <c r="D721" s="2" t="s">
        <v>2</v>
      </c>
      <c r="E721" s="2" t="s">
        <v>3</v>
      </c>
      <c r="F721" s="2" t="s">
        <v>879</v>
      </c>
      <c r="G721" s="2" t="s">
        <v>4</v>
      </c>
      <c r="J721" s="2" t="s">
        <v>7</v>
      </c>
    </row>
    <row r="722" ht="12.75" customHeight="1">
      <c r="A722" s="2">
        <f>$M$1</f>
        <v>2015</v>
      </c>
      <c r="B722" s="2">
        <v>11.0</v>
      </c>
      <c r="J722" s="2" t="s">
        <v>210</v>
      </c>
    </row>
    <row r="723" ht="12.75" customHeight="1">
      <c r="A723" s="2" t="s">
        <v>0</v>
      </c>
      <c r="B723" s="2" t="s">
        <v>1</v>
      </c>
      <c r="D723" s="2" t="s">
        <v>2</v>
      </c>
      <c r="E723" s="2" t="s">
        <v>3</v>
      </c>
      <c r="F723" s="2" t="s">
        <v>879</v>
      </c>
      <c r="G723" s="2" t="s">
        <v>4</v>
      </c>
      <c r="J723" s="2" t="s">
        <v>7</v>
      </c>
    </row>
    <row r="724" ht="12.75" customHeight="1">
      <c r="A724" s="2">
        <f>$M$1</f>
        <v>2015</v>
      </c>
      <c r="B724" s="2">
        <v>11.0</v>
      </c>
      <c r="J724" s="2" t="s">
        <v>808</v>
      </c>
    </row>
    <row r="725" ht="12.75" customHeight="1">
      <c r="A725" s="2" t="s">
        <v>0</v>
      </c>
      <c r="B725" s="2" t="s">
        <v>1</v>
      </c>
      <c r="D725" s="2" t="s">
        <v>2</v>
      </c>
      <c r="E725" s="2" t="s">
        <v>3</v>
      </c>
      <c r="F725" s="2" t="s">
        <v>879</v>
      </c>
      <c r="G725" s="2" t="s">
        <v>4</v>
      </c>
      <c r="J725" s="2" t="s">
        <v>7</v>
      </c>
    </row>
    <row r="726" ht="12.75" customHeight="1">
      <c r="A726" s="2">
        <f>$M$1</f>
        <v>2015</v>
      </c>
      <c r="B726" s="2">
        <v>11.0</v>
      </c>
      <c r="J726" s="2" t="s">
        <v>810</v>
      </c>
    </row>
    <row r="727" ht="12.75" customHeight="1">
      <c r="A727" s="2" t="s">
        <v>0</v>
      </c>
      <c r="B727" s="2" t="s">
        <v>1</v>
      </c>
      <c r="D727" s="2" t="s">
        <v>2</v>
      </c>
      <c r="E727" s="2" t="s">
        <v>3</v>
      </c>
      <c r="F727" s="2" t="s">
        <v>879</v>
      </c>
      <c r="G727" s="2" t="s">
        <v>4</v>
      </c>
      <c r="J727" s="2" t="s">
        <v>7</v>
      </c>
    </row>
    <row r="728" ht="12.75" customHeight="1">
      <c r="A728" s="2">
        <f>$M$1</f>
        <v>2015</v>
      </c>
      <c r="B728" s="2">
        <v>12.0</v>
      </c>
      <c r="J728" s="2" t="s">
        <v>10</v>
      </c>
    </row>
    <row r="729" ht="12.75" customHeight="1">
      <c r="A729" s="2" t="s">
        <v>0</v>
      </c>
      <c r="B729" s="2" t="s">
        <v>1</v>
      </c>
      <c r="D729" s="2" t="s">
        <v>2</v>
      </c>
      <c r="E729" s="2" t="s">
        <v>3</v>
      </c>
      <c r="F729" s="2" t="s">
        <v>879</v>
      </c>
      <c r="G729" s="2" t="s">
        <v>4</v>
      </c>
      <c r="J729" s="2" t="s">
        <v>7</v>
      </c>
    </row>
    <row r="730" ht="12.75" customHeight="1">
      <c r="A730" s="2">
        <f>$M$1</f>
        <v>2015</v>
      </c>
      <c r="B730" s="2">
        <v>12.0</v>
      </c>
      <c r="J730" s="2" t="s">
        <v>20</v>
      </c>
    </row>
    <row r="731" ht="12.75" customHeight="1">
      <c r="A731" s="2" t="s">
        <v>0</v>
      </c>
      <c r="B731" s="2" t="s">
        <v>1</v>
      </c>
      <c r="D731" s="2" t="s">
        <v>2</v>
      </c>
      <c r="E731" s="2" t="s">
        <v>3</v>
      </c>
      <c r="F731" s="2" t="s">
        <v>879</v>
      </c>
      <c r="G731" s="2" t="s">
        <v>4</v>
      </c>
      <c r="J731" s="2" t="s">
        <v>7</v>
      </c>
    </row>
    <row r="732" ht="12.75" customHeight="1">
      <c r="A732" s="2">
        <f>$M$1</f>
        <v>2015</v>
      </c>
      <c r="B732" s="2">
        <v>12.0</v>
      </c>
      <c r="J732" s="2" t="s">
        <v>17</v>
      </c>
    </row>
    <row r="733" ht="12.75" customHeight="1">
      <c r="A733" s="2" t="s">
        <v>0</v>
      </c>
      <c r="B733" s="2" t="s">
        <v>1</v>
      </c>
      <c r="D733" s="2" t="s">
        <v>2</v>
      </c>
      <c r="E733" s="2" t="s">
        <v>3</v>
      </c>
      <c r="F733" s="2" t="s">
        <v>879</v>
      </c>
      <c r="G733" s="2" t="s">
        <v>4</v>
      </c>
      <c r="J733" s="2" t="s">
        <v>7</v>
      </c>
    </row>
    <row r="734" ht="12.75" customHeight="1">
      <c r="A734" s="2">
        <f>$M$1</f>
        <v>2015</v>
      </c>
      <c r="B734" s="2">
        <v>12.0</v>
      </c>
      <c r="J734" s="2" t="s">
        <v>24</v>
      </c>
    </row>
    <row r="735" ht="12.75" customHeight="1">
      <c r="A735" s="2" t="s">
        <v>0</v>
      </c>
      <c r="B735" s="2" t="s">
        <v>1</v>
      </c>
      <c r="D735" s="2" t="s">
        <v>2</v>
      </c>
      <c r="E735" s="2" t="s">
        <v>3</v>
      </c>
      <c r="F735" s="2" t="s">
        <v>879</v>
      </c>
      <c r="G735" s="2" t="s">
        <v>4</v>
      </c>
      <c r="J735" s="2" t="s">
        <v>7</v>
      </c>
    </row>
    <row r="736" ht="12.75" customHeight="1">
      <c r="A736" s="2">
        <f>$M$1</f>
        <v>2015</v>
      </c>
      <c r="B736" s="2">
        <v>12.0</v>
      </c>
      <c r="J736" s="2" t="s">
        <v>651</v>
      </c>
    </row>
    <row r="737" ht="12.75" customHeight="1">
      <c r="A737" s="2" t="s">
        <v>0</v>
      </c>
      <c r="B737" s="2" t="s">
        <v>1</v>
      </c>
      <c r="D737" s="2" t="s">
        <v>2</v>
      </c>
      <c r="E737" s="2" t="s">
        <v>3</v>
      </c>
      <c r="F737" s="2" t="s">
        <v>879</v>
      </c>
      <c r="G737" s="2" t="s">
        <v>4</v>
      </c>
      <c r="J737" s="2" t="s">
        <v>7</v>
      </c>
    </row>
    <row r="738" ht="12.75" customHeight="1">
      <c r="A738" s="2">
        <f>$M$1</f>
        <v>2015</v>
      </c>
      <c r="B738" s="2">
        <v>12.0</v>
      </c>
      <c r="J738" s="2" t="s">
        <v>76</v>
      </c>
    </row>
    <row r="739" ht="12.75" customHeight="1">
      <c r="A739" s="2" t="s">
        <v>0</v>
      </c>
      <c r="B739" s="2" t="s">
        <v>1</v>
      </c>
      <c r="D739" s="2" t="s">
        <v>2</v>
      </c>
      <c r="E739" s="2" t="s">
        <v>3</v>
      </c>
      <c r="F739" s="2" t="s">
        <v>879</v>
      </c>
      <c r="G739" s="2" t="s">
        <v>4</v>
      </c>
      <c r="J739" s="2" t="s">
        <v>7</v>
      </c>
    </row>
    <row r="740" ht="12.75" customHeight="1">
      <c r="A740" s="2">
        <f>$M$1</f>
        <v>2015</v>
      </c>
      <c r="B740" s="2">
        <v>12.0</v>
      </c>
      <c r="J740" s="2" t="s">
        <v>26</v>
      </c>
    </row>
    <row r="741" ht="12.75" customHeight="1">
      <c r="A741" s="2" t="s">
        <v>0</v>
      </c>
      <c r="B741" s="2" t="s">
        <v>1</v>
      </c>
      <c r="D741" s="2" t="s">
        <v>2</v>
      </c>
      <c r="E741" s="2" t="s">
        <v>3</v>
      </c>
      <c r="F741" s="2" t="s">
        <v>879</v>
      </c>
      <c r="G741" s="2" t="s">
        <v>4</v>
      </c>
      <c r="J741" s="2" t="s">
        <v>7</v>
      </c>
    </row>
    <row r="742" ht="12.75" customHeight="1">
      <c r="A742" s="2">
        <f>$M$1</f>
        <v>2015</v>
      </c>
      <c r="B742" s="2">
        <v>12.0</v>
      </c>
      <c r="J742" s="2" t="s">
        <v>103</v>
      </c>
    </row>
    <row r="743" ht="12.75" customHeight="1">
      <c r="A743" s="2" t="s">
        <v>0</v>
      </c>
      <c r="B743" s="2" t="s">
        <v>1</v>
      </c>
      <c r="D743" s="2" t="s">
        <v>2</v>
      </c>
      <c r="E743" s="2" t="s">
        <v>3</v>
      </c>
      <c r="F743" s="2" t="s">
        <v>879</v>
      </c>
      <c r="G743" s="2" t="s">
        <v>4</v>
      </c>
      <c r="J743" s="2" t="s">
        <v>7</v>
      </c>
    </row>
    <row r="744" ht="12.75" customHeight="1">
      <c r="A744" s="2">
        <f>$M$1</f>
        <v>2015</v>
      </c>
      <c r="B744" s="2">
        <v>12.0</v>
      </c>
      <c r="J744" s="2" t="s">
        <v>22</v>
      </c>
    </row>
    <row r="745" ht="12.75" customHeight="1">
      <c r="A745" s="2" t="s">
        <v>0</v>
      </c>
      <c r="B745" s="2" t="s">
        <v>1</v>
      </c>
      <c r="D745" s="2" t="s">
        <v>2</v>
      </c>
      <c r="E745" s="2" t="s">
        <v>3</v>
      </c>
      <c r="F745" s="2" t="s">
        <v>879</v>
      </c>
      <c r="G745" s="2" t="s">
        <v>4</v>
      </c>
      <c r="J745" s="2" t="s">
        <v>7</v>
      </c>
    </row>
    <row r="746" ht="12.75" customHeight="1">
      <c r="A746" s="2">
        <f>$M$1</f>
        <v>2015</v>
      </c>
      <c r="B746" s="2">
        <v>12.0</v>
      </c>
      <c r="J746" s="2" t="s">
        <v>428</v>
      </c>
    </row>
    <row r="747" ht="12.75" customHeight="1">
      <c r="A747" s="2" t="s">
        <v>0</v>
      </c>
      <c r="B747" s="2" t="s">
        <v>1</v>
      </c>
      <c r="D747" s="2" t="s">
        <v>2</v>
      </c>
      <c r="E747" s="2" t="s">
        <v>3</v>
      </c>
      <c r="F747" s="2" t="s">
        <v>879</v>
      </c>
      <c r="G747" s="2" t="s">
        <v>4</v>
      </c>
      <c r="J747" s="2" t="s">
        <v>7</v>
      </c>
    </row>
    <row r="748" ht="12.75" customHeight="1">
      <c r="A748" s="2">
        <f>$M$1</f>
        <v>2015</v>
      </c>
      <c r="B748" s="2">
        <v>12.0</v>
      </c>
      <c r="J748" s="2" t="s">
        <v>800</v>
      </c>
    </row>
    <row r="749" ht="12.75" customHeight="1">
      <c r="A749" s="2" t="s">
        <v>0</v>
      </c>
      <c r="B749" s="2" t="s">
        <v>1</v>
      </c>
      <c r="D749" s="2" t="s">
        <v>2</v>
      </c>
      <c r="E749" s="2" t="s">
        <v>3</v>
      </c>
      <c r="F749" s="2" t="s">
        <v>879</v>
      </c>
      <c r="G749" s="2" t="s">
        <v>4</v>
      </c>
      <c r="J749" s="2" t="s">
        <v>7</v>
      </c>
    </row>
    <row r="750" ht="12.75" customHeight="1">
      <c r="A750" s="2">
        <f>$M$1</f>
        <v>2015</v>
      </c>
      <c r="B750" s="2">
        <v>12.0</v>
      </c>
      <c r="J750" s="2" t="s">
        <v>54</v>
      </c>
    </row>
    <row r="751" ht="12.75" customHeight="1">
      <c r="A751" s="2" t="s">
        <v>0</v>
      </c>
      <c r="B751" s="2" t="s">
        <v>1</v>
      </c>
      <c r="D751" s="2" t="s">
        <v>2</v>
      </c>
      <c r="E751" s="2" t="s">
        <v>3</v>
      </c>
      <c r="F751" s="2" t="s">
        <v>879</v>
      </c>
      <c r="G751" s="2" t="s">
        <v>4</v>
      </c>
      <c r="J751" s="2" t="s">
        <v>7</v>
      </c>
    </row>
    <row r="752" ht="12.75" customHeight="1">
      <c r="A752" s="2">
        <f>$M$1</f>
        <v>2015</v>
      </c>
      <c r="B752" s="2">
        <v>12.0</v>
      </c>
      <c r="J752" s="2" t="s">
        <v>801</v>
      </c>
    </row>
    <row r="753" ht="12.75" customHeight="1">
      <c r="A753" s="2" t="s">
        <v>0</v>
      </c>
      <c r="B753" s="2" t="s">
        <v>1</v>
      </c>
      <c r="D753" s="2" t="s">
        <v>2</v>
      </c>
      <c r="E753" s="2" t="s">
        <v>3</v>
      </c>
      <c r="F753" s="2" t="s">
        <v>879</v>
      </c>
      <c r="G753" s="2" t="s">
        <v>4</v>
      </c>
      <c r="J753" s="2" t="s">
        <v>7</v>
      </c>
    </row>
    <row r="754" ht="12.75" customHeight="1">
      <c r="A754" s="2">
        <f>$M$1</f>
        <v>2015</v>
      </c>
      <c r="B754" s="2">
        <v>12.0</v>
      </c>
      <c r="J754" s="2" t="s">
        <v>38</v>
      </c>
    </row>
    <row r="755" ht="12.75" customHeight="1">
      <c r="A755" s="2" t="s">
        <v>0</v>
      </c>
      <c r="B755" s="2" t="s">
        <v>1</v>
      </c>
      <c r="D755" s="2" t="s">
        <v>2</v>
      </c>
      <c r="E755" s="2" t="s">
        <v>3</v>
      </c>
      <c r="F755" s="2" t="s">
        <v>879</v>
      </c>
      <c r="G755" s="2" t="s">
        <v>4</v>
      </c>
      <c r="J755" s="2" t="s">
        <v>7</v>
      </c>
    </row>
    <row r="756" ht="12.75" customHeight="1">
      <c r="A756" s="2">
        <f>$M$1</f>
        <v>2015</v>
      </c>
      <c r="B756" s="2">
        <v>12.0</v>
      </c>
      <c r="J756" s="2" t="s">
        <v>47</v>
      </c>
    </row>
    <row r="757" ht="12.75" customHeight="1">
      <c r="A757" s="2" t="s">
        <v>0</v>
      </c>
      <c r="B757" s="2" t="s">
        <v>1</v>
      </c>
      <c r="D757" s="2" t="s">
        <v>2</v>
      </c>
      <c r="E757" s="2" t="s">
        <v>3</v>
      </c>
      <c r="F757" s="2" t="s">
        <v>879</v>
      </c>
      <c r="G757" s="2" t="s">
        <v>4</v>
      </c>
      <c r="J757" s="2" t="s">
        <v>7</v>
      </c>
    </row>
    <row r="758" ht="12.75" customHeight="1">
      <c r="A758" s="2">
        <f>$M$1</f>
        <v>2015</v>
      </c>
      <c r="B758" s="2">
        <v>12.0</v>
      </c>
      <c r="J758" s="2" t="s">
        <v>52</v>
      </c>
    </row>
    <row r="759" ht="12.75" customHeight="1">
      <c r="A759" s="2" t="s">
        <v>0</v>
      </c>
      <c r="B759" s="2" t="s">
        <v>1</v>
      </c>
      <c r="D759" s="2" t="s">
        <v>2</v>
      </c>
      <c r="E759" s="2" t="s">
        <v>3</v>
      </c>
      <c r="F759" s="2" t="s">
        <v>879</v>
      </c>
      <c r="G759" s="2" t="s">
        <v>4</v>
      </c>
      <c r="J759" s="2" t="s">
        <v>7</v>
      </c>
    </row>
    <row r="760" ht="12.75" customHeight="1">
      <c r="A760" s="2">
        <f>$M$1</f>
        <v>2015</v>
      </c>
      <c r="B760" s="2">
        <v>12.0</v>
      </c>
      <c r="J760" s="2" t="s">
        <v>42</v>
      </c>
    </row>
    <row r="761" ht="12.75" customHeight="1">
      <c r="A761" s="2" t="s">
        <v>0</v>
      </c>
      <c r="B761" s="2" t="s">
        <v>1</v>
      </c>
      <c r="D761" s="2" t="s">
        <v>2</v>
      </c>
      <c r="E761" s="2" t="s">
        <v>3</v>
      </c>
      <c r="F761" s="2" t="s">
        <v>879</v>
      </c>
      <c r="G761" s="2" t="s">
        <v>4</v>
      </c>
      <c r="J761" s="2" t="s">
        <v>7</v>
      </c>
    </row>
    <row r="762" ht="12.75" customHeight="1">
      <c r="A762" s="2">
        <f>$M$1</f>
        <v>2015</v>
      </c>
      <c r="B762" s="2">
        <v>12.0</v>
      </c>
      <c r="J762" s="2" t="s">
        <v>133</v>
      </c>
    </row>
    <row r="763" ht="12.75" customHeight="1">
      <c r="A763" s="2" t="s">
        <v>0</v>
      </c>
      <c r="B763" s="2" t="s">
        <v>1</v>
      </c>
      <c r="D763" s="2" t="s">
        <v>2</v>
      </c>
      <c r="E763" s="2" t="s">
        <v>3</v>
      </c>
      <c r="F763" s="2" t="s">
        <v>879</v>
      </c>
      <c r="G763" s="2" t="s">
        <v>4</v>
      </c>
      <c r="J763" s="2" t="s">
        <v>7</v>
      </c>
    </row>
    <row r="764" ht="12.75" customHeight="1">
      <c r="A764" s="2">
        <f>$M$1</f>
        <v>2015</v>
      </c>
      <c r="B764" s="2">
        <v>12.0</v>
      </c>
      <c r="J764" s="2" t="s">
        <v>803</v>
      </c>
    </row>
    <row r="765" ht="12.75" customHeight="1">
      <c r="A765" s="2" t="s">
        <v>0</v>
      </c>
      <c r="B765" s="2" t="s">
        <v>1</v>
      </c>
      <c r="D765" s="2" t="s">
        <v>2</v>
      </c>
      <c r="E765" s="2" t="s">
        <v>3</v>
      </c>
      <c r="F765" s="2" t="s">
        <v>879</v>
      </c>
      <c r="G765" s="2" t="s">
        <v>4</v>
      </c>
      <c r="J765" s="2" t="s">
        <v>7</v>
      </c>
    </row>
    <row r="766" ht="12.75" customHeight="1">
      <c r="A766" s="2">
        <f>$M$1</f>
        <v>2015</v>
      </c>
      <c r="B766" s="2">
        <v>12.0</v>
      </c>
      <c r="J766" s="2" t="s">
        <v>164</v>
      </c>
    </row>
    <row r="767" ht="12.75" customHeight="1">
      <c r="A767" s="2" t="s">
        <v>0</v>
      </c>
      <c r="B767" s="2" t="s">
        <v>1</v>
      </c>
      <c r="D767" s="2" t="s">
        <v>2</v>
      </c>
      <c r="E767" s="2" t="s">
        <v>3</v>
      </c>
      <c r="F767" s="2" t="s">
        <v>879</v>
      </c>
      <c r="G767" s="2" t="s">
        <v>4</v>
      </c>
      <c r="J767" s="2" t="s">
        <v>7</v>
      </c>
    </row>
    <row r="768" ht="12.75" customHeight="1">
      <c r="A768" s="2">
        <f>$M$1</f>
        <v>2015</v>
      </c>
      <c r="B768" s="2">
        <v>12.0</v>
      </c>
      <c r="J768" s="2" t="s">
        <v>50</v>
      </c>
    </row>
    <row r="769" ht="12.75" customHeight="1">
      <c r="A769" s="2" t="s">
        <v>0</v>
      </c>
      <c r="B769" s="2" t="s">
        <v>1</v>
      </c>
      <c r="D769" s="2" t="s">
        <v>2</v>
      </c>
      <c r="E769" s="2" t="s">
        <v>3</v>
      </c>
      <c r="F769" s="2" t="s">
        <v>879</v>
      </c>
      <c r="G769" s="2" t="s">
        <v>4</v>
      </c>
      <c r="J769" s="2" t="s">
        <v>7</v>
      </c>
    </row>
    <row r="770" ht="12.75" customHeight="1">
      <c r="A770" s="2">
        <f>$M$1</f>
        <v>2015</v>
      </c>
      <c r="B770" s="2">
        <v>12.0</v>
      </c>
      <c r="J770" s="2" t="s">
        <v>304</v>
      </c>
    </row>
    <row r="771" ht="12.75" customHeight="1">
      <c r="A771" s="2" t="s">
        <v>0</v>
      </c>
      <c r="B771" s="2" t="s">
        <v>1</v>
      </c>
      <c r="D771" s="2" t="s">
        <v>2</v>
      </c>
      <c r="E771" s="2" t="s">
        <v>3</v>
      </c>
      <c r="F771" s="2" t="s">
        <v>879</v>
      </c>
      <c r="G771" s="2" t="s">
        <v>4</v>
      </c>
      <c r="J771" s="2" t="s">
        <v>7</v>
      </c>
    </row>
    <row r="772" ht="12.75" customHeight="1">
      <c r="A772" s="2">
        <f>$M$1</f>
        <v>2015</v>
      </c>
      <c r="B772" s="2">
        <v>12.0</v>
      </c>
      <c r="J772" s="2" t="s">
        <v>72</v>
      </c>
    </row>
    <row r="773" ht="12.75" customHeight="1">
      <c r="A773" s="2" t="s">
        <v>0</v>
      </c>
      <c r="B773" s="2" t="s">
        <v>1</v>
      </c>
      <c r="D773" s="2" t="s">
        <v>2</v>
      </c>
      <c r="E773" s="2" t="s">
        <v>3</v>
      </c>
      <c r="F773" s="2" t="s">
        <v>879</v>
      </c>
      <c r="G773" s="2" t="s">
        <v>4</v>
      </c>
      <c r="J773" s="2" t="s">
        <v>7</v>
      </c>
    </row>
    <row r="774" ht="12.75" customHeight="1">
      <c r="A774" s="2">
        <f>$M$1</f>
        <v>2015</v>
      </c>
      <c r="B774" s="2">
        <v>12.0</v>
      </c>
      <c r="J774" s="2" t="s">
        <v>13</v>
      </c>
    </row>
    <row r="775" ht="12.75" customHeight="1">
      <c r="A775" s="2" t="s">
        <v>0</v>
      </c>
      <c r="B775" s="2" t="s">
        <v>1</v>
      </c>
      <c r="D775" s="2" t="s">
        <v>2</v>
      </c>
      <c r="E775" s="2" t="s">
        <v>3</v>
      </c>
      <c r="F775" s="2" t="s">
        <v>879</v>
      </c>
      <c r="G775" s="2" t="s">
        <v>4</v>
      </c>
      <c r="J775" s="2" t="s">
        <v>7</v>
      </c>
    </row>
    <row r="776" ht="12.75" customHeight="1">
      <c r="A776" s="2">
        <f>$M$1</f>
        <v>2015</v>
      </c>
      <c r="B776" s="2">
        <v>12.0</v>
      </c>
      <c r="J776" s="2" t="s">
        <v>18</v>
      </c>
    </row>
    <row r="777" ht="12.75" customHeight="1">
      <c r="A777" s="2" t="s">
        <v>0</v>
      </c>
      <c r="B777" s="2" t="s">
        <v>1</v>
      </c>
      <c r="D777" s="2" t="s">
        <v>2</v>
      </c>
      <c r="E777" s="2" t="s">
        <v>3</v>
      </c>
      <c r="F777" s="2" t="s">
        <v>879</v>
      </c>
      <c r="G777" s="2" t="s">
        <v>4</v>
      </c>
      <c r="J777" s="2" t="s">
        <v>7</v>
      </c>
    </row>
    <row r="778" ht="12.75" customHeight="1">
      <c r="A778" s="2">
        <f>$M$1</f>
        <v>2015</v>
      </c>
      <c r="B778" s="2">
        <v>12.0</v>
      </c>
      <c r="J778" s="2" t="s">
        <v>153</v>
      </c>
    </row>
    <row r="779" ht="12.75" customHeight="1">
      <c r="A779" s="2" t="s">
        <v>0</v>
      </c>
      <c r="B779" s="2" t="s">
        <v>1</v>
      </c>
      <c r="D779" s="2" t="s">
        <v>2</v>
      </c>
      <c r="E779" s="2" t="s">
        <v>3</v>
      </c>
      <c r="F779" s="2" t="s">
        <v>879</v>
      </c>
      <c r="G779" s="2" t="s">
        <v>4</v>
      </c>
      <c r="J779" s="2" t="s">
        <v>7</v>
      </c>
    </row>
    <row r="780" ht="12.75" customHeight="1">
      <c r="A780" s="2">
        <f>$M$1</f>
        <v>2015</v>
      </c>
      <c r="B780" s="2">
        <v>12.0</v>
      </c>
      <c r="J780" s="2" t="s">
        <v>805</v>
      </c>
    </row>
    <row r="781" ht="12.75" customHeight="1">
      <c r="A781" s="2" t="s">
        <v>0</v>
      </c>
      <c r="B781" s="2" t="s">
        <v>1</v>
      </c>
      <c r="D781" s="2" t="s">
        <v>2</v>
      </c>
      <c r="E781" s="2" t="s">
        <v>3</v>
      </c>
      <c r="F781" s="2" t="s">
        <v>879</v>
      </c>
      <c r="G781" s="2" t="s">
        <v>4</v>
      </c>
      <c r="J781" s="2" t="s">
        <v>7</v>
      </c>
    </row>
    <row r="782" ht="12.75" customHeight="1">
      <c r="A782" s="2">
        <f>$M$1</f>
        <v>2015</v>
      </c>
      <c r="B782" s="2">
        <v>12.0</v>
      </c>
      <c r="J782" s="2" t="s">
        <v>31</v>
      </c>
    </row>
    <row r="783" ht="12.75" customHeight="1">
      <c r="A783" s="2" t="s">
        <v>0</v>
      </c>
      <c r="B783" s="2" t="s">
        <v>1</v>
      </c>
      <c r="D783" s="2" t="s">
        <v>2</v>
      </c>
      <c r="E783" s="2" t="s">
        <v>3</v>
      </c>
      <c r="F783" s="2" t="s">
        <v>879</v>
      </c>
      <c r="G783" s="2" t="s">
        <v>4</v>
      </c>
      <c r="J783" s="2" t="s">
        <v>7</v>
      </c>
    </row>
    <row r="784" ht="12.75" customHeight="1">
      <c r="A784" s="2">
        <f>$M$1</f>
        <v>2015</v>
      </c>
      <c r="B784" s="2">
        <v>12.0</v>
      </c>
      <c r="J784" s="2" t="s">
        <v>123</v>
      </c>
    </row>
    <row r="785" ht="12.75" customHeight="1">
      <c r="A785" s="2" t="s">
        <v>0</v>
      </c>
      <c r="B785" s="2" t="s">
        <v>1</v>
      </c>
      <c r="D785" s="2" t="s">
        <v>2</v>
      </c>
      <c r="E785" s="2" t="s">
        <v>3</v>
      </c>
      <c r="F785" s="2" t="s">
        <v>879</v>
      </c>
      <c r="G785" s="2" t="s">
        <v>4</v>
      </c>
      <c r="J785" s="2" t="s">
        <v>7</v>
      </c>
    </row>
    <row r="786" ht="12.75" customHeight="1">
      <c r="A786" s="2">
        <f>$M$1</f>
        <v>2015</v>
      </c>
      <c r="B786" s="2">
        <v>12.0</v>
      </c>
      <c r="J786" s="2" t="s">
        <v>35</v>
      </c>
    </row>
    <row r="787" ht="12.75" customHeight="1">
      <c r="A787" s="2" t="s">
        <v>0</v>
      </c>
      <c r="B787" s="2" t="s">
        <v>1</v>
      </c>
      <c r="D787" s="2" t="s">
        <v>2</v>
      </c>
      <c r="E787" s="2" t="s">
        <v>3</v>
      </c>
      <c r="F787" s="2" t="s">
        <v>879</v>
      </c>
      <c r="G787" s="2" t="s">
        <v>4</v>
      </c>
      <c r="J787" s="2" t="s">
        <v>7</v>
      </c>
    </row>
    <row r="788" ht="12.75" customHeight="1">
      <c r="A788" s="2">
        <f>$M$1</f>
        <v>2015</v>
      </c>
      <c r="B788" s="2">
        <v>12.0</v>
      </c>
      <c r="J788" s="2" t="s">
        <v>210</v>
      </c>
    </row>
    <row r="789" ht="12.75" customHeight="1">
      <c r="A789" s="2" t="s">
        <v>0</v>
      </c>
      <c r="B789" s="2" t="s">
        <v>1</v>
      </c>
      <c r="D789" s="2" t="s">
        <v>2</v>
      </c>
      <c r="E789" s="2" t="s">
        <v>3</v>
      </c>
      <c r="F789" s="2" t="s">
        <v>879</v>
      </c>
      <c r="G789" s="2" t="s">
        <v>4</v>
      </c>
      <c r="J789" s="2" t="s">
        <v>7</v>
      </c>
    </row>
    <row r="790" ht="12.75" customHeight="1">
      <c r="A790" s="2">
        <f>$M$1</f>
        <v>2015</v>
      </c>
      <c r="B790" s="2">
        <v>12.0</v>
      </c>
      <c r="J790" s="2" t="s">
        <v>808</v>
      </c>
    </row>
    <row r="791" ht="12.75" customHeight="1">
      <c r="A791" s="2" t="s">
        <v>0</v>
      </c>
      <c r="B791" s="2" t="s">
        <v>1</v>
      </c>
      <c r="D791" s="2" t="s">
        <v>2</v>
      </c>
      <c r="E791" s="2" t="s">
        <v>3</v>
      </c>
      <c r="F791" s="2" t="s">
        <v>879</v>
      </c>
      <c r="G791" s="2" t="s">
        <v>4</v>
      </c>
      <c r="J791" s="2" t="s">
        <v>7</v>
      </c>
    </row>
    <row r="792" ht="12.75" customHeight="1">
      <c r="A792" s="2">
        <f>$M$1</f>
        <v>2015</v>
      </c>
      <c r="B792" s="2">
        <v>12.0</v>
      </c>
      <c r="J792" s="2" t="s">
        <v>810</v>
      </c>
    </row>
    <row r="793" ht="12.75" customHeight="1"/>
    <row r="794" ht="12.75" customHeight="1"/>
    <row r="795" ht="12.75" customHeight="1"/>
    <row r="796" ht="12.75" customHeight="1"/>
    <row r="797" ht="12.75" customHeight="1"/>
    <row r="798" ht="12.75" customHeight="1">
      <c r="B798" s="2" t="s">
        <v>881</v>
      </c>
    </row>
    <row r="799" ht="12.75" customHeight="1">
      <c r="A799" s="2" t="s">
        <v>0</v>
      </c>
      <c r="B799" s="2" t="s">
        <v>1</v>
      </c>
      <c r="D799" s="2" t="s">
        <v>2</v>
      </c>
      <c r="E799" s="2" t="s">
        <v>3</v>
      </c>
      <c r="G799" s="2" t="s">
        <v>4</v>
      </c>
      <c r="J799" s="2" t="s">
        <v>7</v>
      </c>
    </row>
    <row r="800" ht="12.75" customHeight="1">
      <c r="A800" s="2">
        <f>$M$1-1</f>
        <v>2014</v>
      </c>
      <c r="B800" s="2">
        <v>12.0</v>
      </c>
      <c r="J800" s="2" t="s">
        <v>40</v>
      </c>
    </row>
    <row r="801" ht="12.75" customHeight="1">
      <c r="A801" s="2" t="s">
        <v>0</v>
      </c>
      <c r="B801" s="2" t="s">
        <v>1</v>
      </c>
      <c r="D801" s="2" t="s">
        <v>2</v>
      </c>
      <c r="E801" s="2" t="s">
        <v>3</v>
      </c>
      <c r="G801" s="2" t="s">
        <v>4</v>
      </c>
      <c r="J801" s="2" t="s">
        <v>7</v>
      </c>
    </row>
    <row r="802" ht="12.75" customHeight="1">
      <c r="A802" s="2">
        <f>$M$1</f>
        <v>2015</v>
      </c>
      <c r="B802" s="2">
        <v>1.0</v>
      </c>
      <c r="J802" s="2" t="s">
        <v>40</v>
      </c>
    </row>
    <row r="803" ht="12.75" customHeight="1">
      <c r="A803" s="2" t="s">
        <v>0</v>
      </c>
      <c r="B803" s="2" t="s">
        <v>1</v>
      </c>
      <c r="D803" s="2" t="s">
        <v>2</v>
      </c>
      <c r="E803" s="2" t="s">
        <v>3</v>
      </c>
      <c r="G803" s="2" t="s">
        <v>4</v>
      </c>
      <c r="J803" s="2" t="s">
        <v>7</v>
      </c>
    </row>
    <row r="804" ht="12.75" customHeight="1">
      <c r="A804" s="2">
        <f t="shared" ref="A804:A824" si="1">IF(MOD((ROW(A804)-2)*0.5,10),A802,A802)</f>
        <v>2015</v>
      </c>
      <c r="B804" s="2">
        <v>2.0</v>
      </c>
      <c r="J804" s="2" t="s">
        <v>40</v>
      </c>
    </row>
    <row r="805" ht="12.75" customHeight="1">
      <c r="A805" s="2" t="str">
        <f t="shared" si="1"/>
        <v>y</v>
      </c>
      <c r="B805" s="2" t="s">
        <v>1</v>
      </c>
      <c r="D805" s="2" t="s">
        <v>2</v>
      </c>
      <c r="E805" s="2" t="s">
        <v>3</v>
      </c>
      <c r="G805" s="2" t="s">
        <v>4</v>
      </c>
      <c r="J805" s="2" t="s">
        <v>7</v>
      </c>
    </row>
    <row r="806" ht="12.75" customHeight="1">
      <c r="A806" s="2">
        <f t="shared" si="1"/>
        <v>2015</v>
      </c>
      <c r="B806" s="2">
        <v>3.0</v>
      </c>
      <c r="J806" s="2" t="s">
        <v>40</v>
      </c>
    </row>
    <row r="807" ht="12.75" customHeight="1">
      <c r="A807" s="2" t="str">
        <f t="shared" si="1"/>
        <v>y</v>
      </c>
      <c r="B807" s="2" t="s">
        <v>1</v>
      </c>
      <c r="D807" s="2" t="s">
        <v>2</v>
      </c>
      <c r="E807" s="2" t="s">
        <v>3</v>
      </c>
      <c r="G807" s="2" t="s">
        <v>4</v>
      </c>
      <c r="J807" s="2" t="s">
        <v>7</v>
      </c>
    </row>
    <row r="808" ht="12.75" customHeight="1">
      <c r="A808" s="2">
        <f t="shared" si="1"/>
        <v>2015</v>
      </c>
      <c r="B808" s="2">
        <v>4.0</v>
      </c>
      <c r="J808" s="2" t="s">
        <v>40</v>
      </c>
    </row>
    <row r="809" ht="12.75" customHeight="1">
      <c r="A809" s="2" t="str">
        <f t="shared" si="1"/>
        <v>y</v>
      </c>
      <c r="B809" s="2" t="s">
        <v>1</v>
      </c>
      <c r="D809" s="2" t="s">
        <v>2</v>
      </c>
      <c r="E809" s="2" t="s">
        <v>3</v>
      </c>
      <c r="G809" s="2" t="s">
        <v>4</v>
      </c>
      <c r="J809" s="2" t="s">
        <v>7</v>
      </c>
    </row>
    <row r="810" ht="12.75" customHeight="1">
      <c r="A810" s="2">
        <f t="shared" si="1"/>
        <v>2015</v>
      </c>
      <c r="B810" s="2">
        <v>5.0</v>
      </c>
      <c r="J810" s="2" t="s">
        <v>40</v>
      </c>
    </row>
    <row r="811" ht="12.75" customHeight="1">
      <c r="A811" s="2" t="str">
        <f t="shared" si="1"/>
        <v>y</v>
      </c>
      <c r="B811" s="2" t="s">
        <v>1</v>
      </c>
      <c r="D811" s="2" t="s">
        <v>2</v>
      </c>
      <c r="E811" s="2" t="s">
        <v>3</v>
      </c>
      <c r="G811" s="2" t="s">
        <v>4</v>
      </c>
      <c r="J811" s="2" t="s">
        <v>7</v>
      </c>
    </row>
    <row r="812" ht="12.75" customHeight="1">
      <c r="A812" s="2">
        <f t="shared" si="1"/>
        <v>2015</v>
      </c>
      <c r="B812" s="2">
        <v>6.0</v>
      </c>
      <c r="J812" s="2" t="s">
        <v>40</v>
      </c>
    </row>
    <row r="813" ht="12.75" customHeight="1">
      <c r="A813" s="2" t="str">
        <f t="shared" si="1"/>
        <v>y</v>
      </c>
      <c r="B813" s="2" t="s">
        <v>1</v>
      </c>
      <c r="D813" s="2" t="s">
        <v>2</v>
      </c>
      <c r="E813" s="2" t="s">
        <v>3</v>
      </c>
      <c r="G813" s="2" t="s">
        <v>4</v>
      </c>
      <c r="J813" s="2" t="s">
        <v>7</v>
      </c>
    </row>
    <row r="814" ht="12.75" customHeight="1">
      <c r="A814" s="2">
        <f t="shared" si="1"/>
        <v>2015</v>
      </c>
      <c r="B814" s="2">
        <v>7.0</v>
      </c>
      <c r="J814" s="2" t="s">
        <v>40</v>
      </c>
    </row>
    <row r="815" ht="12.75" customHeight="1">
      <c r="A815" s="2" t="str">
        <f t="shared" si="1"/>
        <v>y</v>
      </c>
      <c r="B815" s="2" t="s">
        <v>1</v>
      </c>
      <c r="D815" s="2" t="s">
        <v>2</v>
      </c>
      <c r="E815" s="2" t="s">
        <v>3</v>
      </c>
      <c r="G815" s="2" t="s">
        <v>4</v>
      </c>
      <c r="J815" s="2" t="s">
        <v>7</v>
      </c>
    </row>
    <row r="816" ht="12.75" customHeight="1">
      <c r="A816" s="2">
        <f t="shared" si="1"/>
        <v>2015</v>
      </c>
      <c r="B816" s="2">
        <v>8.0</v>
      </c>
      <c r="J816" s="2" t="s">
        <v>40</v>
      </c>
    </row>
    <row r="817" ht="12.75" customHeight="1">
      <c r="A817" s="2" t="str">
        <f t="shared" si="1"/>
        <v>y</v>
      </c>
      <c r="B817" s="2" t="s">
        <v>1</v>
      </c>
      <c r="D817" s="2" t="s">
        <v>2</v>
      </c>
      <c r="E817" s="2" t="s">
        <v>3</v>
      </c>
      <c r="G817" s="2" t="s">
        <v>4</v>
      </c>
      <c r="J817" s="2" t="s">
        <v>7</v>
      </c>
    </row>
    <row r="818" ht="12.75" customHeight="1">
      <c r="A818" s="2">
        <f t="shared" si="1"/>
        <v>2015</v>
      </c>
      <c r="B818" s="2">
        <v>9.0</v>
      </c>
      <c r="J818" s="2" t="s">
        <v>40</v>
      </c>
    </row>
    <row r="819" ht="12.75" customHeight="1">
      <c r="A819" s="2" t="str">
        <f t="shared" si="1"/>
        <v>y</v>
      </c>
      <c r="B819" s="2" t="s">
        <v>1</v>
      </c>
      <c r="D819" s="2" t="s">
        <v>2</v>
      </c>
      <c r="E819" s="2" t="s">
        <v>3</v>
      </c>
      <c r="G819" s="2" t="s">
        <v>4</v>
      </c>
      <c r="J819" s="2" t="s">
        <v>7</v>
      </c>
    </row>
    <row r="820" ht="12.75" customHeight="1">
      <c r="A820" s="2">
        <f t="shared" si="1"/>
        <v>2015</v>
      </c>
      <c r="B820" s="2">
        <v>10.0</v>
      </c>
      <c r="J820" s="2" t="s">
        <v>40</v>
      </c>
    </row>
    <row r="821" ht="12.75" customHeight="1">
      <c r="A821" s="2" t="str">
        <f t="shared" si="1"/>
        <v>y</v>
      </c>
      <c r="B821" s="2" t="s">
        <v>1</v>
      </c>
      <c r="D821" s="2" t="s">
        <v>2</v>
      </c>
      <c r="E821" s="2" t="s">
        <v>3</v>
      </c>
      <c r="G821" s="2" t="s">
        <v>4</v>
      </c>
      <c r="J821" s="2" t="s">
        <v>7</v>
      </c>
    </row>
    <row r="822" ht="12.75" customHeight="1">
      <c r="A822" s="2">
        <f t="shared" si="1"/>
        <v>2015</v>
      </c>
      <c r="B822" s="2">
        <v>11.0</v>
      </c>
      <c r="J822" s="2" t="s">
        <v>40</v>
      </c>
    </row>
    <row r="823" ht="12.75" customHeight="1">
      <c r="A823" s="2" t="str">
        <f t="shared" si="1"/>
        <v>y</v>
      </c>
      <c r="B823" s="2" t="s">
        <v>1</v>
      </c>
      <c r="D823" s="2" t="s">
        <v>2</v>
      </c>
      <c r="E823" s="2" t="s">
        <v>3</v>
      </c>
      <c r="G823" s="2" t="s">
        <v>4</v>
      </c>
      <c r="J823" s="2" t="s">
        <v>7</v>
      </c>
    </row>
    <row r="824" ht="12.75" customHeight="1">
      <c r="A824" s="2">
        <f t="shared" si="1"/>
        <v>2015</v>
      </c>
      <c r="B824" s="2">
        <v>12.0</v>
      </c>
      <c r="J824" s="2" t="s">
        <v>40</v>
      </c>
    </row>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2.63" defaultRowHeight="15.0"/>
  <cols>
    <col customWidth="1" min="1" max="1" width="2.13"/>
    <col customWidth="1" min="2" max="2" width="21.75"/>
    <col customWidth="1" min="3" max="4" width="10.88"/>
    <col customWidth="1" min="5" max="7" width="11.0"/>
    <col customWidth="1" min="8" max="8" width="9.38"/>
    <col customWidth="1" min="9" max="9" width="8.88"/>
    <col customWidth="1" min="10" max="10" width="10.75"/>
    <col customWidth="1" min="11" max="11" width="10.25"/>
    <col customWidth="1" min="12" max="12" width="9.38"/>
    <col customWidth="1" min="13" max="13" width="9.75"/>
    <col customWidth="1" min="14" max="14" width="9.25"/>
    <col customWidth="1" min="15" max="15" width="12.0"/>
    <col customWidth="1" min="16" max="16" width="11.13"/>
    <col customWidth="1" min="17" max="17" width="9.25"/>
    <col customWidth="1" min="18" max="18" width="9.63"/>
    <col customWidth="1" min="19" max="19" width="10.63"/>
    <col customWidth="1" min="20" max="20" width="10.25"/>
    <col customWidth="1" min="21" max="21" width="10.0"/>
    <col customWidth="1" min="22" max="22" width="17.25"/>
    <col customWidth="1" min="23" max="23" width="12.25"/>
    <col customWidth="1" min="24" max="24" width="11.38"/>
    <col customWidth="1" min="25" max="25" width="9.75"/>
    <col customWidth="1" min="26" max="41" width="8.63"/>
  </cols>
  <sheetData>
    <row r="1" ht="8.25" customHeight="1">
      <c r="B1" s="2" t="s">
        <v>716</v>
      </c>
      <c r="C1" s="3" t="s">
        <v>717</v>
      </c>
      <c r="F1" s="2" t="s">
        <v>718</v>
      </c>
      <c r="G1" s="2" t="s">
        <v>719</v>
      </c>
      <c r="H1" s="4" t="s">
        <v>720</v>
      </c>
      <c r="J1" s="2" t="s">
        <v>721</v>
      </c>
      <c r="K1" s="5" t="s">
        <v>722</v>
      </c>
      <c r="S1" s="6"/>
      <c r="T1" s="6"/>
    </row>
    <row r="2" ht="12.75" customHeight="1">
      <c r="B2" s="2" t="s">
        <v>723</v>
      </c>
      <c r="C2" s="7" t="s">
        <v>724</v>
      </c>
      <c r="D2" s="8" t="s">
        <v>725</v>
      </c>
      <c r="E2" s="8"/>
      <c r="F2" s="2" t="str">
        <f>CONCATENATE(G8," ",F8)</f>
        <v>Kontoutdrag FEL! 81545,8099999998</v>
      </c>
      <c r="G2" s="9"/>
      <c r="H2" s="8" t="s">
        <v>726</v>
      </c>
      <c r="I2" s="10">
        <v>38201.0</v>
      </c>
      <c r="S2" s="6"/>
      <c r="T2" s="6"/>
      <c r="X2" s="11" t="s">
        <v>0</v>
      </c>
      <c r="Y2" s="7" t="s">
        <v>1</v>
      </c>
      <c r="Z2" s="9" t="s">
        <v>2</v>
      </c>
      <c r="AA2" s="7" t="s">
        <v>3</v>
      </c>
      <c r="AB2" s="6" t="s">
        <v>4</v>
      </c>
      <c r="AC2" s="7" t="s">
        <v>5</v>
      </c>
      <c r="AD2" s="7" t="s">
        <v>6</v>
      </c>
      <c r="AE2" s="7" t="s">
        <v>7</v>
      </c>
      <c r="AF2" s="7"/>
      <c r="AG2" s="7"/>
      <c r="AH2" s="7"/>
      <c r="AI2" s="7" t="s">
        <v>8</v>
      </c>
    </row>
    <row r="3" ht="12.75" customHeight="1">
      <c r="B3" s="9">
        <v>41905.0</v>
      </c>
      <c r="C3" s="9">
        <f>TODAY()</f>
        <v>46136</v>
      </c>
      <c r="D3" s="10" t="s">
        <v>727</v>
      </c>
      <c r="E3" s="10"/>
      <c r="F3" s="12" t="str">
        <f>F12</f>
        <v>FEL!</v>
      </c>
      <c r="G3" s="13">
        <f>G13</f>
        <v>-77216.82</v>
      </c>
      <c r="H3" s="13" t="str">
        <f>F12</f>
        <v>FEL!</v>
      </c>
      <c r="I3" s="13" t="str">
        <f>F12</f>
        <v>FEL!</v>
      </c>
      <c r="J3" s="13" t="str">
        <f>F12</f>
        <v>FEL!</v>
      </c>
      <c r="K3" s="13" t="str">
        <f>F12</f>
        <v>FEL!</v>
      </c>
      <c r="L3" s="13" t="str">
        <f>F12</f>
        <v>FEL!</v>
      </c>
      <c r="M3" s="13" t="str">
        <f>F12</f>
        <v>FEL!</v>
      </c>
      <c r="N3" s="13" t="str">
        <f>F12</f>
        <v>FEL!</v>
      </c>
      <c r="O3" s="13" t="str">
        <f>F12</f>
        <v>FEL!</v>
      </c>
      <c r="P3" s="13" t="str">
        <f>F12</f>
        <v>FEL!</v>
      </c>
      <c r="Q3" s="13" t="str">
        <f>F12</f>
        <v>FEL!</v>
      </c>
      <c r="R3" s="13" t="str">
        <f>F12</f>
        <v>FEL!</v>
      </c>
      <c r="S3" s="6"/>
      <c r="T3" s="6"/>
      <c r="AI3" s="7" t="s">
        <v>11</v>
      </c>
    </row>
    <row r="4" ht="12.75" customHeight="1">
      <c r="B4" s="14" t="s">
        <v>728</v>
      </c>
      <c r="C4" s="15">
        <f>D17</f>
        <v>16186.48636</v>
      </c>
      <c r="D4" s="16">
        <f>D15</f>
        <v>16186.48636</v>
      </c>
      <c r="E4" s="17"/>
      <c r="G4" s="12">
        <f>IF(NOT(ROUND(G13,0)=0),G13,"")</f>
        <v>-77216.82</v>
      </c>
      <c r="H4" s="2" t="str">
        <f>IF(G4="","",H13)</f>
        <v> &lt;= detta felar</v>
      </c>
      <c r="S4" s="6"/>
      <c r="T4" s="6"/>
      <c r="U4" s="6"/>
    </row>
    <row r="5" ht="4.5" customHeight="1">
      <c r="C5" s="7"/>
      <c r="S5" s="6"/>
      <c r="T5" s="6"/>
    </row>
    <row r="6" ht="12.75" customHeight="1">
      <c r="A6" s="7"/>
      <c r="B6" s="7"/>
      <c r="C6" s="7" t="s">
        <v>729</v>
      </c>
      <c r="D6" s="7" t="str">
        <f>VALUE(LEFT(RIGHT(sheetname(B1),LEN(sheetname(B1))-SEARCH("(",sheetname(B1),1)),SEARCH(")",sheetname(B1),1)-(1+SEARCH("(",sheetname(B1),1))))</f>
        <v>#NAME?</v>
      </c>
      <c r="E6" s="7" t="s">
        <v>730</v>
      </c>
      <c r="F6" s="7" t="s">
        <v>731</v>
      </c>
      <c r="G6" s="14" t="s">
        <v>732</v>
      </c>
      <c r="H6" s="14" t="s">
        <v>733</v>
      </c>
      <c r="I6" s="14" t="s">
        <v>734</v>
      </c>
      <c r="J6" s="14" t="s">
        <v>735</v>
      </c>
      <c r="K6" s="14" t="s">
        <v>736</v>
      </c>
      <c r="L6" s="14" t="s">
        <v>737</v>
      </c>
      <c r="M6" s="14" t="s">
        <v>738</v>
      </c>
      <c r="N6" s="14" t="s">
        <v>739</v>
      </c>
      <c r="O6" s="14" t="s">
        <v>740</v>
      </c>
      <c r="P6" s="14" t="s">
        <v>741</v>
      </c>
      <c r="Q6" s="14" t="s">
        <v>742</v>
      </c>
      <c r="R6" s="14" t="s">
        <v>743</v>
      </c>
      <c r="S6" s="6" t="s">
        <v>744</v>
      </c>
      <c r="T6" s="6"/>
      <c r="U6" s="7"/>
      <c r="V6" s="7"/>
      <c r="W6" s="7"/>
      <c r="X6" s="7"/>
    </row>
    <row r="7" ht="12.75" customHeight="1">
      <c r="A7" s="7"/>
      <c r="B7" s="7" t="s">
        <v>745</v>
      </c>
      <c r="C7" s="7">
        <v>0.0</v>
      </c>
      <c r="D7" s="12"/>
      <c r="E7" s="12"/>
      <c r="F7" s="7" t="s">
        <v>746</v>
      </c>
      <c r="G7" s="6">
        <f>0</f>
        <v>0</v>
      </c>
      <c r="H7" s="7" t="s">
        <v>747</v>
      </c>
      <c r="I7" s="7" t="s">
        <v>748</v>
      </c>
      <c r="J7" s="6">
        <f>Kontoutdrag_officiella!N1+0</f>
        <v>0</v>
      </c>
      <c r="K7" s="7" t="s">
        <v>749</v>
      </c>
      <c r="L7" s="7"/>
      <c r="M7" s="6"/>
      <c r="N7" s="6"/>
      <c r="O7" s="7"/>
      <c r="P7" s="7"/>
      <c r="Q7" s="7"/>
      <c r="R7" s="7" t="s">
        <v>750</v>
      </c>
      <c r="S7" s="6">
        <f>Kontoutdrag_officiella!M1+0</f>
        <v>0</v>
      </c>
      <c r="T7" s="6"/>
      <c r="U7" s="7" t="s">
        <v>751</v>
      </c>
      <c r="V7" s="7"/>
      <c r="W7" s="7"/>
      <c r="X7" s="7"/>
    </row>
    <row r="8" ht="12.75" customHeight="1">
      <c r="A8" s="7"/>
      <c r="B8" s="7" t="s">
        <v>752</v>
      </c>
      <c r="C8" s="6">
        <f>J7+C7+S8</f>
        <v>-2500</v>
      </c>
      <c r="D8" s="18" t="s">
        <v>753</v>
      </c>
      <c r="E8" s="18"/>
      <c r="F8" s="18">
        <f>C8-C9-J12</f>
        <v>81545.81</v>
      </c>
      <c r="G8" s="19" t="str">
        <f>IF((ROUND((F8),2))=0,"Kontoutdrag Stämmer","Kontoutdrag FEL!")</f>
        <v>Kontoutdrag FEL!</v>
      </c>
      <c r="H8" s="6"/>
      <c r="I8" s="7" t="s">
        <v>754</v>
      </c>
      <c r="J8" s="6">
        <f>Kontoutdrag_officiella!O1+0</f>
        <v>0</v>
      </c>
      <c r="K8" s="7" t="s">
        <v>749</v>
      </c>
      <c r="L8" s="7"/>
      <c r="M8" s="7"/>
      <c r="N8" s="6"/>
      <c r="O8" s="7"/>
      <c r="P8" s="7"/>
      <c r="Q8" s="7"/>
      <c r="R8" s="7" t="s">
        <v>749</v>
      </c>
      <c r="S8" s="6">
        <f>S7-2500</f>
        <v>-2500</v>
      </c>
      <c r="T8" s="6"/>
      <c r="U8" s="7"/>
      <c r="V8" s="7"/>
      <c r="W8" s="7"/>
      <c r="X8" s="7"/>
    </row>
    <row r="9" ht="12.75" customHeight="1">
      <c r="A9" s="7"/>
      <c r="B9" s="7" t="s">
        <v>755</v>
      </c>
      <c r="C9" s="20">
        <f>DSUM(Kontoutdrag_officiella!$A:$L,"t",X2:AI3)</f>
        <v>-84045.81</v>
      </c>
      <c r="D9" s="21">
        <f t="shared" ref="D9:D10" si="1">C8-C9</f>
        <v>81545.81</v>
      </c>
      <c r="E9" s="21"/>
      <c r="F9" s="7" t="s">
        <v>756</v>
      </c>
      <c r="G9" s="7"/>
      <c r="H9" s="6"/>
      <c r="I9" s="7" t="s">
        <v>757</v>
      </c>
      <c r="J9" s="6">
        <f>Kontoutdrag_officiella!P1+0</f>
        <v>0</v>
      </c>
      <c r="K9" s="7"/>
      <c r="L9" s="6"/>
      <c r="M9" s="7"/>
      <c r="N9" s="7"/>
      <c r="O9" s="7"/>
      <c r="P9" s="7"/>
      <c r="Q9" s="7"/>
      <c r="R9" s="7"/>
      <c r="S9" s="6"/>
      <c r="T9" s="6"/>
      <c r="U9" s="7"/>
      <c r="V9" s="7"/>
      <c r="W9" s="7"/>
      <c r="X9" s="7"/>
    </row>
    <row r="10" ht="12.75" customHeight="1">
      <c r="A10" s="7"/>
      <c r="B10" s="7" t="s">
        <v>758</v>
      </c>
      <c r="C10" s="22">
        <f>S144+1000</f>
        <v>74716.82</v>
      </c>
      <c r="D10" s="18">
        <f t="shared" si="1"/>
        <v>-158762.63</v>
      </c>
      <c r="E10" s="18"/>
      <c r="F10" s="7" t="str">
        <f>#REF!</f>
        <v>#REF!</v>
      </c>
      <c r="G10" s="12" t="s">
        <v>759</v>
      </c>
      <c r="H10" s="7"/>
      <c r="I10" s="7" t="s">
        <v>760</v>
      </c>
      <c r="J10" s="7">
        <v>0.0</v>
      </c>
      <c r="K10" s="7" t="s">
        <v>761</v>
      </c>
      <c r="L10" s="6"/>
      <c r="M10" s="6"/>
      <c r="N10" s="7"/>
      <c r="O10" s="7"/>
      <c r="P10" s="7"/>
      <c r="Q10" s="7"/>
      <c r="R10" s="7"/>
      <c r="S10" s="6"/>
      <c r="T10" s="6"/>
      <c r="U10" s="7"/>
      <c r="V10" s="7"/>
      <c r="W10" s="7"/>
      <c r="X10" s="7"/>
    </row>
    <row r="11" ht="12.75" customHeight="1">
      <c r="A11" s="7"/>
      <c r="B11" s="7"/>
      <c r="C11" s="7" t="s">
        <v>762</v>
      </c>
      <c r="D11" s="13">
        <f>D9-J12+G7</f>
        <v>81545.81</v>
      </c>
      <c r="E11" s="13"/>
      <c r="F11" s="12"/>
      <c r="G11" s="7" t="s">
        <v>763</v>
      </c>
      <c r="H11" s="7"/>
      <c r="I11" s="7" t="s">
        <v>764</v>
      </c>
      <c r="J11" s="7">
        <v>0.0</v>
      </c>
      <c r="K11" s="7" t="s">
        <v>749</v>
      </c>
      <c r="L11" s="12"/>
      <c r="M11" s="7"/>
      <c r="N11" s="7"/>
      <c r="O11" s="7"/>
      <c r="P11" s="7"/>
      <c r="Q11" s="7"/>
      <c r="R11" s="7"/>
      <c r="S11" s="6"/>
      <c r="T11" s="6"/>
      <c r="U11" s="7"/>
      <c r="V11" s="7"/>
      <c r="W11" s="7"/>
      <c r="X11" s="7"/>
    </row>
    <row r="12" ht="12.75" customHeight="1">
      <c r="A12" s="7"/>
      <c r="B12" s="8" t="s">
        <v>765</v>
      </c>
      <c r="C12" s="18">
        <f>C8-C10</f>
        <v>-77216.82</v>
      </c>
      <c r="D12" s="19" t="s">
        <v>766</v>
      </c>
      <c r="E12" s="19"/>
      <c r="F12" s="23" t="str">
        <f>IF((ROUND((G12-C12),2))=0,"Stämmer","FEL!")</f>
        <v>FEL!</v>
      </c>
      <c r="G12" s="7">
        <f>J12</f>
        <v>0</v>
      </c>
      <c r="H12" s="7" t="s">
        <v>767</v>
      </c>
      <c r="I12" s="19" t="str">
        <f>IF((ROUND((G12-C12),2))=0,"Stämmer","FEL!")</f>
        <v>FEL!</v>
      </c>
      <c r="J12" s="7">
        <f>-1*SUM(J8:J11)</f>
        <v>0</v>
      </c>
      <c r="K12" s="12"/>
      <c r="L12" s="7"/>
      <c r="M12" s="7"/>
      <c r="N12" s="7"/>
      <c r="O12" s="7"/>
      <c r="P12" s="7"/>
      <c r="Q12" s="7"/>
      <c r="R12" s="7"/>
      <c r="S12" s="6"/>
      <c r="T12" s="6"/>
      <c r="U12" s="7"/>
      <c r="V12" s="7"/>
      <c r="W12" s="7"/>
      <c r="X12" s="7"/>
    </row>
    <row r="13" ht="12.75" customHeight="1">
      <c r="A13" s="7"/>
      <c r="B13" s="8"/>
      <c r="C13" s="24">
        <f>C8-G12</f>
        <v>-2500</v>
      </c>
      <c r="D13" s="8" t="s">
        <v>768</v>
      </c>
      <c r="E13" s="7"/>
      <c r="F13" s="12"/>
      <c r="G13" s="13">
        <f>C12-G12</f>
        <v>-77216.82</v>
      </c>
      <c r="H13" s="7" t="s">
        <v>769</v>
      </c>
      <c r="I13" s="7"/>
      <c r="J13" s="7"/>
      <c r="K13" s="7"/>
      <c r="L13" s="7"/>
      <c r="M13" s="7"/>
      <c r="N13" s="7"/>
      <c r="O13" s="7"/>
      <c r="P13" s="7"/>
      <c r="Q13" s="7"/>
      <c r="R13" s="7"/>
      <c r="S13" s="6"/>
      <c r="T13" s="6"/>
      <c r="U13" s="7"/>
      <c r="V13" s="7"/>
      <c r="W13" s="7"/>
      <c r="X13" s="7"/>
    </row>
    <row r="14" ht="12.75" customHeight="1">
      <c r="A14" s="7"/>
      <c r="B14" s="7"/>
      <c r="C14" s="14" t="s">
        <v>770</v>
      </c>
      <c r="D14" s="14" t="s">
        <v>771</v>
      </c>
      <c r="E14" s="14"/>
      <c r="F14" s="12"/>
      <c r="G14" s="12"/>
      <c r="H14" s="7"/>
      <c r="I14" s="7"/>
      <c r="J14" s="7"/>
      <c r="K14" s="7"/>
      <c r="L14" s="7"/>
      <c r="M14" s="7"/>
      <c r="N14" s="7"/>
      <c r="O14" s="7"/>
      <c r="P14" s="7"/>
      <c r="Q14" s="7"/>
      <c r="R14" s="7"/>
      <c r="S14" s="6"/>
      <c r="T14" s="6"/>
      <c r="U14" s="7"/>
      <c r="V14" s="7"/>
      <c r="W14" s="7"/>
      <c r="X14" s="7"/>
    </row>
    <row r="15" ht="12.75" customHeight="1">
      <c r="A15" s="7"/>
      <c r="B15" s="26" t="s">
        <v>772</v>
      </c>
      <c r="C15" s="15">
        <f>V160</f>
        <v>12333.55636</v>
      </c>
      <c r="D15" s="15">
        <f>V142</f>
        <v>16186.48636</v>
      </c>
      <c r="E15" s="15"/>
      <c r="F15" s="7"/>
      <c r="G15" s="7" t="s">
        <v>773</v>
      </c>
      <c r="H15" s="9">
        <v>38985.0</v>
      </c>
      <c r="I15" s="9">
        <v>39015.0</v>
      </c>
      <c r="J15" s="9">
        <v>39045.0</v>
      </c>
      <c r="K15" s="9">
        <v>39073.0</v>
      </c>
      <c r="L15" s="7"/>
      <c r="M15" s="9">
        <v>39136.0</v>
      </c>
      <c r="N15" s="9">
        <v>38799.0</v>
      </c>
      <c r="O15" s="9">
        <v>38832.0</v>
      </c>
      <c r="P15" s="9">
        <v>38862.0</v>
      </c>
      <c r="Q15" s="7"/>
      <c r="R15" s="7"/>
      <c r="S15" s="6"/>
      <c r="T15" s="6"/>
      <c r="U15" s="7"/>
      <c r="V15" s="7"/>
      <c r="W15" s="7" t="s">
        <v>774</v>
      </c>
      <c r="X15" s="7"/>
    </row>
    <row r="16" ht="12.75" customHeight="1">
      <c r="A16" s="7"/>
      <c r="B16" s="7" t="s">
        <v>775</v>
      </c>
      <c r="C16" s="6">
        <f t="shared" ref="C16:D16" si="2">C15</f>
        <v>12333.55636</v>
      </c>
      <c r="D16" s="6">
        <f t="shared" si="2"/>
        <v>16186.48636</v>
      </c>
      <c r="E16" s="6"/>
      <c r="F16" s="7" t="s">
        <v>724</v>
      </c>
      <c r="G16" s="7" t="s">
        <v>776</v>
      </c>
      <c r="H16" s="19" t="s">
        <v>777</v>
      </c>
      <c r="I16" s="7" t="s">
        <v>778</v>
      </c>
      <c r="J16" s="7" t="s">
        <v>779</v>
      </c>
      <c r="K16" s="7"/>
      <c r="L16" s="7" t="s">
        <v>780</v>
      </c>
      <c r="M16" s="7"/>
      <c r="N16" s="7" t="s">
        <v>781</v>
      </c>
      <c r="O16" s="8"/>
      <c r="P16" s="14" t="s">
        <v>782</v>
      </c>
      <c r="Q16" s="7"/>
      <c r="R16" s="7"/>
      <c r="S16" s="6" t="s">
        <v>783</v>
      </c>
      <c r="T16" s="6"/>
      <c r="U16" s="7" t="s">
        <v>784</v>
      </c>
      <c r="V16" s="7" t="s">
        <v>785</v>
      </c>
      <c r="W16" s="12">
        <f>S17-500*2</f>
        <v>131.72</v>
      </c>
      <c r="X16" s="7"/>
    </row>
    <row r="17" ht="12.75" customHeight="1">
      <c r="A17" s="7"/>
      <c r="B17" s="14" t="s">
        <v>728</v>
      </c>
      <c r="C17" s="19">
        <f>C15/J17</f>
        <v>12333.55636</v>
      </c>
      <c r="D17" s="6">
        <f>D15/J17</f>
        <v>16186.48636</v>
      </c>
      <c r="E17" s="6"/>
      <c r="F17" s="7">
        <f>DAY(TODAY())</f>
        <v>24</v>
      </c>
      <c r="G17" s="7">
        <v>25.0</v>
      </c>
      <c r="H17" s="19">
        <f>G17-(IF((G17-F17)&lt;1,IF(F17-G17,F17-P17,F17-P17),F17))</f>
        <v>1</v>
      </c>
      <c r="I17" s="7">
        <f>H17/7</f>
        <v>0.1428571429</v>
      </c>
      <c r="J17" s="7">
        <f>ROUNDUP(I17,0)</f>
        <v>1</v>
      </c>
      <c r="K17" s="7"/>
      <c r="L17" s="7">
        <v>5.0</v>
      </c>
      <c r="M17" s="19">
        <f>D15/L17</f>
        <v>3237.297273</v>
      </c>
      <c r="N17" s="7">
        <f>1850/4</f>
        <v>462.5</v>
      </c>
      <c r="O17" s="8"/>
      <c r="P17" s="14">
        <v>31.0</v>
      </c>
      <c r="Q17" s="7"/>
      <c r="R17" s="7"/>
      <c r="S17" s="6">
        <f>C48</f>
        <v>1131.72</v>
      </c>
      <c r="T17" s="6"/>
      <c r="U17" s="7">
        <v>4.5</v>
      </c>
      <c r="V17" s="7">
        <f>S17/U17</f>
        <v>251.4933333</v>
      </c>
      <c r="W17" s="7">
        <f>W16/U17</f>
        <v>29.27111111</v>
      </c>
      <c r="X17" s="7"/>
    </row>
    <row r="18" ht="12.75" customHeight="1">
      <c r="A18" s="7"/>
      <c r="B18" s="11" t="s">
        <v>786</v>
      </c>
      <c r="C18" s="7">
        <f>C15/I17</f>
        <v>86334.89455</v>
      </c>
      <c r="D18" s="6">
        <f>D15/I17</f>
        <v>113305.4045</v>
      </c>
      <c r="E18" s="6"/>
      <c r="F18" s="7" t="s">
        <v>787</v>
      </c>
      <c r="G18" s="7">
        <f>D15/H17</f>
        <v>16186.48636</v>
      </c>
      <c r="H18" s="7" t="s">
        <v>788</v>
      </c>
      <c r="I18" s="7">
        <f>D15/(I17*5)</f>
        <v>22661.08091</v>
      </c>
      <c r="J18" s="7"/>
      <c r="K18" s="7"/>
      <c r="L18" s="7"/>
      <c r="M18" s="7"/>
      <c r="N18" s="7"/>
      <c r="O18" s="7"/>
      <c r="P18" s="7"/>
      <c r="Q18" s="7"/>
      <c r="R18" s="7"/>
      <c r="S18" s="6"/>
      <c r="T18" s="6"/>
      <c r="U18" s="7"/>
      <c r="V18" s="7"/>
      <c r="W18" s="7"/>
      <c r="X18" s="7"/>
    </row>
    <row r="19" ht="12.75" customHeight="1">
      <c r="A19" s="7"/>
      <c r="B19" s="7"/>
      <c r="C19" s="7"/>
      <c r="D19" s="8"/>
      <c r="E19" s="8"/>
      <c r="F19" s="7"/>
      <c r="G19" s="7"/>
      <c r="H19" s="7"/>
      <c r="I19" s="7" t="s">
        <v>789</v>
      </c>
      <c r="J19" s="7"/>
      <c r="K19" s="7"/>
      <c r="L19" s="7"/>
      <c r="M19" s="7"/>
      <c r="N19" s="7"/>
      <c r="O19" s="7"/>
      <c r="P19" s="7"/>
      <c r="Q19" s="7"/>
      <c r="R19" s="7"/>
      <c r="S19" s="6" t="s">
        <v>790</v>
      </c>
      <c r="T19" s="6"/>
      <c r="U19" s="7" t="s">
        <v>791</v>
      </c>
      <c r="V19" s="7"/>
      <c r="W19" s="7"/>
      <c r="X19" s="7"/>
    </row>
    <row r="20" ht="12.75" customHeight="1">
      <c r="A20" s="7"/>
      <c r="B20" s="7"/>
      <c r="C20" s="6">
        <f>C13-C10</f>
        <v>-77216.82</v>
      </c>
      <c r="D20" s="8"/>
      <c r="E20" s="8"/>
      <c r="F20" s="7"/>
      <c r="G20" s="7"/>
      <c r="H20" s="7"/>
      <c r="I20" s="7"/>
      <c r="J20" s="6"/>
      <c r="K20" s="19"/>
      <c r="L20" s="19"/>
      <c r="M20" s="7"/>
      <c r="N20" s="27"/>
      <c r="O20" s="19"/>
      <c r="P20" s="7"/>
      <c r="Q20" s="7"/>
      <c r="R20" s="7"/>
      <c r="S20" s="6"/>
      <c r="T20" s="6"/>
      <c r="U20" s="7"/>
      <c r="V20" s="7"/>
      <c r="W20" s="7"/>
      <c r="X20" s="7"/>
    </row>
    <row r="21" ht="12.75" customHeight="1">
      <c r="A21" s="7"/>
      <c r="B21" s="7" t="s">
        <v>792</v>
      </c>
      <c r="C21" s="7">
        <f>C10/C62</f>
        <v>2.571919039</v>
      </c>
      <c r="D21" s="8"/>
      <c r="E21" s="8"/>
      <c r="F21" s="7" t="s">
        <v>793</v>
      </c>
      <c r="G21" s="27"/>
      <c r="H21" s="7"/>
      <c r="I21" s="7"/>
      <c r="J21" s="19"/>
      <c r="K21" s="7"/>
      <c r="L21" s="14"/>
      <c r="M21" s="7"/>
      <c r="N21" s="7"/>
      <c r="O21" s="7"/>
      <c r="P21" s="7"/>
      <c r="Q21" s="7"/>
      <c r="R21" s="7"/>
      <c r="S21" s="6"/>
      <c r="T21" s="6"/>
      <c r="U21" s="7"/>
      <c r="V21" s="7"/>
      <c r="W21" s="7"/>
      <c r="X21" s="7"/>
    </row>
    <row r="22" ht="12.75" customHeight="1">
      <c r="A22" s="7"/>
      <c r="B22" s="7"/>
      <c r="C22" s="8">
        <f>C8/C62</f>
        <v>-0.08605555747</v>
      </c>
      <c r="D22" s="8">
        <f>(C8+10000+20000)/C62</f>
        <v>0.9466111321</v>
      </c>
      <c r="E22" s="8">
        <f>SUM(E40:E42)/SUM(C40:C41)</f>
        <v>2.944462177</v>
      </c>
      <c r="F22" s="7"/>
      <c r="G22" s="27"/>
      <c r="H22" s="7"/>
      <c r="I22" s="7"/>
      <c r="J22" s="19"/>
      <c r="K22" s="7"/>
      <c r="L22" s="14"/>
      <c r="M22" s="7"/>
      <c r="N22" s="7"/>
      <c r="O22" s="7"/>
      <c r="P22" s="7"/>
      <c r="Q22" s="7"/>
      <c r="R22" s="7"/>
      <c r="S22" s="6"/>
      <c r="T22" s="6"/>
      <c r="U22" s="7"/>
      <c r="V22" s="7"/>
      <c r="W22" s="7"/>
      <c r="X22" s="7"/>
    </row>
    <row r="23" ht="12.75" customHeight="1">
      <c r="A23" s="7" t="s">
        <v>794</v>
      </c>
      <c r="B23" s="14" t="s">
        <v>795</v>
      </c>
      <c r="C23" s="14" t="s">
        <v>795</v>
      </c>
      <c r="D23" s="14" t="s">
        <v>795</v>
      </c>
      <c r="E23" s="14"/>
      <c r="F23" s="14" t="s">
        <v>795</v>
      </c>
      <c r="G23" s="14" t="s">
        <v>795</v>
      </c>
      <c r="H23" s="14" t="s">
        <v>795</v>
      </c>
      <c r="I23" s="14" t="s">
        <v>795</v>
      </c>
      <c r="J23" s="14" t="s">
        <v>795</v>
      </c>
      <c r="K23" s="14" t="s">
        <v>795</v>
      </c>
      <c r="L23" s="14" t="s">
        <v>795</v>
      </c>
      <c r="M23" s="14" t="s">
        <v>795</v>
      </c>
      <c r="N23" s="14" t="s">
        <v>795</v>
      </c>
      <c r="O23" s="14" t="s">
        <v>795</v>
      </c>
      <c r="P23" s="14" t="s">
        <v>795</v>
      </c>
      <c r="Q23" s="14" t="s">
        <v>795</v>
      </c>
      <c r="R23" s="14" t="s">
        <v>795</v>
      </c>
      <c r="S23" s="28" t="s">
        <v>795</v>
      </c>
      <c r="T23" s="28"/>
      <c r="U23" s="7"/>
      <c r="V23" s="7"/>
      <c r="W23" s="7" t="s">
        <v>796</v>
      </c>
      <c r="X23" s="7"/>
    </row>
    <row r="24" ht="12.75" customHeight="1">
      <c r="A24" s="7" t="s">
        <v>794</v>
      </c>
      <c r="B24" s="14"/>
      <c r="C24" s="8" t="s">
        <v>797</v>
      </c>
      <c r="D24" s="7" t="s">
        <v>798</v>
      </c>
      <c r="E24" s="26" t="s">
        <v>799</v>
      </c>
      <c r="F24" s="14"/>
      <c r="G24" s="14"/>
      <c r="H24" s="14"/>
      <c r="I24" s="14"/>
      <c r="J24" s="14"/>
      <c r="K24" s="14"/>
      <c r="L24" s="14"/>
      <c r="M24" s="14"/>
      <c r="N24" s="14"/>
      <c r="O24" s="14"/>
      <c r="P24" s="14"/>
      <c r="Q24" s="14"/>
      <c r="R24" s="14"/>
      <c r="S24" s="6"/>
      <c r="T24" s="6"/>
      <c r="U24" s="7"/>
      <c r="V24" s="7"/>
      <c r="W24" s="7"/>
      <c r="X24" s="7"/>
    </row>
    <row r="25" ht="12.75" customHeight="1">
      <c r="A25" s="7" t="s">
        <v>794</v>
      </c>
      <c r="B25" s="7" t="s">
        <v>10</v>
      </c>
      <c r="C25" s="7">
        <f>3851+5742+1205+37-635-1250+3333</f>
        <v>12283</v>
      </c>
      <c r="D25" s="18"/>
      <c r="E25" s="25">
        <f t="shared" ref="E25:E57" si="4">S111</f>
        <v>21176.6</v>
      </c>
      <c r="F25" s="6">
        <f t="shared" ref="F25:F58" si="5">0+D25</f>
        <v>0</v>
      </c>
      <c r="G25" s="6">
        <f t="shared" ref="G25:M25" si="3">3851+5742+1205+37-635-1250+3333</f>
        <v>12283</v>
      </c>
      <c r="H25" s="6">
        <f t="shared" si="3"/>
        <v>12283</v>
      </c>
      <c r="I25" s="6">
        <f t="shared" si="3"/>
        <v>12283</v>
      </c>
      <c r="J25" s="6">
        <f t="shared" si="3"/>
        <v>12283</v>
      </c>
      <c r="K25" s="6">
        <f t="shared" si="3"/>
        <v>12283</v>
      </c>
      <c r="L25" s="6">
        <f t="shared" si="3"/>
        <v>12283</v>
      </c>
      <c r="M25" s="6">
        <f t="shared" si="3"/>
        <v>12283</v>
      </c>
      <c r="N25" s="6">
        <v>12283.0</v>
      </c>
      <c r="O25" s="7">
        <f>3851+5742+1205+37-635-1250+3333</f>
        <v>12283</v>
      </c>
      <c r="P25" s="6">
        <v>12283.0</v>
      </c>
      <c r="Q25" s="7">
        <f>3851+5742+1205+37-635-1250+3333</f>
        <v>12283</v>
      </c>
      <c r="R25" s="6">
        <v>12283.0</v>
      </c>
      <c r="S25" s="25">
        <f t="shared" ref="S25:S57" si="7">SUM(G25:R25)</f>
        <v>147396</v>
      </c>
      <c r="T25" s="7" t="s">
        <v>10</v>
      </c>
      <c r="U25" s="6"/>
      <c r="V25" s="7"/>
      <c r="W25" s="7"/>
      <c r="X25" s="7"/>
      <c r="Y25" s="7"/>
      <c r="Z25" s="7"/>
      <c r="AA25" s="7"/>
      <c r="AB25" s="7"/>
      <c r="AC25" s="7"/>
      <c r="AD25" s="7"/>
      <c r="AE25" s="7"/>
      <c r="AF25" s="7"/>
      <c r="AG25" s="7"/>
      <c r="AH25" s="7"/>
      <c r="AI25" s="7"/>
      <c r="AJ25" s="7"/>
      <c r="AK25" s="7"/>
    </row>
    <row r="26" ht="12.75" customHeight="1">
      <c r="A26" s="7" t="s">
        <v>794</v>
      </c>
      <c r="B26" s="7" t="s">
        <v>20</v>
      </c>
      <c r="C26" s="7">
        <f>-50+720/2+4+4+2</f>
        <v>320</v>
      </c>
      <c r="D26" s="18"/>
      <c r="E26" s="25">
        <f t="shared" si="4"/>
        <v>0</v>
      </c>
      <c r="F26" s="6">
        <f t="shared" si="5"/>
        <v>0</v>
      </c>
      <c r="G26" s="6">
        <f t="shared" ref="G26:M26" si="6">-50+720/2+4+4+2</f>
        <v>320</v>
      </c>
      <c r="H26" s="6">
        <f t="shared" si="6"/>
        <v>320</v>
      </c>
      <c r="I26" s="6">
        <f t="shared" si="6"/>
        <v>320</v>
      </c>
      <c r="J26" s="6">
        <f t="shared" si="6"/>
        <v>320</v>
      </c>
      <c r="K26" s="6">
        <f t="shared" si="6"/>
        <v>320</v>
      </c>
      <c r="L26" s="6">
        <f t="shared" si="6"/>
        <v>320</v>
      </c>
      <c r="M26" s="6">
        <f t="shared" si="6"/>
        <v>320</v>
      </c>
      <c r="N26" s="6">
        <v>320.0</v>
      </c>
      <c r="O26" s="7">
        <f>-50+720/2+4+4+2</f>
        <v>320</v>
      </c>
      <c r="P26" s="6">
        <v>320.0</v>
      </c>
      <c r="Q26" s="7">
        <f>-50+720/2+4+4+2</f>
        <v>320</v>
      </c>
      <c r="R26" s="6">
        <v>320.0</v>
      </c>
      <c r="S26" s="25">
        <f t="shared" si="7"/>
        <v>3840</v>
      </c>
      <c r="T26" s="7" t="s">
        <v>20</v>
      </c>
      <c r="U26" s="6"/>
      <c r="V26" s="7"/>
      <c r="W26" s="7"/>
      <c r="X26" s="7"/>
      <c r="Y26" s="7"/>
      <c r="Z26" s="7"/>
      <c r="AA26" s="7"/>
      <c r="AB26" s="7"/>
      <c r="AC26" s="7"/>
      <c r="AD26" s="7"/>
      <c r="AE26" s="7"/>
      <c r="AF26" s="7"/>
      <c r="AG26" s="7"/>
      <c r="AH26" s="7"/>
      <c r="AI26" s="7"/>
      <c r="AJ26" s="7"/>
      <c r="AK26" s="7"/>
    </row>
    <row r="27" ht="12.75" customHeight="1">
      <c r="A27" s="7" t="s">
        <v>794</v>
      </c>
      <c r="B27" s="7" t="s">
        <v>17</v>
      </c>
      <c r="C27" s="7">
        <f>108+11</f>
        <v>119</v>
      </c>
      <c r="D27" s="8"/>
      <c r="E27" s="25">
        <f t="shared" si="4"/>
        <v>-46</v>
      </c>
      <c r="F27" s="6">
        <f t="shared" si="5"/>
        <v>0</v>
      </c>
      <c r="G27" s="7">
        <f t="shared" ref="G27:M27" si="8">108+11</f>
        <v>119</v>
      </c>
      <c r="H27" s="7">
        <f t="shared" si="8"/>
        <v>119</v>
      </c>
      <c r="I27" s="7">
        <f t="shared" si="8"/>
        <v>119</v>
      </c>
      <c r="J27" s="7">
        <f t="shared" si="8"/>
        <v>119</v>
      </c>
      <c r="K27" s="7">
        <f t="shared" si="8"/>
        <v>119</v>
      </c>
      <c r="L27" s="7">
        <f t="shared" si="8"/>
        <v>119</v>
      </c>
      <c r="M27" s="7">
        <f t="shared" si="8"/>
        <v>119</v>
      </c>
      <c r="N27" s="7">
        <v>119.0</v>
      </c>
      <c r="O27" s="7">
        <f>108+11</f>
        <v>119</v>
      </c>
      <c r="P27" s="7">
        <v>119.0</v>
      </c>
      <c r="Q27" s="7">
        <f>108+11</f>
        <v>119</v>
      </c>
      <c r="R27" s="7">
        <v>119.0</v>
      </c>
      <c r="S27" s="25">
        <f t="shared" si="7"/>
        <v>1428</v>
      </c>
      <c r="T27" s="7" t="s">
        <v>17</v>
      </c>
      <c r="U27" s="6"/>
      <c r="V27" s="7"/>
      <c r="W27" s="7"/>
      <c r="X27" s="7"/>
      <c r="Y27" s="7"/>
      <c r="Z27" s="7"/>
      <c r="AA27" s="7"/>
      <c r="AB27" s="7"/>
      <c r="AC27" s="7"/>
      <c r="AD27" s="7"/>
      <c r="AE27" s="7"/>
      <c r="AF27" s="7"/>
      <c r="AG27" s="7"/>
      <c r="AH27" s="7"/>
      <c r="AI27" s="7"/>
      <c r="AJ27" s="7"/>
      <c r="AK27" s="7"/>
    </row>
    <row r="28" ht="12.75" customHeight="1">
      <c r="A28" s="7" t="s">
        <v>794</v>
      </c>
      <c r="B28" s="7" t="s">
        <v>24</v>
      </c>
      <c r="C28" s="7">
        <v>280.0</v>
      </c>
      <c r="D28" s="18"/>
      <c r="E28" s="25">
        <f t="shared" si="4"/>
        <v>-78</v>
      </c>
      <c r="F28" s="6">
        <f t="shared" si="5"/>
        <v>0</v>
      </c>
      <c r="G28" s="6">
        <v>280.0</v>
      </c>
      <c r="H28" s="6">
        <v>280.0</v>
      </c>
      <c r="I28" s="6">
        <v>280.0</v>
      </c>
      <c r="J28" s="6">
        <v>280.0</v>
      </c>
      <c r="K28" s="6">
        <v>280.0</v>
      </c>
      <c r="L28" s="6">
        <v>280.0</v>
      </c>
      <c r="M28" s="6">
        <v>280.0</v>
      </c>
      <c r="N28" s="6">
        <v>280.0</v>
      </c>
      <c r="O28" s="7">
        <v>280.0</v>
      </c>
      <c r="P28" s="6">
        <v>280.0</v>
      </c>
      <c r="Q28" s="7">
        <v>280.0</v>
      </c>
      <c r="R28" s="6">
        <v>280.0</v>
      </c>
      <c r="S28" s="25">
        <f t="shared" si="7"/>
        <v>3360</v>
      </c>
      <c r="T28" s="7" t="s">
        <v>24</v>
      </c>
      <c r="U28" s="6"/>
      <c r="V28" s="7"/>
      <c r="W28" s="6">
        <f>R28</f>
        <v>280</v>
      </c>
      <c r="X28" s="7"/>
      <c r="Y28" s="7"/>
      <c r="Z28" s="7"/>
      <c r="AA28" s="7"/>
      <c r="AB28" s="7"/>
      <c r="AC28" s="7"/>
      <c r="AD28" s="7"/>
      <c r="AE28" s="7"/>
      <c r="AF28" s="7"/>
      <c r="AG28" s="7"/>
      <c r="AH28" s="7"/>
      <c r="AI28" s="7"/>
      <c r="AJ28" s="7"/>
      <c r="AK28" s="7"/>
    </row>
    <row r="29" ht="12.75" customHeight="1">
      <c r="A29" s="7" t="s">
        <v>794</v>
      </c>
      <c r="B29" s="7" t="s">
        <v>651</v>
      </c>
      <c r="C29" s="7">
        <f>225/12</f>
        <v>18.75</v>
      </c>
      <c r="D29" s="8"/>
      <c r="E29" s="25">
        <f t="shared" si="4"/>
        <v>0</v>
      </c>
      <c r="F29" s="6">
        <f t="shared" si="5"/>
        <v>0</v>
      </c>
      <c r="G29" s="7">
        <f t="shared" ref="G29:M29" si="9">225/12</f>
        <v>18.75</v>
      </c>
      <c r="H29" s="7">
        <f t="shared" si="9"/>
        <v>18.75</v>
      </c>
      <c r="I29" s="7">
        <f t="shared" si="9"/>
        <v>18.75</v>
      </c>
      <c r="J29" s="7">
        <f t="shared" si="9"/>
        <v>18.75</v>
      </c>
      <c r="K29" s="7">
        <f t="shared" si="9"/>
        <v>18.75</v>
      </c>
      <c r="L29" s="7">
        <f t="shared" si="9"/>
        <v>18.75</v>
      </c>
      <c r="M29" s="7">
        <f t="shared" si="9"/>
        <v>18.75</v>
      </c>
      <c r="N29" s="7">
        <v>18.75</v>
      </c>
      <c r="O29" s="7">
        <f>225/12</f>
        <v>18.75</v>
      </c>
      <c r="P29" s="7">
        <v>18.75</v>
      </c>
      <c r="Q29" s="7">
        <f>225/12</f>
        <v>18.75</v>
      </c>
      <c r="R29" s="7">
        <v>18.75</v>
      </c>
      <c r="S29" s="25">
        <f t="shared" si="7"/>
        <v>225</v>
      </c>
      <c r="T29" s="7" t="s">
        <v>651</v>
      </c>
      <c r="U29" s="6"/>
      <c r="V29" s="7"/>
      <c r="W29" s="7"/>
      <c r="X29" s="7"/>
      <c r="Y29" s="7"/>
      <c r="Z29" s="7"/>
      <c r="AA29" s="7"/>
      <c r="AB29" s="7"/>
      <c r="AC29" s="7"/>
      <c r="AD29" s="7"/>
      <c r="AE29" s="7"/>
      <c r="AF29" s="7"/>
      <c r="AG29" s="7"/>
      <c r="AH29" s="7"/>
      <c r="AI29" s="7"/>
      <c r="AJ29" s="7"/>
      <c r="AK29" s="7"/>
    </row>
    <row r="30" ht="12.75" customHeight="1">
      <c r="A30" s="7" t="s">
        <v>794</v>
      </c>
      <c r="B30" s="7" t="s">
        <v>76</v>
      </c>
      <c r="C30" s="7">
        <f>(0*(1000+(216/3))+((120+12923)/12))*0+(120+2917+3037*2+3035)/12</f>
        <v>1012.166667</v>
      </c>
      <c r="D30" s="18"/>
      <c r="E30" s="25">
        <f t="shared" si="4"/>
        <v>18</v>
      </c>
      <c r="F30" s="6">
        <f t="shared" si="5"/>
        <v>0</v>
      </c>
      <c r="G30" s="6">
        <f t="shared" ref="G30:M30" si="10">(0*(1000+(216/3))+((120+12923)/12))*0+(120+2917+3037*2+3035)/12</f>
        <v>1012.166667</v>
      </c>
      <c r="H30" s="6">
        <f t="shared" si="10"/>
        <v>1012.166667</v>
      </c>
      <c r="I30" s="6">
        <f t="shared" si="10"/>
        <v>1012.166667</v>
      </c>
      <c r="J30" s="6">
        <f t="shared" si="10"/>
        <v>1012.166667</v>
      </c>
      <c r="K30" s="6">
        <f t="shared" si="10"/>
        <v>1012.166667</v>
      </c>
      <c r="L30" s="6">
        <f t="shared" si="10"/>
        <v>1012.166667</v>
      </c>
      <c r="M30" s="6">
        <f t="shared" si="10"/>
        <v>1012.166667</v>
      </c>
      <c r="N30" s="6">
        <v>1012.1666666666666</v>
      </c>
      <c r="O30" s="7">
        <f>(0*(1000+(216/3))+((120+12923)/12))*0+(120+2917+3037*2+3035)/12</f>
        <v>1012.166667</v>
      </c>
      <c r="P30" s="6">
        <v>1012.1666666666666</v>
      </c>
      <c r="Q30" s="7">
        <f>(0*(1000+(216/3))+((120+12923)/12))*0+(120+2917+3037*2+3035)/12</f>
        <v>1012.166667</v>
      </c>
      <c r="R30" s="6">
        <v>1012.1666666666666</v>
      </c>
      <c r="S30" s="25">
        <f t="shared" si="7"/>
        <v>12146</v>
      </c>
      <c r="T30" s="7" t="s">
        <v>76</v>
      </c>
      <c r="U30" s="6"/>
      <c r="V30" s="7"/>
      <c r="W30" s="7"/>
      <c r="X30" s="7"/>
      <c r="Y30" s="7"/>
      <c r="Z30" s="7"/>
      <c r="AA30" s="7"/>
      <c r="AB30" s="7"/>
      <c r="AC30" s="7"/>
      <c r="AD30" s="7"/>
      <c r="AE30" s="7"/>
      <c r="AF30" s="7"/>
      <c r="AG30" s="7"/>
      <c r="AH30" s="7"/>
      <c r="AI30" s="7"/>
      <c r="AJ30" s="7"/>
      <c r="AK30" s="7"/>
    </row>
    <row r="31" ht="12.75" customHeight="1">
      <c r="A31" s="7" t="s">
        <v>794</v>
      </c>
      <c r="B31" s="7" t="s">
        <v>26</v>
      </c>
      <c r="C31" s="7">
        <f>100+50</f>
        <v>150</v>
      </c>
      <c r="D31" s="18"/>
      <c r="E31" s="25">
        <f t="shared" si="4"/>
        <v>600</v>
      </c>
      <c r="F31" s="6">
        <f t="shared" si="5"/>
        <v>0</v>
      </c>
      <c r="G31" s="6">
        <f t="shared" ref="G31:M31" si="11">100+50</f>
        <v>150</v>
      </c>
      <c r="H31" s="6">
        <f t="shared" si="11"/>
        <v>150</v>
      </c>
      <c r="I31" s="6">
        <f t="shared" si="11"/>
        <v>150</v>
      </c>
      <c r="J31" s="6">
        <f t="shared" si="11"/>
        <v>150</v>
      </c>
      <c r="K31" s="6">
        <f t="shared" si="11"/>
        <v>150</v>
      </c>
      <c r="L31" s="6">
        <f t="shared" si="11"/>
        <v>150</v>
      </c>
      <c r="M31" s="6">
        <f t="shared" si="11"/>
        <v>150</v>
      </c>
      <c r="N31" s="6">
        <v>150.0</v>
      </c>
      <c r="O31" s="7">
        <f>100+50</f>
        <v>150</v>
      </c>
      <c r="P31" s="6">
        <v>150.0</v>
      </c>
      <c r="Q31" s="7">
        <f>100+50</f>
        <v>150</v>
      </c>
      <c r="R31" s="6">
        <v>150.0</v>
      </c>
      <c r="S31" s="25">
        <f t="shared" si="7"/>
        <v>1800</v>
      </c>
      <c r="T31" s="7" t="s">
        <v>26</v>
      </c>
      <c r="U31" s="6"/>
      <c r="V31" s="7"/>
      <c r="W31" s="7"/>
      <c r="X31" s="7"/>
      <c r="Y31" s="7"/>
      <c r="Z31" s="7"/>
      <c r="AA31" s="7"/>
      <c r="AB31" s="7"/>
      <c r="AC31" s="7"/>
      <c r="AD31" s="7"/>
      <c r="AE31" s="7"/>
      <c r="AF31" s="7"/>
      <c r="AG31" s="7"/>
      <c r="AH31" s="7"/>
      <c r="AI31" s="7"/>
      <c r="AJ31" s="7"/>
      <c r="AK31" s="7"/>
    </row>
    <row r="32" ht="27.75" customHeight="1">
      <c r="A32" s="7" t="s">
        <v>794</v>
      </c>
      <c r="B32" s="7" t="s">
        <v>103</v>
      </c>
      <c r="C32" s="7">
        <f>0*355.9+200</f>
        <v>200</v>
      </c>
      <c r="D32" s="8"/>
      <c r="E32" s="25">
        <f t="shared" si="4"/>
        <v>373</v>
      </c>
      <c r="F32" s="6">
        <f t="shared" si="5"/>
        <v>0</v>
      </c>
      <c r="G32" s="7">
        <f t="shared" ref="G32:M32" si="12">0*355.9+200</f>
        <v>200</v>
      </c>
      <c r="H32" s="7">
        <f t="shared" si="12"/>
        <v>200</v>
      </c>
      <c r="I32" s="7">
        <f t="shared" si="12"/>
        <v>200</v>
      </c>
      <c r="J32" s="7">
        <f t="shared" si="12"/>
        <v>200</v>
      </c>
      <c r="K32" s="7">
        <f t="shared" si="12"/>
        <v>200</v>
      </c>
      <c r="L32" s="7">
        <f t="shared" si="12"/>
        <v>200</v>
      </c>
      <c r="M32" s="7">
        <f t="shared" si="12"/>
        <v>200</v>
      </c>
      <c r="N32" s="7">
        <v>200.0</v>
      </c>
      <c r="O32" s="7">
        <f>0*355.9+200</f>
        <v>200</v>
      </c>
      <c r="P32" s="7">
        <v>200.0</v>
      </c>
      <c r="Q32" s="7">
        <f>0*355.9+200</f>
        <v>200</v>
      </c>
      <c r="R32" s="7">
        <v>200.0</v>
      </c>
      <c r="S32" s="25">
        <f t="shared" si="7"/>
        <v>2400</v>
      </c>
      <c r="T32" s="7" t="s">
        <v>103</v>
      </c>
      <c r="U32" s="6"/>
      <c r="V32" s="7"/>
      <c r="W32" s="7"/>
      <c r="X32" s="7"/>
      <c r="Y32" s="7"/>
      <c r="Z32" s="7"/>
      <c r="AA32" s="7"/>
      <c r="AB32" s="7"/>
      <c r="AC32" s="7"/>
      <c r="AD32" s="7"/>
      <c r="AE32" s="7"/>
      <c r="AF32" s="7"/>
      <c r="AG32" s="7"/>
      <c r="AH32" s="7"/>
      <c r="AI32" s="7"/>
      <c r="AJ32" s="7"/>
      <c r="AK32" s="7"/>
    </row>
    <row r="33" ht="12.75" customHeight="1">
      <c r="A33" s="7" t="s">
        <v>794</v>
      </c>
      <c r="B33" s="7" t="s">
        <v>22</v>
      </c>
      <c r="C33" s="7">
        <f>188*0+299</f>
        <v>299</v>
      </c>
      <c r="D33" s="8"/>
      <c r="E33" s="25">
        <f t="shared" si="4"/>
        <v>0</v>
      </c>
      <c r="F33" s="6">
        <f t="shared" si="5"/>
        <v>0</v>
      </c>
      <c r="G33" s="7">
        <f t="shared" ref="G33:M33" si="13">188*0+299</f>
        <v>299</v>
      </c>
      <c r="H33" s="7">
        <f t="shared" si="13"/>
        <v>299</v>
      </c>
      <c r="I33" s="7">
        <f t="shared" si="13"/>
        <v>299</v>
      </c>
      <c r="J33" s="7">
        <f t="shared" si="13"/>
        <v>299</v>
      </c>
      <c r="K33" s="7">
        <f t="shared" si="13"/>
        <v>299</v>
      </c>
      <c r="L33" s="7">
        <f t="shared" si="13"/>
        <v>299</v>
      </c>
      <c r="M33" s="7">
        <f t="shared" si="13"/>
        <v>299</v>
      </c>
      <c r="N33" s="7">
        <v>299.0</v>
      </c>
      <c r="O33" s="7">
        <f>188*0+299</f>
        <v>299</v>
      </c>
      <c r="P33" s="7">
        <v>299.0</v>
      </c>
      <c r="Q33" s="7">
        <f>188*0+299</f>
        <v>299</v>
      </c>
      <c r="R33" s="7">
        <v>299.0</v>
      </c>
      <c r="S33" s="25">
        <f t="shared" si="7"/>
        <v>3588</v>
      </c>
      <c r="T33" s="7" t="s">
        <v>22</v>
      </c>
      <c r="U33" s="6"/>
      <c r="V33" s="12"/>
      <c r="W33" s="12"/>
      <c r="X33" s="7"/>
      <c r="Y33" s="7"/>
      <c r="Z33" s="7"/>
      <c r="AA33" s="7"/>
      <c r="AB33" s="7"/>
      <c r="AC33" s="7"/>
      <c r="AD33" s="7"/>
      <c r="AE33" s="7"/>
      <c r="AF33" s="7"/>
      <c r="AG33" s="7"/>
      <c r="AH33" s="7"/>
      <c r="AI33" s="7"/>
      <c r="AJ33" s="7"/>
      <c r="AK33" s="7"/>
    </row>
    <row r="34" ht="12.75" customHeight="1">
      <c r="A34" s="7" t="s">
        <v>794</v>
      </c>
      <c r="B34" s="7" t="s">
        <v>428</v>
      </c>
      <c r="C34" s="7">
        <f>(39+69+120)*0+(299+15+40)*0+339*0+(354-339)*0+220+299-50+50</f>
        <v>519</v>
      </c>
      <c r="D34" s="18"/>
      <c r="E34" s="25">
        <f t="shared" si="4"/>
        <v>255</v>
      </c>
      <c r="F34" s="6">
        <f t="shared" si="5"/>
        <v>0</v>
      </c>
      <c r="G34" s="6">
        <f t="shared" ref="G34:H34" si="14">(39+69+120)*0+(299+15+40)*0+339*0+(354-339)*0+220+299-50</f>
        <v>469</v>
      </c>
      <c r="H34" s="6">
        <f t="shared" si="14"/>
        <v>469</v>
      </c>
      <c r="I34" s="6">
        <f t="shared" ref="I34:M34" si="15">(39+69+120)*0+(299+15+40)*0+339*0+(354-339)*0+220+299-50+50</f>
        <v>519</v>
      </c>
      <c r="J34" s="6">
        <f t="shared" si="15"/>
        <v>519</v>
      </c>
      <c r="K34" s="6">
        <f t="shared" si="15"/>
        <v>519</v>
      </c>
      <c r="L34" s="6">
        <f t="shared" si="15"/>
        <v>519</v>
      </c>
      <c r="M34" s="6">
        <f t="shared" si="15"/>
        <v>519</v>
      </c>
      <c r="N34" s="6">
        <v>519.0</v>
      </c>
      <c r="O34" s="7">
        <f>(39+69+120)*0+(299+15+40)*0+339*0+(354-339)*0+220+299-50+50</f>
        <v>519</v>
      </c>
      <c r="P34" s="6">
        <v>519.0</v>
      </c>
      <c r="Q34" s="7">
        <f>(39+69+120)*0+(299+15+40)*0+339*0+(354-339)*0+220+299-50+50</f>
        <v>519</v>
      </c>
      <c r="R34" s="6">
        <v>519.0</v>
      </c>
      <c r="S34" s="25">
        <f t="shared" si="7"/>
        <v>6128</v>
      </c>
      <c r="T34" s="7" t="s">
        <v>428</v>
      </c>
      <c r="U34" s="6"/>
      <c r="V34" s="7"/>
      <c r="W34" s="6">
        <f>R34-40</f>
        <v>479</v>
      </c>
      <c r="X34" s="7"/>
      <c r="Y34" s="7"/>
      <c r="Z34" s="7"/>
      <c r="AA34" s="7"/>
      <c r="AB34" s="7"/>
      <c r="AC34" s="7"/>
      <c r="AD34" s="7"/>
      <c r="AE34" s="7"/>
      <c r="AF34" s="7"/>
      <c r="AG34" s="7"/>
      <c r="AH34" s="7"/>
      <c r="AI34" s="7"/>
      <c r="AJ34" s="7"/>
      <c r="AK34" s="7"/>
    </row>
    <row r="35" ht="30.0" customHeight="1">
      <c r="A35" s="7" t="s">
        <v>794</v>
      </c>
      <c r="B35" s="7" t="s">
        <v>800</v>
      </c>
      <c r="C35" s="7">
        <f>20+10</f>
        <v>30</v>
      </c>
      <c r="D35" s="8"/>
      <c r="E35" s="25">
        <f t="shared" si="4"/>
        <v>360</v>
      </c>
      <c r="F35" s="6">
        <f t="shared" si="5"/>
        <v>0</v>
      </c>
      <c r="G35" s="7">
        <f t="shared" ref="G35:M35" si="16">20+10</f>
        <v>30</v>
      </c>
      <c r="H35" s="7">
        <f t="shared" si="16"/>
        <v>30</v>
      </c>
      <c r="I35" s="7">
        <f t="shared" si="16"/>
        <v>30</v>
      </c>
      <c r="J35" s="7">
        <f t="shared" si="16"/>
        <v>30</v>
      </c>
      <c r="K35" s="7">
        <f t="shared" si="16"/>
        <v>30</v>
      </c>
      <c r="L35" s="7">
        <f t="shared" si="16"/>
        <v>30</v>
      </c>
      <c r="M35" s="7">
        <f t="shared" si="16"/>
        <v>30</v>
      </c>
      <c r="N35" s="7">
        <v>30.0</v>
      </c>
      <c r="O35" s="7">
        <f>20+10</f>
        <v>30</v>
      </c>
      <c r="P35" s="7">
        <v>30.0</v>
      </c>
      <c r="Q35" s="7">
        <f>20+10</f>
        <v>30</v>
      </c>
      <c r="R35" s="7">
        <v>30.0</v>
      </c>
      <c r="S35" s="25">
        <f t="shared" si="7"/>
        <v>360</v>
      </c>
      <c r="T35" s="7" t="s">
        <v>800</v>
      </c>
      <c r="U35" s="6"/>
      <c r="V35" s="7"/>
      <c r="W35" s="7"/>
      <c r="X35" s="7"/>
      <c r="Y35" s="7"/>
      <c r="Z35" s="7"/>
      <c r="AA35" s="7"/>
      <c r="AB35" s="7"/>
      <c r="AC35" s="7"/>
      <c r="AD35" s="7"/>
      <c r="AE35" s="7"/>
      <c r="AF35" s="7"/>
      <c r="AG35" s="7"/>
      <c r="AH35" s="7"/>
      <c r="AI35" s="7"/>
      <c r="AJ35" s="7"/>
      <c r="AK35" s="7"/>
    </row>
    <row r="36" ht="12.75" customHeight="1">
      <c r="A36" s="7" t="s">
        <v>794</v>
      </c>
      <c r="B36" s="7" t="s">
        <v>54</v>
      </c>
      <c r="C36" s="7">
        <f>850+50-300</f>
        <v>600</v>
      </c>
      <c r="D36" s="18"/>
      <c r="E36" s="25">
        <f t="shared" si="4"/>
        <v>3492.93</v>
      </c>
      <c r="F36" s="6">
        <f t="shared" si="5"/>
        <v>0</v>
      </c>
      <c r="G36" s="2">
        <f t="shared" ref="G36:H36" si="17">850+50</f>
        <v>900</v>
      </c>
      <c r="H36" s="2">
        <f t="shared" si="17"/>
        <v>900</v>
      </c>
      <c r="I36" s="2">
        <f t="shared" ref="I36:M36" si="18">850+50-300</f>
        <v>600</v>
      </c>
      <c r="J36" s="2">
        <f t="shared" si="18"/>
        <v>600</v>
      </c>
      <c r="K36" s="2">
        <f t="shared" si="18"/>
        <v>600</v>
      </c>
      <c r="L36" s="2">
        <f t="shared" si="18"/>
        <v>600</v>
      </c>
      <c r="M36" s="2">
        <f t="shared" si="18"/>
        <v>600</v>
      </c>
      <c r="N36" s="2">
        <v>600.0</v>
      </c>
      <c r="O36" s="7">
        <f>850+50-300</f>
        <v>600</v>
      </c>
      <c r="P36" s="2">
        <v>600.0</v>
      </c>
      <c r="Q36" s="7">
        <f>850+50-300</f>
        <v>600</v>
      </c>
      <c r="R36" s="2">
        <v>600.0</v>
      </c>
      <c r="S36" s="25">
        <f t="shared" si="7"/>
        <v>7800</v>
      </c>
      <c r="T36" s="7" t="s">
        <v>54</v>
      </c>
      <c r="U36" s="6"/>
      <c r="V36" s="7"/>
      <c r="W36" s="7"/>
      <c r="X36" s="7"/>
      <c r="Y36" s="7"/>
      <c r="Z36" s="7"/>
      <c r="AA36" s="7"/>
      <c r="AB36" s="7"/>
      <c r="AC36" s="7"/>
      <c r="AD36" s="7"/>
      <c r="AE36" s="7"/>
      <c r="AF36" s="7"/>
      <c r="AG36" s="7"/>
      <c r="AH36" s="7"/>
      <c r="AI36" s="7"/>
      <c r="AJ36" s="7"/>
      <c r="AK36" s="7"/>
    </row>
    <row r="37" ht="12.75" customHeight="1">
      <c r="A37" s="7" t="s">
        <v>794</v>
      </c>
      <c r="B37" s="7" t="s">
        <v>801</v>
      </c>
      <c r="C37" s="7">
        <f>(226/12)*(15+20)*0.5*0+50*0</f>
        <v>0</v>
      </c>
      <c r="D37" s="18"/>
      <c r="E37" s="25">
        <f t="shared" si="4"/>
        <v>0</v>
      </c>
      <c r="F37" s="6">
        <f t="shared" si="5"/>
        <v>0</v>
      </c>
      <c r="G37" s="6">
        <f t="shared" ref="G37:M37" si="19">(226/12)*(15+20)*0.5*0+50*0</f>
        <v>0</v>
      </c>
      <c r="H37" s="6">
        <f t="shared" si="19"/>
        <v>0</v>
      </c>
      <c r="I37" s="6">
        <f t="shared" si="19"/>
        <v>0</v>
      </c>
      <c r="J37" s="6">
        <f t="shared" si="19"/>
        <v>0</v>
      </c>
      <c r="K37" s="6">
        <f t="shared" si="19"/>
        <v>0</v>
      </c>
      <c r="L37" s="6">
        <f t="shared" si="19"/>
        <v>0</v>
      </c>
      <c r="M37" s="6">
        <f t="shared" si="19"/>
        <v>0</v>
      </c>
      <c r="N37" s="6">
        <v>0.0</v>
      </c>
      <c r="O37" s="7">
        <f>(226/12)*(15+20)*0.5*0+50*0</f>
        <v>0</v>
      </c>
      <c r="P37" s="6">
        <v>0.0</v>
      </c>
      <c r="Q37" s="7">
        <f>(226/12)*(15+20)*0.5*0+50*0</f>
        <v>0</v>
      </c>
      <c r="R37" s="6">
        <v>0.0</v>
      </c>
      <c r="S37" s="25">
        <f t="shared" si="7"/>
        <v>0</v>
      </c>
      <c r="T37" s="7" t="s">
        <v>801</v>
      </c>
      <c r="U37" s="6"/>
      <c r="V37" s="7"/>
      <c r="W37" s="7"/>
      <c r="X37" s="7"/>
      <c r="Y37" s="7"/>
      <c r="Z37" s="7"/>
      <c r="AA37" s="7"/>
      <c r="AB37" s="7"/>
      <c r="AC37" s="7"/>
      <c r="AD37" s="7"/>
      <c r="AE37" s="7"/>
      <c r="AF37" s="7"/>
      <c r="AG37" s="7"/>
      <c r="AH37" s="7"/>
      <c r="AI37" s="7"/>
      <c r="AJ37" s="7"/>
      <c r="AK37" s="7"/>
    </row>
    <row r="38" ht="12.75" customHeight="1">
      <c r="A38" s="7" t="s">
        <v>794</v>
      </c>
      <c r="B38" s="6" t="s">
        <v>38</v>
      </c>
      <c r="C38" s="7">
        <f>((780/11)*227)/12+10*10</f>
        <v>1441.363636</v>
      </c>
      <c r="D38" s="18"/>
      <c r="E38" s="25">
        <f t="shared" si="4"/>
        <v>2622.363636</v>
      </c>
      <c r="F38" s="6">
        <f t="shared" si="5"/>
        <v>0</v>
      </c>
      <c r="G38" s="6">
        <f t="shared" ref="G38:M38" si="20">((780/11)*227)/12+10*10</f>
        <v>1441.363636</v>
      </c>
      <c r="H38" s="6">
        <f t="shared" si="20"/>
        <v>1441.363636</v>
      </c>
      <c r="I38" s="6">
        <f t="shared" si="20"/>
        <v>1441.363636</v>
      </c>
      <c r="J38" s="6">
        <f t="shared" si="20"/>
        <v>1441.363636</v>
      </c>
      <c r="K38" s="6">
        <f t="shared" si="20"/>
        <v>1441.363636</v>
      </c>
      <c r="L38" s="6">
        <f t="shared" si="20"/>
        <v>1441.363636</v>
      </c>
      <c r="M38" s="6">
        <f t="shared" si="20"/>
        <v>1441.363636</v>
      </c>
      <c r="N38" s="6">
        <v>1441.3636363636363</v>
      </c>
      <c r="O38" s="7">
        <f>((780/11)*227)/12+10*10</f>
        <v>1441.363636</v>
      </c>
      <c r="P38" s="6">
        <v>1441.3636363636363</v>
      </c>
      <c r="Q38" s="7">
        <f>((780/11)*227)/12+10*10</f>
        <v>1441.363636</v>
      </c>
      <c r="R38" s="6">
        <v>1441.3636363636363</v>
      </c>
      <c r="S38" s="25">
        <f t="shared" si="7"/>
        <v>17296.36364</v>
      </c>
      <c r="T38" s="6" t="s">
        <v>38</v>
      </c>
      <c r="U38" s="6"/>
      <c r="V38" s="6" t="s">
        <v>802</v>
      </c>
      <c r="W38" s="6">
        <f>R38-45</f>
        <v>1396.363636</v>
      </c>
      <c r="X38" s="6"/>
      <c r="Y38" s="6"/>
      <c r="Z38" s="6"/>
      <c r="AA38" s="6"/>
      <c r="AB38" s="6"/>
      <c r="AC38" s="6"/>
      <c r="AD38" s="6"/>
      <c r="AE38" s="6"/>
      <c r="AF38" s="6"/>
      <c r="AG38" s="6"/>
      <c r="AH38" s="6"/>
      <c r="AI38" s="6"/>
      <c r="AJ38" s="6"/>
      <c r="AK38" s="6"/>
      <c r="AL38" s="6"/>
      <c r="AM38" s="6"/>
      <c r="AN38" s="6"/>
      <c r="AO38" s="6"/>
    </row>
    <row r="39" ht="12.75" customHeight="1">
      <c r="A39" s="7" t="s">
        <v>794</v>
      </c>
      <c r="B39" s="7" t="s">
        <v>47</v>
      </c>
      <c r="C39" s="7">
        <f>(300*2+250*2)*0+(900+500)*1+0*(45*5*4.5+450)+800-100</f>
        <v>2100</v>
      </c>
      <c r="D39" s="18"/>
      <c r="E39" s="25">
        <f t="shared" si="4"/>
        <v>7804.36</v>
      </c>
      <c r="F39" s="6">
        <f t="shared" si="5"/>
        <v>0</v>
      </c>
      <c r="G39" s="2">
        <f>(300*2+250*2)*0+(900+500)*1+0*(45*5*4.5+450)+6000</f>
        <v>7400</v>
      </c>
      <c r="H39" s="2">
        <f>(300*2+250*2)*0+(900+500)*1+0*(45*5*4.5+450)</f>
        <v>1400</v>
      </c>
      <c r="I39" s="2">
        <f>(300*2+250*2)*0+(900+500)*1+0*(45*5*4.5+450)+800</f>
        <v>2200</v>
      </c>
      <c r="J39" s="2">
        <f t="shared" ref="J39:K39" si="21">(300*2+250*2)*0+(900+500)*1+0*(45*5*4.5+450)+800+2500</f>
        <v>4700</v>
      </c>
      <c r="K39" s="2">
        <f t="shared" si="21"/>
        <v>4700</v>
      </c>
      <c r="L39" s="2">
        <f t="shared" ref="L39:M39" si="22">(300*2+250*2)*0+(900+500)*1+0*(45*5*4.5+450)+800-100</f>
        <v>2100</v>
      </c>
      <c r="M39" s="2">
        <f t="shared" si="22"/>
        <v>2100</v>
      </c>
      <c r="N39" s="2">
        <v>2100.0</v>
      </c>
      <c r="O39" s="7">
        <f>(300*2+250*2)*0+(900+500)*1+0*(45*5*4.5+450)+800-100</f>
        <v>2100</v>
      </c>
      <c r="P39" s="2">
        <f>2100</f>
        <v>2100</v>
      </c>
      <c r="Q39" s="7">
        <f>(300*2+250*2)*0+(900+500)*1+0*(45*5*4.5+450)+800-100</f>
        <v>2100</v>
      </c>
      <c r="R39" s="2">
        <v>2100.0</v>
      </c>
      <c r="S39" s="25">
        <f t="shared" si="7"/>
        <v>35100</v>
      </c>
      <c r="T39" s="7" t="s">
        <v>47</v>
      </c>
      <c r="U39" s="6"/>
      <c r="V39" s="6">
        <f>C39+C40+C41+C42+C43+C52+C55+C56</f>
        <v>4274.999697</v>
      </c>
      <c r="W39" s="7"/>
      <c r="X39" s="7"/>
      <c r="Y39" s="7"/>
      <c r="Z39" s="7"/>
      <c r="AA39" s="7"/>
      <c r="AB39" s="7"/>
      <c r="AC39" s="7"/>
      <c r="AD39" s="7"/>
      <c r="AE39" s="7"/>
      <c r="AF39" s="7"/>
      <c r="AG39" s="7"/>
      <c r="AH39" s="7"/>
      <c r="AI39" s="7"/>
      <c r="AJ39" s="7"/>
      <c r="AK39" s="7"/>
    </row>
    <row r="40" ht="32.25" customHeight="1">
      <c r="A40" s="7" t="s">
        <v>794</v>
      </c>
      <c r="B40" s="7" t="s">
        <v>52</v>
      </c>
      <c r="C40" s="7">
        <f>2*250*0+1477.49969696969</f>
        <v>1477.499697</v>
      </c>
      <c r="D40" s="7"/>
      <c r="E40" s="25">
        <f t="shared" si="4"/>
        <v>7266.196364</v>
      </c>
      <c r="F40" s="6">
        <f t="shared" si="5"/>
        <v>0</v>
      </c>
      <c r="G40" s="6">
        <f t="shared" ref="G40:M40" si="23">2*250*0+1477.49969696969</f>
        <v>1477.499697</v>
      </c>
      <c r="H40" s="6">
        <f t="shared" si="23"/>
        <v>1477.499697</v>
      </c>
      <c r="I40" s="6">
        <f t="shared" si="23"/>
        <v>1477.499697</v>
      </c>
      <c r="J40" s="6">
        <f t="shared" si="23"/>
        <v>1477.499697</v>
      </c>
      <c r="K40" s="6">
        <f t="shared" si="23"/>
        <v>1477.499697</v>
      </c>
      <c r="L40" s="6">
        <f t="shared" si="23"/>
        <v>1477.499697</v>
      </c>
      <c r="M40" s="6">
        <f t="shared" si="23"/>
        <v>1477.499697</v>
      </c>
      <c r="N40" s="2">
        <v>1477.49969696969</v>
      </c>
      <c r="O40" s="7">
        <f>2*250*0+1477.49969696969</f>
        <v>1477.499697</v>
      </c>
      <c r="P40" s="2">
        <v>1477.49969696969</v>
      </c>
      <c r="Q40" s="7">
        <f>2*250*0+1477.49969696969</f>
        <v>1477.499697</v>
      </c>
      <c r="R40" s="6">
        <v>1477.49969696969</v>
      </c>
      <c r="S40" s="25">
        <f t="shared" si="7"/>
        <v>17729.99636</v>
      </c>
      <c r="T40" s="7" t="s">
        <v>52</v>
      </c>
      <c r="U40" s="6"/>
      <c r="V40" s="7"/>
      <c r="W40" s="6">
        <f t="shared" ref="W40:W41" si="25">R40-50</f>
        <v>1427.499697</v>
      </c>
      <c r="X40" s="7">
        <f>17-14</f>
        <v>3</v>
      </c>
      <c r="Y40" s="7"/>
      <c r="Z40" s="7"/>
      <c r="AA40" s="7"/>
      <c r="AB40" s="7"/>
      <c r="AC40" s="7"/>
      <c r="AD40" s="7"/>
      <c r="AE40" s="7"/>
      <c r="AF40" s="7"/>
      <c r="AG40" s="7"/>
      <c r="AH40" s="7"/>
      <c r="AI40" s="7"/>
      <c r="AJ40" s="7"/>
      <c r="AK40" s="7"/>
    </row>
    <row r="41" ht="12.75" customHeight="1">
      <c r="A41" s="7" t="s">
        <v>794</v>
      </c>
      <c r="B41" s="7" t="s">
        <v>42</v>
      </c>
      <c r="C41" s="7">
        <f>500*2-1000+4.5*55</f>
        <v>247.5</v>
      </c>
      <c r="D41" s="6"/>
      <c r="E41" s="25">
        <f t="shared" si="4"/>
        <v>-1699</v>
      </c>
      <c r="F41" s="6">
        <f t="shared" si="5"/>
        <v>0</v>
      </c>
      <c r="G41" s="2">
        <f t="shared" ref="G41:M41" si="24">500*2-1000+4.5*55</f>
        <v>247.5</v>
      </c>
      <c r="H41" s="2">
        <f t="shared" si="24"/>
        <v>247.5</v>
      </c>
      <c r="I41" s="2">
        <f t="shared" si="24"/>
        <v>247.5</v>
      </c>
      <c r="J41" s="2">
        <f t="shared" si="24"/>
        <v>247.5</v>
      </c>
      <c r="K41" s="2">
        <f t="shared" si="24"/>
        <v>247.5</v>
      </c>
      <c r="L41" s="2">
        <f t="shared" si="24"/>
        <v>247.5</v>
      </c>
      <c r="M41" s="2">
        <f t="shared" si="24"/>
        <v>247.5</v>
      </c>
      <c r="N41" s="2">
        <v>247.5</v>
      </c>
      <c r="O41" s="7">
        <f>500*2-1000+4.5*55</f>
        <v>247.5</v>
      </c>
      <c r="P41" s="2">
        <v>247.5</v>
      </c>
      <c r="Q41" s="7">
        <f>500*2-1000+4.5*55</f>
        <v>247.5</v>
      </c>
      <c r="R41" s="2">
        <v>247.5</v>
      </c>
      <c r="S41" s="25">
        <f t="shared" si="7"/>
        <v>2970</v>
      </c>
      <c r="T41" s="7" t="s">
        <v>42</v>
      </c>
      <c r="U41" s="7"/>
      <c r="V41" s="7"/>
      <c r="W41" s="7">
        <f t="shared" si="25"/>
        <v>197.5</v>
      </c>
      <c r="X41" s="29"/>
      <c r="Y41" s="7"/>
      <c r="Z41" s="7"/>
      <c r="AA41" s="7"/>
      <c r="AB41" s="7"/>
      <c r="AC41" s="7"/>
      <c r="AD41" s="7"/>
      <c r="AE41" s="7"/>
      <c r="AF41" s="7"/>
      <c r="AG41" s="7"/>
      <c r="AH41" s="7"/>
      <c r="AI41" s="7"/>
      <c r="AJ41" s="7"/>
      <c r="AK41" s="7"/>
    </row>
    <row r="42" ht="12.75" customHeight="1">
      <c r="A42" s="7" t="s">
        <v>794</v>
      </c>
      <c r="B42" s="7" t="s">
        <v>133</v>
      </c>
      <c r="C42" s="7">
        <f>150*0</f>
        <v>0</v>
      </c>
      <c r="E42" s="25">
        <f t="shared" si="4"/>
        <v>-488</v>
      </c>
      <c r="F42" s="6">
        <f t="shared" si="5"/>
        <v>0</v>
      </c>
      <c r="G42" s="2">
        <f t="shared" ref="G42:M42" si="26">150*0</f>
        <v>0</v>
      </c>
      <c r="H42" s="2">
        <f t="shared" si="26"/>
        <v>0</v>
      </c>
      <c r="I42" s="2">
        <f t="shared" si="26"/>
        <v>0</v>
      </c>
      <c r="J42" s="2">
        <f t="shared" si="26"/>
        <v>0</v>
      </c>
      <c r="K42" s="2">
        <f t="shared" si="26"/>
        <v>0</v>
      </c>
      <c r="L42" s="2">
        <f t="shared" si="26"/>
        <v>0</v>
      </c>
      <c r="M42" s="2">
        <f t="shared" si="26"/>
        <v>0</v>
      </c>
      <c r="N42" s="2">
        <v>0.0</v>
      </c>
      <c r="O42" s="7">
        <f>150*0</f>
        <v>0</v>
      </c>
      <c r="P42" s="2">
        <v>0.0</v>
      </c>
      <c r="Q42" s="7">
        <f>150*0</f>
        <v>0</v>
      </c>
      <c r="R42" s="2">
        <v>0.0</v>
      </c>
      <c r="S42" s="25">
        <f t="shared" si="7"/>
        <v>0</v>
      </c>
      <c r="T42" s="7" t="s">
        <v>133</v>
      </c>
      <c r="U42" s="7"/>
      <c r="V42" s="7"/>
      <c r="W42" s="7">
        <f>R42-0</f>
        <v>0</v>
      </c>
      <c r="X42" s="7"/>
      <c r="Y42" s="7"/>
      <c r="Z42" s="7"/>
      <c r="AA42" s="7"/>
      <c r="AB42" s="7"/>
      <c r="AC42" s="7"/>
      <c r="AD42" s="7"/>
      <c r="AE42" s="7"/>
      <c r="AF42" s="7"/>
      <c r="AG42" s="7"/>
      <c r="AH42" s="7"/>
      <c r="AI42" s="7"/>
      <c r="AJ42" s="7"/>
      <c r="AK42" s="7"/>
    </row>
    <row r="43" ht="12.75" customHeight="1">
      <c r="A43" s="7" t="s">
        <v>794</v>
      </c>
      <c r="B43" s="7" t="s">
        <v>803</v>
      </c>
      <c r="C43" s="7">
        <f>5*0</f>
        <v>0</v>
      </c>
      <c r="E43" s="25">
        <f t="shared" si="4"/>
        <v>0</v>
      </c>
      <c r="F43" s="6">
        <f t="shared" si="5"/>
        <v>0</v>
      </c>
      <c r="G43" s="2">
        <f t="shared" ref="G43:M43" si="27">5*0</f>
        <v>0</v>
      </c>
      <c r="H43" s="2">
        <f t="shared" si="27"/>
        <v>0</v>
      </c>
      <c r="I43" s="2">
        <f t="shared" si="27"/>
        <v>0</v>
      </c>
      <c r="J43" s="2">
        <f t="shared" si="27"/>
        <v>0</v>
      </c>
      <c r="K43" s="2">
        <f t="shared" si="27"/>
        <v>0</v>
      </c>
      <c r="L43" s="2">
        <f t="shared" si="27"/>
        <v>0</v>
      </c>
      <c r="M43" s="2">
        <f t="shared" si="27"/>
        <v>0</v>
      </c>
      <c r="N43" s="2">
        <v>0.0</v>
      </c>
      <c r="O43" s="7">
        <f>5*0</f>
        <v>0</v>
      </c>
      <c r="P43" s="2">
        <v>0.0</v>
      </c>
      <c r="Q43" s="7">
        <f>5*0</f>
        <v>0</v>
      </c>
      <c r="R43" s="2">
        <v>0.0</v>
      </c>
      <c r="S43" s="25">
        <f t="shared" si="7"/>
        <v>0</v>
      </c>
      <c r="T43" s="7" t="s">
        <v>803</v>
      </c>
      <c r="U43" s="7"/>
      <c r="V43" s="7"/>
      <c r="W43" s="7">
        <f>R43-10</f>
        <v>-10</v>
      </c>
      <c r="X43" s="7"/>
      <c r="Y43" s="7"/>
      <c r="Z43" s="7"/>
      <c r="AA43" s="7"/>
      <c r="AB43" s="7"/>
      <c r="AC43" s="7"/>
      <c r="AD43" s="7"/>
      <c r="AE43" s="7"/>
      <c r="AF43" s="7"/>
      <c r="AG43" s="7"/>
      <c r="AH43" s="7"/>
      <c r="AI43" s="7"/>
      <c r="AJ43" s="7"/>
      <c r="AK43" s="7"/>
    </row>
    <row r="44" ht="28.5" customHeight="1">
      <c r="A44" s="7" t="s">
        <v>794</v>
      </c>
      <c r="B44" s="7" t="s">
        <v>164</v>
      </c>
      <c r="C44" s="7">
        <v>100.0</v>
      </c>
      <c r="E44" s="25">
        <f t="shared" si="4"/>
        <v>24</v>
      </c>
      <c r="F44" s="6">
        <f t="shared" si="5"/>
        <v>0</v>
      </c>
      <c r="G44" s="2">
        <v>100.0</v>
      </c>
      <c r="H44" s="2">
        <v>100.0</v>
      </c>
      <c r="I44" s="2">
        <v>100.0</v>
      </c>
      <c r="J44" s="2">
        <v>100.0</v>
      </c>
      <c r="K44" s="2">
        <v>100.0</v>
      </c>
      <c r="L44" s="2">
        <v>100.0</v>
      </c>
      <c r="M44" s="2">
        <v>100.0</v>
      </c>
      <c r="N44" s="2">
        <v>100.0</v>
      </c>
      <c r="O44" s="7">
        <v>100.0</v>
      </c>
      <c r="P44" s="2">
        <v>100.0</v>
      </c>
      <c r="Q44" s="7">
        <v>100.0</v>
      </c>
      <c r="R44" s="2">
        <v>100.0</v>
      </c>
      <c r="S44" s="25">
        <f t="shared" si="7"/>
        <v>1200</v>
      </c>
      <c r="T44" s="7" t="s">
        <v>164</v>
      </c>
      <c r="U44" s="7"/>
      <c r="V44" s="7"/>
      <c r="W44" s="7"/>
      <c r="X44" s="29"/>
      <c r="Y44" s="7"/>
      <c r="Z44" s="7"/>
      <c r="AA44" s="7"/>
      <c r="AB44" s="7"/>
      <c r="AC44" s="7"/>
      <c r="AD44" s="7"/>
      <c r="AE44" s="7"/>
      <c r="AF44" s="7"/>
      <c r="AG44" s="7"/>
      <c r="AH44" s="7"/>
      <c r="AI44" s="7"/>
      <c r="AJ44" s="7"/>
      <c r="AK44" s="7"/>
    </row>
    <row r="45" ht="24.75" customHeight="1">
      <c r="A45" s="7" t="s">
        <v>794</v>
      </c>
      <c r="B45" s="7" t="s">
        <v>50</v>
      </c>
      <c r="C45" s="7">
        <f>10+(1365*2)/12+(((550*3)-1365)*2/12)</f>
        <v>285</v>
      </c>
      <c r="E45" s="25">
        <f t="shared" si="4"/>
        <v>-3362</v>
      </c>
      <c r="F45" s="6">
        <f t="shared" si="5"/>
        <v>0</v>
      </c>
      <c r="G45" s="2">
        <f t="shared" ref="G45:M45" si="28">10+(1365*2)/12+(((550*3)-1365)*2/12)</f>
        <v>285</v>
      </c>
      <c r="H45" s="2">
        <f t="shared" si="28"/>
        <v>285</v>
      </c>
      <c r="I45" s="2">
        <f t="shared" si="28"/>
        <v>285</v>
      </c>
      <c r="J45" s="2">
        <f t="shared" si="28"/>
        <v>285</v>
      </c>
      <c r="K45" s="2">
        <f t="shared" si="28"/>
        <v>285</v>
      </c>
      <c r="L45" s="2">
        <f t="shared" si="28"/>
        <v>285</v>
      </c>
      <c r="M45" s="2">
        <f t="shared" si="28"/>
        <v>285</v>
      </c>
      <c r="N45" s="2">
        <v>285.0</v>
      </c>
      <c r="O45" s="7">
        <f>10+(1365*2)/12+(((550*3)-1365)*2/12)</f>
        <v>285</v>
      </c>
      <c r="P45" s="2">
        <v>285.0</v>
      </c>
      <c r="Q45" s="7">
        <f>10+(1365*2)/12+(((550*3)-1365)*2/12)</f>
        <v>285</v>
      </c>
      <c r="R45" s="2">
        <v>285.0</v>
      </c>
      <c r="S45" s="25">
        <f t="shared" si="7"/>
        <v>3420</v>
      </c>
      <c r="T45" s="7" t="s">
        <v>50</v>
      </c>
      <c r="U45" s="7"/>
      <c r="V45" s="7"/>
      <c r="W45" s="7"/>
      <c r="X45" s="7"/>
      <c r="Y45" s="7"/>
      <c r="Z45" s="7"/>
      <c r="AA45" s="7"/>
      <c r="AB45" s="7"/>
      <c r="AC45" s="7"/>
      <c r="AD45" s="7"/>
      <c r="AE45" s="7"/>
      <c r="AF45" s="7"/>
      <c r="AG45" s="7"/>
      <c r="AH45" s="7"/>
      <c r="AI45" s="7"/>
      <c r="AJ45" s="7"/>
      <c r="AK45" s="7"/>
    </row>
    <row r="46" ht="12.75" customHeight="1">
      <c r="A46" s="7" t="s">
        <v>794</v>
      </c>
      <c r="B46" s="7" t="s">
        <v>304</v>
      </c>
      <c r="C46" s="7">
        <f>50+500*0+250-50</f>
        <v>250</v>
      </c>
      <c r="E46" s="25">
        <f t="shared" si="4"/>
        <v>1453</v>
      </c>
      <c r="F46" s="6">
        <f t="shared" si="5"/>
        <v>0</v>
      </c>
      <c r="G46" s="7">
        <f t="shared" ref="G46:K46" si="29">50+500*0+250</f>
        <v>300</v>
      </c>
      <c r="H46" s="7">
        <f t="shared" si="29"/>
        <v>300</v>
      </c>
      <c r="I46" s="7">
        <f t="shared" si="29"/>
        <v>300</v>
      </c>
      <c r="J46" s="7">
        <f t="shared" si="29"/>
        <v>300</v>
      </c>
      <c r="K46" s="7">
        <f t="shared" si="29"/>
        <v>300</v>
      </c>
      <c r="L46" s="7">
        <f t="shared" ref="L46:M46" si="30">50+500*0+250-50</f>
        <v>250</v>
      </c>
      <c r="M46" s="7">
        <f t="shared" si="30"/>
        <v>250</v>
      </c>
      <c r="N46" s="7">
        <v>250.0</v>
      </c>
      <c r="O46" s="7">
        <f>50+500*0+250-50</f>
        <v>250</v>
      </c>
      <c r="P46" s="7">
        <v>250.0</v>
      </c>
      <c r="Q46" s="7">
        <f>50+500*0+250-50</f>
        <v>250</v>
      </c>
      <c r="R46" s="7">
        <v>250.0</v>
      </c>
      <c r="S46" s="25">
        <f t="shared" si="7"/>
        <v>3250</v>
      </c>
      <c r="T46" s="7" t="s">
        <v>304</v>
      </c>
      <c r="U46" s="7"/>
      <c r="V46" s="7"/>
      <c r="W46" s="7">
        <f>R46</f>
        <v>250</v>
      </c>
      <c r="X46" s="7"/>
      <c r="Y46" s="7"/>
      <c r="Z46" s="7"/>
      <c r="AA46" s="7"/>
      <c r="AB46" s="7"/>
      <c r="AC46" s="7"/>
      <c r="AD46" s="7"/>
      <c r="AE46" s="7"/>
      <c r="AF46" s="7"/>
      <c r="AG46" s="7"/>
      <c r="AH46" s="7"/>
      <c r="AI46" s="7"/>
      <c r="AJ46" s="7"/>
      <c r="AK46" s="7"/>
    </row>
    <row r="47" ht="12.75" customHeight="1">
      <c r="A47" s="7" t="s">
        <v>794</v>
      </c>
      <c r="B47" s="7" t="s">
        <v>72</v>
      </c>
      <c r="C47" s="7">
        <f>200/2+100</f>
        <v>200</v>
      </c>
      <c r="E47" s="25">
        <f t="shared" si="4"/>
        <v>-1417</v>
      </c>
      <c r="F47" s="6">
        <f t="shared" si="5"/>
        <v>0</v>
      </c>
      <c r="G47" s="2">
        <f t="shared" ref="G47:M47" si="31">200/2</f>
        <v>100</v>
      </c>
      <c r="H47" s="2">
        <f t="shared" si="31"/>
        <v>100</v>
      </c>
      <c r="I47" s="2">
        <f t="shared" si="31"/>
        <v>100</v>
      </c>
      <c r="J47" s="2">
        <f t="shared" si="31"/>
        <v>100</v>
      </c>
      <c r="K47" s="2">
        <f t="shared" si="31"/>
        <v>100</v>
      </c>
      <c r="L47" s="2">
        <f t="shared" si="31"/>
        <v>100</v>
      </c>
      <c r="M47" s="2">
        <f t="shared" si="31"/>
        <v>100</v>
      </c>
      <c r="N47" s="2">
        <v>100.0</v>
      </c>
      <c r="O47" s="7">
        <f>200/2</f>
        <v>100</v>
      </c>
      <c r="P47" s="2">
        <v>100.0</v>
      </c>
      <c r="Q47" s="7">
        <f>200/2</f>
        <v>100</v>
      </c>
      <c r="R47" s="2">
        <v>100.0</v>
      </c>
      <c r="S47" s="25">
        <f t="shared" si="7"/>
        <v>1200</v>
      </c>
      <c r="T47" s="7" t="s">
        <v>72</v>
      </c>
      <c r="U47" s="7"/>
      <c r="V47" s="7"/>
      <c r="W47" s="7"/>
      <c r="X47" s="7"/>
      <c r="Y47" s="7"/>
      <c r="Z47" s="7"/>
      <c r="AA47" s="7"/>
      <c r="AB47" s="7"/>
      <c r="AC47" s="7"/>
      <c r="AD47" s="7"/>
      <c r="AE47" s="7"/>
      <c r="AF47" s="7"/>
      <c r="AG47" s="7"/>
      <c r="AH47" s="7"/>
      <c r="AI47" s="7"/>
      <c r="AJ47" s="7"/>
      <c r="AK47" s="7"/>
    </row>
    <row r="48" ht="33.75" customHeight="1">
      <c r="A48" s="7" t="s">
        <v>794</v>
      </c>
      <c r="B48" s="7" t="s">
        <v>13</v>
      </c>
      <c r="C48" s="7">
        <f>444.75+274.75-1.78-115-1-300-50-150+1000+30</f>
        <v>1131.72</v>
      </c>
      <c r="E48" s="25">
        <f t="shared" si="4"/>
        <v>-8328.16</v>
      </c>
      <c r="F48" s="6">
        <f t="shared" si="5"/>
        <v>0</v>
      </c>
      <c r="G48" s="2">
        <f>444.75+274.75-1.78-115-1-6000</f>
        <v>-5398.28</v>
      </c>
      <c r="H48" s="2">
        <f>444.75+274.75-1.78-115-1+460</f>
        <v>1061.72</v>
      </c>
      <c r="I48" s="2">
        <f>444.75+274.75-1.78-115-1-300-50+1276+124</f>
        <v>1651.72</v>
      </c>
      <c r="J48" s="2">
        <f t="shared" ref="J48:K48" si="32">444.75+274.75-1.78-115-1-300-50+460-2500</f>
        <v>-1788.28</v>
      </c>
      <c r="K48" s="2">
        <f t="shared" si="32"/>
        <v>-1788.28</v>
      </c>
      <c r="L48" s="2">
        <f t="shared" ref="L48:M48" si="33">444.75+274.75-1.78-115-1-300-50-150</f>
        <v>101.72</v>
      </c>
      <c r="M48" s="2">
        <f t="shared" si="33"/>
        <v>101.72</v>
      </c>
      <c r="N48" s="2">
        <f>101.72+750+54</f>
        <v>905.72</v>
      </c>
      <c r="O48" s="7">
        <f>444.75+274.75-1.78-115-1-300-50-150+5102-2500</f>
        <v>2703.72</v>
      </c>
      <c r="P48" s="2">
        <f>101.72*0-3922.28</f>
        <v>-3922.28</v>
      </c>
      <c r="Q48" s="7">
        <f>444.75+274.75-1.78-115-1-300-50-150+3118</f>
        <v>3219.72</v>
      </c>
      <c r="R48" s="2">
        <f>101.72+1930</f>
        <v>2031.72</v>
      </c>
      <c r="S48" s="25">
        <f t="shared" si="7"/>
        <v>-1119.36</v>
      </c>
      <c r="T48" s="7" t="s">
        <v>13</v>
      </c>
      <c r="U48" s="7"/>
      <c r="V48" s="7"/>
      <c r="W48" s="7"/>
      <c r="X48" s="7"/>
      <c r="Y48" s="7"/>
      <c r="Z48" s="7"/>
      <c r="AA48" s="7"/>
      <c r="AB48" s="7"/>
      <c r="AC48" s="7"/>
      <c r="AD48" s="7"/>
      <c r="AE48" s="7"/>
      <c r="AF48" s="7"/>
      <c r="AG48" s="7"/>
      <c r="AH48" s="7"/>
      <c r="AI48" s="7"/>
      <c r="AJ48" s="7"/>
      <c r="AK48" s="7"/>
    </row>
    <row r="49" ht="12.75" customHeight="1">
      <c r="A49" s="7" t="s">
        <v>794</v>
      </c>
      <c r="B49" s="7" t="s">
        <v>18</v>
      </c>
      <c r="C49" s="7">
        <f>3*1250+350+(2680*0.25)+870+700-3333-500</f>
        <v>2507</v>
      </c>
      <c r="E49" s="25">
        <f t="shared" si="4"/>
        <v>55475</v>
      </c>
      <c r="F49" s="6">
        <f t="shared" si="5"/>
        <v>0</v>
      </c>
      <c r="G49" s="7">
        <f t="shared" ref="G49:K49" si="34">3*1250+350+(2680*0.25)+870+700-3333</f>
        <v>3007</v>
      </c>
      <c r="H49" s="7">
        <f t="shared" si="34"/>
        <v>3007</v>
      </c>
      <c r="I49" s="7">
        <f t="shared" si="34"/>
        <v>3007</v>
      </c>
      <c r="J49" s="7">
        <f t="shared" si="34"/>
        <v>3007</v>
      </c>
      <c r="K49" s="7">
        <f t="shared" si="34"/>
        <v>3007</v>
      </c>
      <c r="L49" s="7">
        <f t="shared" ref="L49:M49" si="35">3*1250+350+(2680*0.25)+870+700-3333-500+(1930*0.5)</f>
        <v>3472</v>
      </c>
      <c r="M49" s="7">
        <f t="shared" si="35"/>
        <v>3472</v>
      </c>
      <c r="N49" s="7">
        <f>2507+750</f>
        <v>3257</v>
      </c>
      <c r="O49" s="7">
        <f>3*1250+350+(2680*0.25)+870+700-3333-500</f>
        <v>2507</v>
      </c>
      <c r="P49" s="7">
        <v>2507.0</v>
      </c>
      <c r="Q49" s="7">
        <f>3*1250+350+(2680*0.25)+870+700-3333-500</f>
        <v>2507</v>
      </c>
      <c r="R49" s="7">
        <v>2507.0</v>
      </c>
      <c r="S49" s="25">
        <f t="shared" si="7"/>
        <v>35264</v>
      </c>
      <c r="T49" s="7" t="s">
        <v>18</v>
      </c>
      <c r="U49" s="7"/>
      <c r="V49" s="7" t="s">
        <v>804</v>
      </c>
      <c r="W49" s="7"/>
      <c r="X49" s="7"/>
      <c r="Y49" s="7"/>
      <c r="Z49" s="7"/>
      <c r="AA49" s="7"/>
      <c r="AB49" s="7"/>
      <c r="AC49" s="7"/>
      <c r="AD49" s="7"/>
      <c r="AE49" s="7"/>
      <c r="AF49" s="7"/>
      <c r="AG49" s="7"/>
      <c r="AH49" s="7"/>
      <c r="AI49" s="7"/>
      <c r="AJ49" s="7"/>
      <c r="AK49" s="7"/>
    </row>
    <row r="50" ht="12.75" customHeight="1">
      <c r="A50" s="7" t="s">
        <v>794</v>
      </c>
      <c r="B50" s="6" t="s">
        <v>153</v>
      </c>
      <c r="C50" s="7">
        <f>(3000+3000+9000)/12</f>
        <v>1250</v>
      </c>
      <c r="D50" s="7"/>
      <c r="E50" s="25">
        <f t="shared" si="4"/>
        <v>-4922.72</v>
      </c>
      <c r="F50" s="6">
        <f t="shared" si="5"/>
        <v>0</v>
      </c>
      <c r="G50" s="2">
        <f t="shared" ref="G50:L50" si="36">(3000+3000+9000)/12</f>
        <v>1250</v>
      </c>
      <c r="H50" s="2">
        <f t="shared" si="36"/>
        <v>1250</v>
      </c>
      <c r="I50" s="2">
        <f t="shared" si="36"/>
        <v>1250</v>
      </c>
      <c r="J50" s="2">
        <f t="shared" si="36"/>
        <v>1250</v>
      </c>
      <c r="K50" s="2">
        <f t="shared" si="36"/>
        <v>1250</v>
      </c>
      <c r="L50" s="2">
        <f t="shared" si="36"/>
        <v>1250</v>
      </c>
      <c r="M50" s="2">
        <f>4421+(3000+3000+9000)/12</f>
        <v>5671</v>
      </c>
      <c r="N50" s="2">
        <v>1250.0</v>
      </c>
      <c r="O50" s="7">
        <f>(3000+3000+9000)/12+2500</f>
        <v>3750</v>
      </c>
      <c r="P50" s="2">
        <v>1250.0</v>
      </c>
      <c r="Q50" s="7">
        <f>(3000+3000+9000)/12</f>
        <v>1250</v>
      </c>
      <c r="R50" s="2">
        <v>1250.0</v>
      </c>
      <c r="S50" s="25">
        <f t="shared" si="7"/>
        <v>21921</v>
      </c>
      <c r="T50" s="6" t="s">
        <v>153</v>
      </c>
      <c r="U50" s="6"/>
      <c r="V50" s="6">
        <v>7600.0</v>
      </c>
      <c r="W50" s="6">
        <f t="shared" ref="W50:W56" si="39">R50</f>
        <v>1250</v>
      </c>
      <c r="X50" s="6"/>
      <c r="Y50" s="6"/>
      <c r="Z50" s="6"/>
      <c r="AA50" s="6"/>
      <c r="AB50" s="6"/>
      <c r="AC50" s="6"/>
      <c r="AD50" s="6"/>
      <c r="AE50" s="6"/>
      <c r="AF50" s="6"/>
      <c r="AG50" s="6"/>
      <c r="AH50" s="6"/>
      <c r="AI50" s="6"/>
      <c r="AJ50" s="6"/>
      <c r="AK50" s="6"/>
      <c r="AL50" s="6"/>
      <c r="AM50" s="6"/>
      <c r="AN50" s="6"/>
      <c r="AO50" s="6"/>
    </row>
    <row r="51" ht="12.75" customHeight="1">
      <c r="A51" s="7" t="s">
        <v>794</v>
      </c>
      <c r="B51" s="7" t="s">
        <v>805</v>
      </c>
      <c r="C51" s="7">
        <f>250+100+100-100</f>
        <v>350</v>
      </c>
      <c r="E51" s="25">
        <f t="shared" si="4"/>
        <v>4700</v>
      </c>
      <c r="F51" s="6">
        <f t="shared" si="5"/>
        <v>0</v>
      </c>
      <c r="G51" s="7">
        <f t="shared" ref="G51:K51" si="37">250+100+100</f>
        <v>450</v>
      </c>
      <c r="H51" s="7">
        <f t="shared" si="37"/>
        <v>450</v>
      </c>
      <c r="I51" s="7">
        <f t="shared" si="37"/>
        <v>450</v>
      </c>
      <c r="J51" s="7">
        <f t="shared" si="37"/>
        <v>450</v>
      </c>
      <c r="K51" s="7">
        <f t="shared" si="37"/>
        <v>450</v>
      </c>
      <c r="L51" s="7">
        <f t="shared" ref="L51:M51" si="38">250+100+100-100</f>
        <v>350</v>
      </c>
      <c r="M51" s="7">
        <f t="shared" si="38"/>
        <v>350</v>
      </c>
      <c r="N51" s="7">
        <v>350.0</v>
      </c>
      <c r="O51" s="7">
        <f>250+100+100-100</f>
        <v>350</v>
      </c>
      <c r="P51" s="7">
        <v>350.0</v>
      </c>
      <c r="Q51" s="7">
        <f>250+100+100-100</f>
        <v>350</v>
      </c>
      <c r="R51" s="7">
        <v>350.0</v>
      </c>
      <c r="S51" s="25">
        <f t="shared" si="7"/>
        <v>4700</v>
      </c>
      <c r="T51" s="7" t="s">
        <v>805</v>
      </c>
      <c r="U51" s="7"/>
      <c r="V51" s="7" t="s">
        <v>806</v>
      </c>
      <c r="W51" s="7">
        <f t="shared" si="39"/>
        <v>350</v>
      </c>
      <c r="X51" s="7"/>
      <c r="Y51" s="7"/>
      <c r="Z51" s="7"/>
      <c r="AA51" s="7"/>
      <c r="AB51" s="7"/>
      <c r="AC51" s="7"/>
      <c r="AD51" s="7"/>
      <c r="AE51" s="7"/>
      <c r="AF51" s="7"/>
      <c r="AG51" s="7"/>
      <c r="AH51" s="7"/>
      <c r="AI51" s="7"/>
      <c r="AJ51" s="7"/>
      <c r="AK51" s="7"/>
    </row>
    <row r="52" ht="12.75" customHeight="1">
      <c r="A52" s="7" t="s">
        <v>794</v>
      </c>
      <c r="B52" s="7" t="s">
        <v>31</v>
      </c>
      <c r="C52" s="7">
        <f>300+100-50+100</f>
        <v>450</v>
      </c>
      <c r="E52" s="25">
        <f t="shared" si="4"/>
        <v>-1344.01</v>
      </c>
      <c r="F52" s="6">
        <f t="shared" si="5"/>
        <v>0</v>
      </c>
      <c r="G52" s="2">
        <f t="shared" ref="G52:K52" si="40">300+100</f>
        <v>400</v>
      </c>
      <c r="H52" s="2">
        <f t="shared" si="40"/>
        <v>400</v>
      </c>
      <c r="I52" s="2">
        <f t="shared" si="40"/>
        <v>400</v>
      </c>
      <c r="J52" s="2">
        <f t="shared" si="40"/>
        <v>400</v>
      </c>
      <c r="K52" s="2">
        <f t="shared" si="40"/>
        <v>400</v>
      </c>
      <c r="L52" s="2">
        <f t="shared" ref="L52:M52" si="41">300+100-50+965</f>
        <v>1315</v>
      </c>
      <c r="M52" s="2">
        <f t="shared" si="41"/>
        <v>1315</v>
      </c>
      <c r="N52" s="2">
        <v>350.0</v>
      </c>
      <c r="O52" s="7">
        <f>300+100-50</f>
        <v>350</v>
      </c>
      <c r="P52" s="2">
        <v>350.0</v>
      </c>
      <c r="Q52" s="7">
        <f>300+100-50</f>
        <v>350</v>
      </c>
      <c r="R52" s="2">
        <v>350.0</v>
      </c>
      <c r="S52" s="25">
        <f t="shared" si="7"/>
        <v>6380</v>
      </c>
      <c r="T52" s="7" t="s">
        <v>31</v>
      </c>
      <c r="U52" s="7"/>
      <c r="V52" s="7" t="str">
        <f>Kontoutdrag_officiella!#REF!</f>
        <v>#ERROR!</v>
      </c>
      <c r="W52" s="7">
        <f t="shared" si="39"/>
        <v>350</v>
      </c>
      <c r="X52" s="7"/>
      <c r="Y52" s="7"/>
      <c r="Z52" s="7"/>
      <c r="AA52" s="7"/>
      <c r="AB52" s="7"/>
      <c r="AC52" s="7"/>
      <c r="AD52" s="7"/>
      <c r="AE52" s="7"/>
      <c r="AF52" s="7"/>
      <c r="AG52" s="7"/>
      <c r="AH52" s="7"/>
      <c r="AI52" s="7"/>
      <c r="AJ52" s="7"/>
      <c r="AK52" s="7"/>
    </row>
    <row r="53" ht="12.75" customHeight="1">
      <c r="A53" s="7" t="s">
        <v>794</v>
      </c>
      <c r="B53" s="7" t="s">
        <v>123</v>
      </c>
      <c r="C53" s="7">
        <f>50+50+20+10+70-50</f>
        <v>150</v>
      </c>
      <c r="E53" s="25">
        <f t="shared" si="4"/>
        <v>-1522</v>
      </c>
      <c r="F53" s="6">
        <f t="shared" si="5"/>
        <v>0</v>
      </c>
      <c r="G53" s="7">
        <f t="shared" ref="G53:K53" si="42">50+50+20+10+70</f>
        <v>200</v>
      </c>
      <c r="H53" s="7">
        <f t="shared" si="42"/>
        <v>200</v>
      </c>
      <c r="I53" s="7">
        <f t="shared" si="42"/>
        <v>200</v>
      </c>
      <c r="J53" s="7">
        <f t="shared" si="42"/>
        <v>200</v>
      </c>
      <c r="K53" s="7">
        <f t="shared" si="42"/>
        <v>200</v>
      </c>
      <c r="L53" s="7">
        <f t="shared" ref="L53:M53" si="43">50+50+20+10+70-50</f>
        <v>150</v>
      </c>
      <c r="M53" s="7">
        <f t="shared" si="43"/>
        <v>150</v>
      </c>
      <c r="N53" s="7">
        <v>150.0</v>
      </c>
      <c r="O53" s="7">
        <f>50+50+20+10+70-50</f>
        <v>150</v>
      </c>
      <c r="P53" s="7">
        <v>150.0</v>
      </c>
      <c r="Q53" s="7">
        <f>50+50+20+10+70-50</f>
        <v>150</v>
      </c>
      <c r="R53" s="7">
        <v>150.0</v>
      </c>
      <c r="S53" s="25">
        <f t="shared" si="7"/>
        <v>2050</v>
      </c>
      <c r="T53" s="7" t="s">
        <v>123</v>
      </c>
      <c r="U53" s="7"/>
      <c r="V53" s="7">
        <v>-14746.2</v>
      </c>
      <c r="W53" s="7">
        <f t="shared" si="39"/>
        <v>150</v>
      </c>
      <c r="X53" s="7"/>
      <c r="Y53" s="7"/>
      <c r="Z53" s="7"/>
      <c r="AA53" s="7"/>
      <c r="AB53" s="7"/>
      <c r="AC53" s="7"/>
      <c r="AD53" s="7"/>
      <c r="AE53" s="7"/>
      <c r="AF53" s="7"/>
      <c r="AG53" s="7"/>
      <c r="AH53" s="7"/>
      <c r="AI53" s="7"/>
      <c r="AJ53" s="7"/>
      <c r="AK53" s="7"/>
    </row>
    <row r="54" ht="12.75" customHeight="1">
      <c r="A54" s="7" t="s">
        <v>794</v>
      </c>
      <c r="B54" s="7" t="s">
        <v>35</v>
      </c>
      <c r="C54" s="7">
        <f>500-200+700</f>
        <v>1000</v>
      </c>
      <c r="D54" s="6"/>
      <c r="E54" s="25">
        <f t="shared" si="4"/>
        <v>-11506.74</v>
      </c>
      <c r="F54" s="6">
        <f t="shared" si="5"/>
        <v>0</v>
      </c>
      <c r="G54" s="2">
        <v>500.0</v>
      </c>
      <c r="H54" s="2">
        <v>500.0</v>
      </c>
      <c r="I54" s="2">
        <f t="shared" ref="I54:M54" si="44">500-200</f>
        <v>300</v>
      </c>
      <c r="J54" s="2">
        <f t="shared" si="44"/>
        <v>300</v>
      </c>
      <c r="K54" s="2">
        <f t="shared" si="44"/>
        <v>300</v>
      </c>
      <c r="L54" s="2">
        <f t="shared" si="44"/>
        <v>300</v>
      </c>
      <c r="M54" s="2">
        <f t="shared" si="44"/>
        <v>300</v>
      </c>
      <c r="N54" s="2">
        <v>300.0</v>
      </c>
      <c r="O54" s="7">
        <f>500-200</f>
        <v>300</v>
      </c>
      <c r="P54" s="2">
        <v>300.0</v>
      </c>
      <c r="Q54" s="7">
        <f>500-200</f>
        <v>300</v>
      </c>
      <c r="R54" s="2">
        <v>300.0</v>
      </c>
      <c r="S54" s="25">
        <f t="shared" si="7"/>
        <v>4000</v>
      </c>
      <c r="T54" s="7" t="s">
        <v>35</v>
      </c>
      <c r="U54" s="7"/>
      <c r="V54" s="7" t="s">
        <v>807</v>
      </c>
      <c r="W54" s="7">
        <f t="shared" si="39"/>
        <v>300</v>
      </c>
      <c r="X54" s="7"/>
      <c r="Y54" s="7"/>
      <c r="Z54" s="7"/>
      <c r="AA54" s="7"/>
      <c r="AB54" s="7"/>
      <c r="AC54" s="7"/>
      <c r="AD54" s="7"/>
      <c r="AE54" s="7"/>
      <c r="AF54" s="7"/>
      <c r="AG54" s="7"/>
      <c r="AH54" s="7"/>
      <c r="AI54" s="7"/>
      <c r="AJ54" s="7"/>
      <c r="AK54" s="7"/>
    </row>
    <row r="55" ht="12.75" customHeight="1">
      <c r="A55" s="7" t="s">
        <v>794</v>
      </c>
      <c r="B55" s="7" t="s">
        <v>210</v>
      </c>
      <c r="C55" s="7">
        <f>50*0</f>
        <v>0</v>
      </c>
      <c r="D55" s="7"/>
      <c r="E55" s="25">
        <f t="shared" si="4"/>
        <v>-550</v>
      </c>
      <c r="F55" s="6">
        <f t="shared" si="5"/>
        <v>0</v>
      </c>
      <c r="G55" s="2">
        <f t="shared" ref="G55:M55" si="45">50*0</f>
        <v>0</v>
      </c>
      <c r="H55" s="2">
        <f t="shared" si="45"/>
        <v>0</v>
      </c>
      <c r="I55" s="2">
        <f t="shared" si="45"/>
        <v>0</v>
      </c>
      <c r="J55" s="2">
        <f t="shared" si="45"/>
        <v>0</v>
      </c>
      <c r="K55" s="2">
        <f t="shared" si="45"/>
        <v>0</v>
      </c>
      <c r="L55" s="2">
        <f t="shared" si="45"/>
        <v>0</v>
      </c>
      <c r="M55" s="2">
        <f t="shared" si="45"/>
        <v>0</v>
      </c>
      <c r="N55" s="2">
        <v>0.0</v>
      </c>
      <c r="O55" s="7">
        <f>50*0</f>
        <v>0</v>
      </c>
      <c r="P55" s="2">
        <v>0.0</v>
      </c>
      <c r="Q55" s="7">
        <f>50*0</f>
        <v>0</v>
      </c>
      <c r="R55" s="2">
        <v>0.0</v>
      </c>
      <c r="S55" s="25">
        <f t="shared" si="7"/>
        <v>0</v>
      </c>
      <c r="T55" s="7" t="s">
        <v>210</v>
      </c>
      <c r="U55" s="7"/>
      <c r="V55" s="6">
        <f>V53+V50</f>
        <v>-7146.2</v>
      </c>
      <c r="W55" s="7">
        <f t="shared" si="39"/>
        <v>0</v>
      </c>
      <c r="X55" s="7"/>
      <c r="Y55" s="7"/>
      <c r="Z55" s="7"/>
      <c r="AA55" s="7"/>
      <c r="AB55" s="7"/>
      <c r="AC55" s="7"/>
      <c r="AD55" s="7"/>
      <c r="AE55" s="7"/>
      <c r="AF55" s="7"/>
      <c r="AG55" s="7"/>
      <c r="AH55" s="7"/>
      <c r="AI55" s="7"/>
      <c r="AJ55" s="7"/>
      <c r="AK55" s="7"/>
    </row>
    <row r="56" ht="12.75" customHeight="1">
      <c r="A56" s="7" t="s">
        <v>794</v>
      </c>
      <c r="B56" s="7" t="s">
        <v>808</v>
      </c>
      <c r="C56" s="7">
        <f>20*0</f>
        <v>0</v>
      </c>
      <c r="D56" s="7"/>
      <c r="E56" s="25">
        <f t="shared" si="4"/>
        <v>0</v>
      </c>
      <c r="F56" s="6">
        <f t="shared" si="5"/>
        <v>0</v>
      </c>
      <c r="G56" s="2">
        <f t="shared" ref="G56:M56" si="46">20*0</f>
        <v>0</v>
      </c>
      <c r="H56" s="2">
        <f t="shared" si="46"/>
        <v>0</v>
      </c>
      <c r="I56" s="2">
        <f t="shared" si="46"/>
        <v>0</v>
      </c>
      <c r="J56" s="2">
        <f t="shared" si="46"/>
        <v>0</v>
      </c>
      <c r="K56" s="2">
        <f t="shared" si="46"/>
        <v>0</v>
      </c>
      <c r="L56" s="2">
        <f t="shared" si="46"/>
        <v>0</v>
      </c>
      <c r="M56" s="2">
        <f t="shared" si="46"/>
        <v>0</v>
      </c>
      <c r="N56" s="2">
        <v>0.0</v>
      </c>
      <c r="O56" s="7">
        <f>20*0</f>
        <v>0</v>
      </c>
      <c r="P56" s="2">
        <v>0.0</v>
      </c>
      <c r="Q56" s="7">
        <f>20*0</f>
        <v>0</v>
      </c>
      <c r="R56" s="2">
        <v>0.0</v>
      </c>
      <c r="S56" s="25">
        <f t="shared" si="7"/>
        <v>0</v>
      </c>
      <c r="T56" s="7" t="s">
        <v>808</v>
      </c>
      <c r="U56" s="7"/>
      <c r="V56" s="7" t="s">
        <v>809</v>
      </c>
      <c r="W56" s="7">
        <f t="shared" si="39"/>
        <v>0</v>
      </c>
      <c r="X56" s="7"/>
      <c r="Y56" s="7"/>
      <c r="Z56" s="7"/>
      <c r="AA56" s="7"/>
      <c r="AB56" s="7"/>
      <c r="AC56" s="7"/>
      <c r="AD56" s="7"/>
      <c r="AE56" s="7"/>
      <c r="AF56" s="7"/>
      <c r="AG56" s="7"/>
      <c r="AH56" s="7"/>
      <c r="AI56" s="7"/>
      <c r="AJ56" s="7"/>
      <c r="AK56" s="7"/>
    </row>
    <row r="57" ht="12.75" customHeight="1">
      <c r="A57" s="7" t="s">
        <v>794</v>
      </c>
      <c r="B57" s="7" t="s">
        <v>810</v>
      </c>
      <c r="C57" s="7">
        <f>(25+50)*0+5*56</f>
        <v>280</v>
      </c>
      <c r="D57" s="18"/>
      <c r="E57" s="25">
        <f t="shared" si="4"/>
        <v>3360</v>
      </c>
      <c r="F57" s="6">
        <f t="shared" si="5"/>
        <v>0</v>
      </c>
      <c r="G57" s="7">
        <f t="shared" ref="G57:M57" si="47">(25+50)*0+5*56</f>
        <v>280</v>
      </c>
      <c r="H57" s="7">
        <f t="shared" si="47"/>
        <v>280</v>
      </c>
      <c r="I57" s="7">
        <f t="shared" si="47"/>
        <v>280</v>
      </c>
      <c r="J57" s="7">
        <f t="shared" si="47"/>
        <v>280</v>
      </c>
      <c r="K57" s="7">
        <f t="shared" si="47"/>
        <v>280</v>
      </c>
      <c r="L57" s="7">
        <f t="shared" si="47"/>
        <v>280</v>
      </c>
      <c r="M57" s="7">
        <f t="shared" si="47"/>
        <v>280</v>
      </c>
      <c r="N57" s="7">
        <v>280.0</v>
      </c>
      <c r="O57" s="7">
        <f>(25+50)*0+5*56</f>
        <v>280</v>
      </c>
      <c r="P57" s="7">
        <v>280.0</v>
      </c>
      <c r="Q57" s="7">
        <f>(25+50)*0+5*56</f>
        <v>280</v>
      </c>
      <c r="R57" s="7">
        <v>280.0</v>
      </c>
      <c r="S57" s="25">
        <f t="shared" si="7"/>
        <v>3360</v>
      </c>
      <c r="T57" s="7" t="s">
        <v>810</v>
      </c>
      <c r="U57" s="7"/>
      <c r="V57" s="6">
        <f>Kontoutdrag_officiella!G552+Kontoutdrag_officiella!G547</f>
        <v>-5058</v>
      </c>
      <c r="W57" s="7"/>
      <c r="X57" s="7"/>
      <c r="Y57" s="7"/>
      <c r="Z57" s="7"/>
      <c r="AA57" s="7"/>
      <c r="AB57" s="7"/>
      <c r="AC57" s="7"/>
      <c r="AD57" s="7"/>
      <c r="AE57" s="7"/>
      <c r="AF57" s="7"/>
      <c r="AG57" s="7"/>
      <c r="AH57" s="7"/>
      <c r="AI57" s="7"/>
      <c r="AJ57" s="7"/>
      <c r="AK57" s="7"/>
    </row>
    <row r="58" ht="12.75" customHeight="1">
      <c r="A58" s="7" t="s">
        <v>794</v>
      </c>
      <c r="B58" s="7" t="s">
        <v>744</v>
      </c>
      <c r="C58" s="7">
        <f>SUM(C25:C57)</f>
        <v>29051</v>
      </c>
      <c r="D58" s="18"/>
      <c r="E58" s="25">
        <f>SUM(E25:E57)</f>
        <v>73716.82</v>
      </c>
      <c r="F58" s="6">
        <f t="shared" si="5"/>
        <v>0</v>
      </c>
      <c r="G58" s="6">
        <f t="shared" ref="G58:O58" si="48">SUM(G25:G57)</f>
        <v>28121</v>
      </c>
      <c r="H58" s="6">
        <f t="shared" si="48"/>
        <v>28581</v>
      </c>
      <c r="I58" s="6">
        <f t="shared" si="48"/>
        <v>29521</v>
      </c>
      <c r="J58" s="6">
        <f t="shared" si="48"/>
        <v>28581</v>
      </c>
      <c r="K58" s="6">
        <f t="shared" si="48"/>
        <v>28581</v>
      </c>
      <c r="L58" s="6">
        <f t="shared" si="48"/>
        <v>29051</v>
      </c>
      <c r="M58" s="6">
        <f t="shared" si="48"/>
        <v>33472</v>
      </c>
      <c r="N58" s="6">
        <f t="shared" si="48"/>
        <v>28675</v>
      </c>
      <c r="O58" s="6">
        <f t="shared" si="48"/>
        <v>32223</v>
      </c>
      <c r="P58" s="6">
        <v>27120.999999999996</v>
      </c>
      <c r="Q58" s="6">
        <f t="shared" ref="Q58:S58" si="49">SUM(Q25:Q57)</f>
        <v>30239</v>
      </c>
      <c r="R58" s="6">
        <f t="shared" si="49"/>
        <v>29051</v>
      </c>
      <c r="S58" s="25">
        <f t="shared" si="49"/>
        <v>349193</v>
      </c>
      <c r="T58" s="25"/>
      <c r="U58" s="7"/>
      <c r="V58" s="6">
        <f>V57+V55</f>
        <v>-12204.2</v>
      </c>
      <c r="W58" s="7">
        <f>SUM(W25:W57)</f>
        <v>6420.363333</v>
      </c>
      <c r="X58" s="7"/>
    </row>
    <row r="59" ht="12.75" customHeight="1">
      <c r="A59" s="31" t="s">
        <v>794</v>
      </c>
      <c r="B59" s="32" t="s">
        <v>811</v>
      </c>
      <c r="C59" s="32">
        <f>C58*0.8</f>
        <v>23240.8</v>
      </c>
      <c r="D59" s="24">
        <f>C58-C59</f>
        <v>5810.2</v>
      </c>
      <c r="E59" s="24"/>
      <c r="F59" s="24"/>
      <c r="G59" s="32"/>
      <c r="H59" s="32"/>
      <c r="I59" s="32"/>
      <c r="J59" s="32"/>
      <c r="K59" s="32"/>
      <c r="L59" s="32"/>
      <c r="M59" s="24"/>
      <c r="N59" s="24"/>
      <c r="O59" s="32"/>
      <c r="P59" s="32"/>
      <c r="Q59" s="32"/>
      <c r="R59" s="32"/>
      <c r="S59" s="33"/>
      <c r="T59" s="33"/>
      <c r="U59" s="32"/>
      <c r="V59" s="32" t="s">
        <v>812</v>
      </c>
      <c r="W59" s="32"/>
      <c r="X59" s="32"/>
      <c r="Y59" s="32"/>
      <c r="Z59" s="32"/>
      <c r="AA59" s="32"/>
      <c r="AB59" s="32"/>
      <c r="AC59" s="32"/>
      <c r="AD59" s="32"/>
      <c r="AE59" s="32"/>
      <c r="AF59" s="32"/>
      <c r="AG59" s="32"/>
      <c r="AH59" s="32"/>
      <c r="AI59" s="32"/>
      <c r="AJ59" s="32"/>
      <c r="AK59" s="32"/>
      <c r="AL59" s="32"/>
      <c r="AM59" s="32"/>
      <c r="AN59" s="32"/>
      <c r="AO59" s="32"/>
    </row>
    <row r="60" ht="23.25" customHeight="1">
      <c r="A60" s="34"/>
      <c r="B60" s="35" t="s">
        <v>813</v>
      </c>
      <c r="C60" s="36">
        <f>SUM(C26:C57)</f>
        <v>16768</v>
      </c>
      <c r="D60" s="37">
        <f>SUM(D26:D54)</f>
        <v>0</v>
      </c>
      <c r="E60" s="37"/>
      <c r="F60" s="34"/>
      <c r="G60" s="34"/>
      <c r="H60" s="38"/>
      <c r="I60" s="34"/>
      <c r="J60" s="34"/>
      <c r="K60" s="34"/>
      <c r="L60" s="34"/>
      <c r="M60" s="34"/>
      <c r="N60" s="34"/>
      <c r="O60" s="34"/>
      <c r="P60" s="34"/>
      <c r="Q60" s="34"/>
      <c r="R60" s="34">
        <f>K59*C58</f>
        <v>0</v>
      </c>
      <c r="S60" s="39"/>
      <c r="T60" s="39"/>
      <c r="U60" s="34"/>
      <c r="V60" s="38">
        <f>V58+2410.12</f>
        <v>-9794.08</v>
      </c>
      <c r="W60" s="34"/>
      <c r="X60" s="34"/>
      <c r="Y60" s="34"/>
      <c r="Z60" s="34"/>
      <c r="AA60" s="34"/>
      <c r="AB60" s="34"/>
      <c r="AC60" s="34"/>
      <c r="AD60" s="34"/>
      <c r="AE60" s="34"/>
      <c r="AF60" s="34"/>
      <c r="AG60" s="34"/>
      <c r="AH60" s="34"/>
      <c r="AI60" s="34"/>
      <c r="AJ60" s="34"/>
      <c r="AK60" s="34"/>
      <c r="AL60" s="34"/>
      <c r="AM60" s="34"/>
      <c r="AN60" s="34"/>
      <c r="AO60" s="34"/>
    </row>
    <row r="61" ht="23.25" customHeight="1">
      <c r="A61" s="7"/>
      <c r="B61" s="7" t="s">
        <v>744</v>
      </c>
      <c r="C61" s="7">
        <f t="shared" ref="C61:D61" si="50">SUM(C25:C57)</f>
        <v>29051</v>
      </c>
      <c r="D61" s="6">
        <f t="shared" si="50"/>
        <v>0</v>
      </c>
      <c r="E61" s="6"/>
      <c r="F61" s="40">
        <f t="shared" ref="F61:R61" si="51">SUM(F25:F57)</f>
        <v>0</v>
      </c>
      <c r="G61" s="40">
        <f t="shared" si="51"/>
        <v>28121</v>
      </c>
      <c r="H61" s="40">
        <f t="shared" si="51"/>
        <v>28581</v>
      </c>
      <c r="I61" s="40">
        <f t="shared" si="51"/>
        <v>29521</v>
      </c>
      <c r="J61" s="40">
        <f t="shared" si="51"/>
        <v>28581</v>
      </c>
      <c r="K61" s="40">
        <f t="shared" si="51"/>
        <v>28581</v>
      </c>
      <c r="L61" s="40">
        <f t="shared" si="51"/>
        <v>29051</v>
      </c>
      <c r="M61" s="40">
        <f t="shared" si="51"/>
        <v>33472</v>
      </c>
      <c r="N61" s="40">
        <f t="shared" si="51"/>
        <v>28675</v>
      </c>
      <c r="O61" s="40">
        <f t="shared" si="51"/>
        <v>32223</v>
      </c>
      <c r="P61" s="40">
        <f t="shared" si="51"/>
        <v>23097</v>
      </c>
      <c r="Q61" s="40">
        <f t="shared" si="51"/>
        <v>30239</v>
      </c>
      <c r="R61" s="40">
        <f t="shared" si="51"/>
        <v>29051</v>
      </c>
      <c r="S61" s="41"/>
      <c r="T61" s="25"/>
      <c r="U61" s="7"/>
      <c r="V61" s="7"/>
      <c r="W61" s="7"/>
      <c r="X61" s="7"/>
    </row>
    <row r="62" ht="12.75" customHeight="1">
      <c r="A62" s="7"/>
      <c r="B62" s="7" t="s">
        <v>814</v>
      </c>
      <c r="C62" s="7">
        <v>29051.0</v>
      </c>
      <c r="D62" s="6"/>
      <c r="E62" s="6"/>
      <c r="F62" s="40">
        <f>30599.07-217</f>
        <v>30382.07</v>
      </c>
      <c r="G62" s="40">
        <f>DSUM(Kontoutdrag_officiella!$A:$J,"t",'Villkor 1 år (2014)'!$A799:$J800)</f>
        <v>0</v>
      </c>
      <c r="H62" s="40">
        <f>DSUM(Kontoutdrag_officiella!$A:$J,"t",'Villkor 1 år (2014)'!$A801:$J802)</f>
        <v>28581</v>
      </c>
      <c r="I62" s="40">
        <f>DSUM(Kontoutdrag_officiella!$A:$J,"t",'Villkor 1 år (2014)'!$A803:$J804)</f>
        <v>29521</v>
      </c>
      <c r="J62" s="40">
        <f>DSUM(Kontoutdrag_officiella!$A:$J,"t",'Villkor 1 år (2014)'!$A805:$J806)</f>
        <v>28581</v>
      </c>
      <c r="K62" s="40">
        <f>DSUM(Kontoutdrag_officiella!$A:$J,"t",'Villkor 1 år (2014)'!$A807:$J808)</f>
        <v>28581</v>
      </c>
      <c r="L62" s="40">
        <f>DSUM(Kontoutdrag_officiella!$A:$J,"t",'Villkor 1 år (2014)'!$A809:$J810)</f>
        <v>29051</v>
      </c>
      <c r="M62" s="40">
        <f>DSUM(Kontoutdrag_officiella!$A:$J,"t",'Villkor 1 år (2014)'!$A811:$J812)</f>
        <v>29051</v>
      </c>
      <c r="N62" s="40">
        <f>DSUM(Kontoutdrag_officiella!$A:$J,"t",'Villkor 1 år (2014)'!$A813:$J814)</f>
        <v>28675</v>
      </c>
      <c r="O62" s="40">
        <f>DSUM(Kontoutdrag_officiella!$A:$J,"t",'Villkor 1 år (2014)'!$A815:$J816)</f>
        <v>32223</v>
      </c>
      <c r="P62" s="40">
        <f>DSUM(Kontoutdrag_officiella!$A:$J,"t",'Villkor 1 år (2014)'!$A817:$J818)</f>
        <v>23097</v>
      </c>
      <c r="Q62" s="40">
        <f>DSUM(Kontoutdrag_officiella!$A:$J,"t",'Villkor 1 år (2014)'!$A819:$J820)</f>
        <v>30239</v>
      </c>
      <c r="R62" s="40">
        <f>DSUM(Kontoutdrag_officiella!$A:$J,"t",'Villkor 1 år (2014)'!$A821:$J822)</f>
        <v>29051</v>
      </c>
      <c r="S62" s="41"/>
      <c r="T62" s="25"/>
      <c r="U62" s="7"/>
      <c r="V62" s="7"/>
      <c r="W62" s="7"/>
      <c r="X62" s="7"/>
      <c r="Y62" s="7"/>
      <c r="Z62" s="7"/>
      <c r="AA62" s="7"/>
      <c r="AB62" s="7"/>
      <c r="AC62" s="7"/>
      <c r="AD62" s="7"/>
      <c r="AE62" s="7"/>
      <c r="AF62" s="7"/>
      <c r="AG62" s="7"/>
      <c r="AH62" s="7"/>
      <c r="AI62" s="7"/>
      <c r="AJ62" s="7"/>
      <c r="AK62" s="7"/>
    </row>
    <row r="63" ht="12.75" customHeight="1">
      <c r="A63" s="7"/>
      <c r="B63" s="7" t="s">
        <v>815</v>
      </c>
      <c r="C63" s="14">
        <f t="shared" ref="C63:D63" si="52">C62-C61</f>
        <v>0</v>
      </c>
      <c r="D63" s="6">
        <f t="shared" si="52"/>
        <v>0</v>
      </c>
      <c r="E63" s="6"/>
      <c r="F63" s="6">
        <f t="shared" ref="F63:R63" si="53">F62-F61</f>
        <v>30382.07</v>
      </c>
      <c r="G63" s="6">
        <f t="shared" si="53"/>
        <v>-28121</v>
      </c>
      <c r="H63" s="6">
        <f t="shared" si="53"/>
        <v>0</v>
      </c>
      <c r="I63" s="6">
        <f t="shared" si="53"/>
        <v>0</v>
      </c>
      <c r="J63" s="6">
        <f t="shared" si="53"/>
        <v>0</v>
      </c>
      <c r="K63" s="6">
        <f t="shared" si="53"/>
        <v>0</v>
      </c>
      <c r="L63" s="6">
        <f t="shared" si="53"/>
        <v>0</v>
      </c>
      <c r="M63" s="6">
        <f t="shared" si="53"/>
        <v>-4421</v>
      </c>
      <c r="N63" s="6">
        <f t="shared" si="53"/>
        <v>0</v>
      </c>
      <c r="O63" s="6">
        <f t="shared" si="53"/>
        <v>0</v>
      </c>
      <c r="P63" s="6">
        <f t="shared" si="53"/>
        <v>0</v>
      </c>
      <c r="Q63" s="6">
        <f t="shared" si="53"/>
        <v>0</v>
      </c>
      <c r="R63" s="6">
        <f t="shared" si="53"/>
        <v>0</v>
      </c>
      <c r="S63" s="25">
        <f>SUM(F63:R63)</f>
        <v>-2159.93</v>
      </c>
      <c r="T63" s="25"/>
      <c r="U63" s="7"/>
      <c r="V63" s="7"/>
      <c r="W63" s="7"/>
      <c r="X63" s="7"/>
      <c r="Y63" s="7"/>
      <c r="Z63" s="7"/>
      <c r="AA63" s="7"/>
      <c r="AB63" s="7"/>
      <c r="AC63" s="7"/>
      <c r="AD63" s="7"/>
      <c r="AE63" s="7"/>
      <c r="AF63" s="7"/>
      <c r="AG63" s="7"/>
      <c r="AH63" s="7"/>
      <c r="AI63" s="7"/>
      <c r="AJ63" s="7"/>
      <c r="AK63" s="7"/>
    </row>
    <row r="64" ht="12.75" customHeight="1">
      <c r="A64" s="7"/>
      <c r="B64" s="7" t="s">
        <v>816</v>
      </c>
      <c r="C64" s="7">
        <f t="shared" ref="C64:D64" si="54">C63*12</f>
        <v>0</v>
      </c>
      <c r="D64" s="6">
        <f t="shared" si="54"/>
        <v>0</v>
      </c>
      <c r="E64" s="6"/>
      <c r="F64" s="7"/>
      <c r="G64" s="7"/>
      <c r="H64" s="7"/>
      <c r="I64" s="7"/>
      <c r="J64" s="7"/>
      <c r="K64" s="7"/>
      <c r="L64" s="7"/>
      <c r="M64" s="40">
        <f>M62-L62</f>
        <v>0</v>
      </c>
      <c r="N64" s="7"/>
      <c r="O64" s="7"/>
      <c r="P64" s="7"/>
      <c r="Q64" s="7"/>
      <c r="R64" s="7"/>
      <c r="S64" s="25"/>
      <c r="T64" s="25"/>
      <c r="U64" s="7"/>
      <c r="V64" s="7"/>
      <c r="W64" s="7"/>
      <c r="X64" s="7"/>
      <c r="Y64" s="7"/>
      <c r="Z64" s="7"/>
      <c r="AA64" s="7"/>
      <c r="AB64" s="7"/>
      <c r="AC64" s="7"/>
      <c r="AD64" s="7"/>
      <c r="AE64" s="7"/>
      <c r="AF64" s="7"/>
      <c r="AG64" s="7"/>
      <c r="AH64" s="7"/>
      <c r="AI64" s="7"/>
      <c r="AJ64" s="7"/>
      <c r="AK64" s="7"/>
    </row>
    <row r="65" ht="12.75" customHeight="1">
      <c r="A65" s="7"/>
      <c r="B65" s="7" t="s">
        <v>794</v>
      </c>
      <c r="C65" s="7">
        <f t="shared" ref="C65:D65" si="55">C62</f>
        <v>29051</v>
      </c>
      <c r="D65" s="6" t="str">
        <f t="shared" si="55"/>
        <v/>
      </c>
      <c r="E65" s="6"/>
      <c r="F65" s="7"/>
      <c r="G65" s="7" t="s">
        <v>817</v>
      </c>
      <c r="H65" s="7"/>
      <c r="I65" s="7"/>
      <c r="J65" s="7"/>
      <c r="K65" s="7"/>
      <c r="L65" s="7"/>
      <c r="M65" s="7"/>
      <c r="N65" s="7"/>
      <c r="O65" s="7"/>
      <c r="P65" s="7"/>
      <c r="Q65" s="7"/>
      <c r="R65" s="7"/>
      <c r="S65" s="25"/>
      <c r="T65" s="25"/>
      <c r="U65" s="7"/>
      <c r="V65" s="7"/>
      <c r="W65" s="7"/>
      <c r="X65" s="7"/>
      <c r="Y65" s="7"/>
      <c r="Z65" s="7"/>
      <c r="AA65" s="7"/>
      <c r="AB65" s="7"/>
      <c r="AC65" s="7"/>
      <c r="AD65" s="7"/>
      <c r="AE65" s="7"/>
      <c r="AF65" s="7"/>
      <c r="AG65" s="7"/>
      <c r="AH65" s="7"/>
      <c r="AI65" s="7"/>
      <c r="AJ65" s="7"/>
      <c r="AK65" s="7"/>
    </row>
    <row r="66" ht="12.75" customHeight="1">
      <c r="A66" s="7"/>
      <c r="B66" s="7" t="s">
        <v>765</v>
      </c>
      <c r="C66" s="7">
        <f t="shared" ref="C66:D66" si="56">C65-C61</f>
        <v>0</v>
      </c>
      <c r="D66" s="6">
        <f t="shared" si="56"/>
        <v>0</v>
      </c>
      <c r="E66" s="6">
        <f>C66/2</f>
        <v>0</v>
      </c>
      <c r="F66" s="7">
        <v>870.001666666667</v>
      </c>
      <c r="G66" s="7">
        <f>E40/C40</f>
        <v>4.917900409</v>
      </c>
      <c r="H66" s="7"/>
      <c r="I66" s="7"/>
      <c r="J66" s="7"/>
      <c r="K66" s="7"/>
      <c r="L66" s="7"/>
      <c r="M66" s="7"/>
      <c r="N66" s="7"/>
      <c r="O66" s="7"/>
      <c r="P66" s="7"/>
      <c r="Q66" s="7"/>
      <c r="R66" s="7"/>
      <c r="S66" s="25"/>
      <c r="T66" s="25"/>
      <c r="U66" s="7"/>
      <c r="V66" s="7"/>
      <c r="W66" s="7" t="s">
        <v>818</v>
      </c>
      <c r="X66" s="7"/>
      <c r="Y66" s="7"/>
      <c r="Z66" s="7"/>
      <c r="AA66" s="7"/>
      <c r="AB66" s="7"/>
      <c r="AC66" s="7"/>
      <c r="AD66" s="7"/>
      <c r="AE66" s="7"/>
      <c r="AF66" s="7"/>
      <c r="AG66" s="7"/>
      <c r="AH66" s="7"/>
      <c r="AI66" s="7"/>
      <c r="AJ66" s="7"/>
      <c r="AK66" s="7"/>
    </row>
    <row r="67" ht="12.75" customHeight="1">
      <c r="A67" s="7"/>
      <c r="B67" s="7" t="s">
        <v>819</v>
      </c>
      <c r="C67" s="7">
        <f t="shared" ref="C67:D67" si="57">C66+C25</f>
        <v>12283</v>
      </c>
      <c r="D67" s="6">
        <f t="shared" si="57"/>
        <v>0</v>
      </c>
      <c r="E67" s="6"/>
      <c r="F67" s="7"/>
      <c r="G67" s="7"/>
      <c r="H67" s="7"/>
      <c r="I67" s="7"/>
      <c r="J67" s="7"/>
      <c r="K67" s="7"/>
      <c r="L67" s="7"/>
      <c r="M67" s="7"/>
      <c r="N67" s="7"/>
      <c r="O67" s="7"/>
      <c r="P67" s="7"/>
      <c r="Q67" s="7"/>
      <c r="R67" s="7"/>
      <c r="S67" s="25"/>
      <c r="T67" s="25"/>
      <c r="U67" s="7"/>
      <c r="V67" s="7"/>
      <c r="W67" s="7"/>
      <c r="X67" s="7"/>
      <c r="Y67" s="7"/>
      <c r="Z67" s="7"/>
      <c r="AA67" s="7"/>
      <c r="AB67" s="7"/>
      <c r="AC67" s="7"/>
      <c r="AD67" s="7"/>
      <c r="AE67" s="7"/>
      <c r="AF67" s="7"/>
      <c r="AG67" s="7"/>
      <c r="AH67" s="7"/>
      <c r="AI67" s="7"/>
      <c r="AJ67" s="7"/>
      <c r="AK67" s="7"/>
    </row>
    <row r="68" ht="12.75" customHeight="1">
      <c r="B68" s="7" t="s">
        <v>820</v>
      </c>
      <c r="C68" s="7">
        <f>C66/2</f>
        <v>0</v>
      </c>
      <c r="S68" s="25"/>
      <c r="T68" s="25"/>
      <c r="X68" s="7"/>
      <c r="Y68" s="7"/>
      <c r="Z68" s="7"/>
      <c r="AA68" s="7"/>
      <c r="AB68" s="7"/>
      <c r="AC68" s="7"/>
      <c r="AD68" s="7"/>
      <c r="AE68" s="7"/>
      <c r="AF68" s="7"/>
      <c r="AG68" s="7"/>
      <c r="AH68" s="7"/>
      <c r="AI68" s="7"/>
      <c r="AJ68" s="7"/>
      <c r="AK68" s="7"/>
    </row>
    <row r="69" ht="12.75" customHeight="1">
      <c r="C69" s="7"/>
      <c r="S69" s="25"/>
      <c r="T69" s="25"/>
      <c r="X69" s="7"/>
      <c r="Y69" s="7"/>
      <c r="Z69" s="7"/>
      <c r="AA69" s="7"/>
      <c r="AB69" s="7"/>
      <c r="AC69" s="7"/>
      <c r="AD69" s="7"/>
      <c r="AE69" s="7"/>
      <c r="AF69" s="7"/>
      <c r="AG69" s="7"/>
      <c r="AH69" s="7"/>
      <c r="AI69" s="7"/>
      <c r="AJ69" s="7"/>
      <c r="AK69" s="7"/>
    </row>
    <row r="70" ht="12.75" customHeight="1">
      <c r="C70" s="7"/>
      <c r="S70" s="25"/>
      <c r="T70" s="25"/>
      <c r="W70" s="2" t="s">
        <v>821</v>
      </c>
      <c r="X70" s="7"/>
      <c r="Y70" s="7"/>
      <c r="Z70" s="7"/>
      <c r="AA70" s="7"/>
      <c r="AB70" s="7"/>
      <c r="AC70" s="7"/>
      <c r="AD70" s="7"/>
      <c r="AE70" s="7"/>
      <c r="AF70" s="7"/>
      <c r="AG70" s="7"/>
      <c r="AH70" s="7"/>
      <c r="AI70" s="7"/>
      <c r="AJ70" s="7"/>
      <c r="AK70" s="7"/>
    </row>
    <row r="71" ht="12.75" customHeight="1">
      <c r="A71" s="2" t="s">
        <v>822</v>
      </c>
      <c r="B71" s="42" t="s">
        <v>823</v>
      </c>
      <c r="C71" s="14" t="s">
        <v>823</v>
      </c>
      <c r="D71" s="42" t="s">
        <v>823</v>
      </c>
      <c r="E71" s="42"/>
      <c r="F71" s="42" t="s">
        <v>823</v>
      </c>
      <c r="G71" s="42" t="s">
        <v>823</v>
      </c>
      <c r="H71" s="42" t="s">
        <v>823</v>
      </c>
      <c r="I71" s="42" t="s">
        <v>823</v>
      </c>
      <c r="J71" s="42" t="s">
        <v>823</v>
      </c>
      <c r="K71" s="42" t="s">
        <v>823</v>
      </c>
      <c r="L71" s="42" t="s">
        <v>823</v>
      </c>
      <c r="M71" s="42" t="s">
        <v>823</v>
      </c>
      <c r="N71" s="42" t="s">
        <v>823</v>
      </c>
      <c r="O71" s="42" t="s">
        <v>823</v>
      </c>
      <c r="P71" s="42" t="s">
        <v>823</v>
      </c>
      <c r="Q71" s="42" t="s">
        <v>823</v>
      </c>
      <c r="R71" s="42" t="s">
        <v>823</v>
      </c>
      <c r="S71" s="28" t="s">
        <v>823</v>
      </c>
      <c r="T71" s="28"/>
      <c r="U71" s="7" t="s">
        <v>824</v>
      </c>
      <c r="V71" s="7">
        <v>12.0</v>
      </c>
      <c r="W71" s="7">
        <v>12.0</v>
      </c>
      <c r="X71" s="7"/>
      <c r="Y71" s="7"/>
      <c r="Z71" s="7"/>
      <c r="AA71" s="7"/>
      <c r="AB71" s="7"/>
      <c r="AC71" s="7"/>
      <c r="AD71" s="7"/>
      <c r="AE71" s="7"/>
      <c r="AF71" s="7"/>
      <c r="AG71" s="7"/>
      <c r="AH71" s="7"/>
      <c r="AI71" s="7"/>
      <c r="AJ71" s="7"/>
      <c r="AK71" s="7"/>
    </row>
    <row r="72" ht="12.75" customHeight="1">
      <c r="A72" s="2" t="s">
        <v>822</v>
      </c>
      <c r="B72" s="11"/>
      <c r="C72" s="7"/>
      <c r="D72" s="7"/>
      <c r="E72" s="7"/>
      <c r="F72" s="7"/>
      <c r="G72" s="7"/>
      <c r="H72" s="7"/>
      <c r="I72" s="7"/>
      <c r="J72" s="7"/>
      <c r="K72" s="7"/>
      <c r="L72" s="7"/>
      <c r="M72" s="7"/>
      <c r="N72" s="7"/>
      <c r="O72" s="7"/>
      <c r="P72" s="7"/>
      <c r="Q72" s="7"/>
      <c r="R72" s="7"/>
      <c r="S72" s="25"/>
      <c r="T72" s="25"/>
      <c r="V72" s="28" t="s">
        <v>825</v>
      </c>
      <c r="W72" s="14" t="s">
        <v>825</v>
      </c>
      <c r="X72" s="7" t="s">
        <v>826</v>
      </c>
      <c r="Y72" s="7"/>
      <c r="Z72" s="7"/>
      <c r="AA72" s="7"/>
      <c r="AB72" s="7"/>
      <c r="AC72" s="7"/>
      <c r="AD72" s="7"/>
      <c r="AE72" s="7"/>
      <c r="AF72" s="7"/>
      <c r="AG72" s="7"/>
      <c r="AH72" s="7"/>
      <c r="AI72" s="7"/>
      <c r="AJ72" s="7"/>
      <c r="AK72" s="7"/>
    </row>
    <row r="73" ht="12.75" customHeight="1">
      <c r="A73" s="2" t="s">
        <v>822</v>
      </c>
      <c r="B73" s="2" t="s">
        <v>10</v>
      </c>
      <c r="C73" s="7"/>
      <c r="D73" s="7"/>
      <c r="E73" s="7"/>
      <c r="F73" s="7"/>
      <c r="G73" s="2">
        <f>DSUM(Kontoutdrag_officiella!$A:$J,"t",'Villkor 1 år (2014)'!$A1:$J2)</f>
        <v>-10661.6</v>
      </c>
      <c r="H73" s="2">
        <f>DSUM(Kontoutdrag_officiella!$A:$J,"t",'Villkor 1 år (2014)'!$A67:$J68)</f>
        <v>-10445.8</v>
      </c>
      <c r="I73" s="2">
        <f>DSUM(Kontoutdrag_officiella!$A:$J,"t",'Villkor 1 år (2014)'!$A133:$J134)</f>
        <v>-10370.8</v>
      </c>
      <c r="J73" s="2">
        <f>DSUM(Kontoutdrag_officiella!$A:$J,"t",'Villkor 1 år (2014)'!$A199:$J200)</f>
        <v>-10348.8</v>
      </c>
      <c r="K73" s="2">
        <f>DSUM(Kontoutdrag_officiella!$A:$J,"t",'Villkor 1 år (2014)'!$A265:$J266)</f>
        <v>-10341.8</v>
      </c>
      <c r="L73" s="2">
        <f>DSUM(Kontoutdrag_officiella!$A:$J,"t",'Villkor 1 år (2014)'!$A331:$J332)</f>
        <v>-10334.8</v>
      </c>
      <c r="M73" s="2">
        <f>DSUM(Kontoutdrag_officiella!$A:$J,"t",'Villkor 1 år (2014)'!$A397:$J398)</f>
        <v>-10327.8</v>
      </c>
      <c r="N73" s="2">
        <f>DSUM(Kontoutdrag_officiella!$A:$J,"t",'Villkor 1 år (2014)'!$A463:$J464)</f>
        <v>-10320.8</v>
      </c>
      <c r="O73" s="2">
        <f>DSUM(Kontoutdrag_officiella!$A:$J,"t",'Villkor 1 år (2014)'!$A529:$J530)</f>
        <v>-10240.8</v>
      </c>
      <c r="P73" s="2">
        <f>DSUM(Kontoutdrag_officiella!$A:$J,"t",'Villkor 1 år (2014)'!$A595:$J596)</f>
        <v>-11492.8</v>
      </c>
      <c r="Q73" s="2">
        <f>DSUM(Kontoutdrag_officiella!$A:$J,"t",'Villkor 1 år (2014)'!$A661:$J662)</f>
        <v>-8884.8</v>
      </c>
      <c r="R73" s="2">
        <f>DSUM(Kontoutdrag_officiella!$A:$J,"t",'Villkor 1 år (2014)'!$A727:$J728)</f>
        <v>-12448.8</v>
      </c>
      <c r="S73" s="25">
        <f t="shared" ref="S73:S106" si="58">SUM(G73:R73)</f>
        <v>-126219.4</v>
      </c>
      <c r="T73" s="7" t="s">
        <v>10</v>
      </c>
      <c r="U73" s="6">
        <f>S73-1200</f>
        <v>-127419.4</v>
      </c>
      <c r="V73" s="6">
        <f t="shared" ref="V73:V105" si="59">S73/$V$71</f>
        <v>-10518.28333</v>
      </c>
      <c r="W73" s="6">
        <f t="shared" ref="W73:W105" si="60">SUM(S73)/W$71</f>
        <v>-10518.28333</v>
      </c>
      <c r="X73" s="6">
        <f t="shared" ref="X73:X106" si="61">C25</f>
        <v>12283</v>
      </c>
      <c r="Y73" s="6">
        <f t="shared" ref="Y73:Y106" si="62">C25+V73</f>
        <v>1764.716667</v>
      </c>
      <c r="Z73" s="6">
        <f>S73-7500-3800</f>
        <v>-137519.4</v>
      </c>
      <c r="AA73" s="7"/>
      <c r="AB73" s="7"/>
      <c r="AC73" s="7"/>
      <c r="AD73" s="7"/>
      <c r="AE73" s="7"/>
      <c r="AF73" s="7"/>
      <c r="AG73" s="7"/>
      <c r="AH73" s="7"/>
      <c r="AI73" s="7"/>
      <c r="AJ73" s="7"/>
      <c r="AK73" s="7"/>
      <c r="AL73" s="7"/>
    </row>
    <row r="74" ht="12.75" customHeight="1">
      <c r="A74" s="2" t="s">
        <v>822</v>
      </c>
      <c r="B74" s="2" t="s">
        <v>20</v>
      </c>
      <c r="C74" s="7"/>
      <c r="D74" s="7"/>
      <c r="E74" s="7"/>
      <c r="F74" s="7"/>
      <c r="G74" s="2">
        <f>DSUM(Kontoutdrag_officiella!$A:$J,"t",'Villkor 1 år (2014)'!$A3:$J4)</f>
        <v>-320</v>
      </c>
      <c r="H74" s="2">
        <f>DSUM(Kontoutdrag_officiella!$A:$J,"t",'Villkor 1 år (2014)'!$A69:$J70)</f>
        <v>-320</v>
      </c>
      <c r="I74" s="2">
        <f>DSUM(Kontoutdrag_officiella!$A:$J,"t",'Villkor 1 år (2014)'!$A135:$J136)</f>
        <v>-320</v>
      </c>
      <c r="J74" s="2">
        <f>DSUM(Kontoutdrag_officiella!$A:$J,"t",'Villkor 1 år (2014)'!$A201:$J202)</f>
        <v>-320</v>
      </c>
      <c r="K74" s="2">
        <f>DSUM(Kontoutdrag_officiella!$A:$J,"t",'Villkor 1 år (2014)'!$A267:$J268)</f>
        <v>-320</v>
      </c>
      <c r="L74" s="2">
        <f>DSUM(Kontoutdrag_officiella!$A:$J,"t",'Villkor 1 år (2014)'!$A333:$J334)</f>
        <v>-320</v>
      </c>
      <c r="M74" s="2">
        <f>DSUM(Kontoutdrag_officiella!$A:$J,"t",'Villkor 1 år (2014)'!$A399:$J400)</f>
        <v>-320</v>
      </c>
      <c r="N74" s="2">
        <f>DSUM(Kontoutdrag_officiella!$A:$J,"t",'Villkor 1 år (2014)'!$A465:$J466)</f>
        <v>-320</v>
      </c>
      <c r="O74" s="2">
        <f>DSUM(Kontoutdrag_officiella!$A:$J,"t",'Villkor 1 år (2014)'!$A531:$J532)</f>
        <v>-320</v>
      </c>
      <c r="P74" s="2">
        <f>DSUM(Kontoutdrag_officiella!$A:$J,"t",'Villkor 1 år (2014)'!$A597:$J598)</f>
        <v>-320</v>
      </c>
      <c r="Q74" s="2">
        <f>DSUM(Kontoutdrag_officiella!$A:$J,"t",'Villkor 1 år (2014)'!$A663:$J664)</f>
        <v>-320</v>
      </c>
      <c r="R74" s="2">
        <f>DSUM(Kontoutdrag_officiella!$A:$J,"t",'Villkor 1 år (2014)'!$A729:$J730)</f>
        <v>-320</v>
      </c>
      <c r="S74" s="25">
        <f t="shared" si="58"/>
        <v>-3840</v>
      </c>
      <c r="T74" s="7" t="s">
        <v>20</v>
      </c>
      <c r="U74" s="7"/>
      <c r="V74" s="6">
        <f t="shared" si="59"/>
        <v>-320</v>
      </c>
      <c r="W74" s="6">
        <f t="shared" si="60"/>
        <v>-320</v>
      </c>
      <c r="X74" s="6">
        <f t="shared" si="61"/>
        <v>320</v>
      </c>
      <c r="Y74" s="6">
        <f t="shared" si="62"/>
        <v>0</v>
      </c>
      <c r="Z74" s="7"/>
      <c r="AA74" s="7">
        <f>9+1.25-5.4</f>
        <v>4.85</v>
      </c>
      <c r="AB74" s="7"/>
      <c r="AC74" s="7"/>
      <c r="AD74" s="7"/>
      <c r="AE74" s="7"/>
      <c r="AF74" s="7"/>
      <c r="AG74" s="7"/>
      <c r="AH74" s="7"/>
      <c r="AI74" s="7"/>
      <c r="AJ74" s="7"/>
      <c r="AK74" s="7"/>
      <c r="AL74" s="7"/>
    </row>
    <row r="75" ht="12.75" customHeight="1">
      <c r="A75" s="2" t="s">
        <v>822</v>
      </c>
      <c r="B75" s="2" t="s">
        <v>17</v>
      </c>
      <c r="C75" s="7"/>
      <c r="D75" s="7"/>
      <c r="E75" s="7"/>
      <c r="F75" s="7"/>
      <c r="G75" s="2">
        <f>DSUM(Kontoutdrag_officiella!$A:$J,"t",'Villkor 1 år (2014)'!$A5:$J6)</f>
        <v>-119</v>
      </c>
      <c r="H75" s="2">
        <f>DSUM(Kontoutdrag_officiella!$A:$J,"t",'Villkor 1 år (2014)'!$A71:$J72)</f>
        <v>-119</v>
      </c>
      <c r="I75" s="2">
        <f>DSUM(Kontoutdrag_officiella!$A:$J,"t",'Villkor 1 år (2014)'!$A137:$J138)</f>
        <v>-119</v>
      </c>
      <c r="J75" s="2">
        <f>DSUM(Kontoutdrag_officiella!$A:$J,"t",'Villkor 1 år (2014)'!$A203:$J204)</f>
        <v>-119</v>
      </c>
      <c r="K75" s="2">
        <f>DSUM(Kontoutdrag_officiella!$A:$J,"t",'Villkor 1 år (2014)'!$A269:$J270)</f>
        <v>-119</v>
      </c>
      <c r="L75" s="2">
        <f>DSUM(Kontoutdrag_officiella!$A:$J,"t",'Villkor 1 år (2014)'!$A335:$J336)</f>
        <v>-119</v>
      </c>
      <c r="M75" s="2">
        <f>DSUM(Kontoutdrag_officiella!$A:$J,"t",'Villkor 1 år (2014)'!$A401:$J402)</f>
        <v>-119</v>
      </c>
      <c r="N75" s="2">
        <f>DSUM(Kontoutdrag_officiella!$A:$J,"t",'Villkor 1 år (2014)'!$A467:$J468)</f>
        <v>-119</v>
      </c>
      <c r="O75" s="2">
        <f>DSUM(Kontoutdrag_officiella!$A:$J,"t",'Villkor 1 år (2014)'!$A533:$J534)</f>
        <v>-132</v>
      </c>
      <c r="P75" s="2">
        <f>DSUM(Kontoutdrag_officiella!$A:$J,"t",'Villkor 1 år (2014)'!$A599:$J600)</f>
        <v>-130</v>
      </c>
      <c r="Q75" s="2">
        <f>DSUM(Kontoutdrag_officiella!$A:$J,"t",'Villkor 1 år (2014)'!$A665:$J666)</f>
        <v>-130</v>
      </c>
      <c r="R75" s="2">
        <f>DSUM(Kontoutdrag_officiella!$A:$J,"t",'Villkor 1 år (2014)'!$A731:$J732)</f>
        <v>-130</v>
      </c>
      <c r="S75" s="25">
        <f t="shared" si="58"/>
        <v>-1474</v>
      </c>
      <c r="T75" s="7" t="s">
        <v>17</v>
      </c>
      <c r="U75" s="7"/>
      <c r="V75" s="6">
        <f t="shared" si="59"/>
        <v>-122.8333333</v>
      </c>
      <c r="W75" s="6">
        <f t="shared" si="60"/>
        <v>-122.8333333</v>
      </c>
      <c r="X75" s="6">
        <f t="shared" si="61"/>
        <v>119</v>
      </c>
      <c r="Y75" s="6">
        <f t="shared" si="62"/>
        <v>-3.833333333</v>
      </c>
      <c r="Z75" s="7"/>
      <c r="AA75" s="7"/>
      <c r="AB75" s="7"/>
      <c r="AC75" s="7"/>
      <c r="AD75" s="7"/>
      <c r="AE75" s="7"/>
      <c r="AF75" s="7"/>
      <c r="AG75" s="7"/>
      <c r="AH75" s="7"/>
      <c r="AI75" s="7"/>
      <c r="AJ75" s="7"/>
      <c r="AK75" s="7"/>
      <c r="AL75" s="7"/>
    </row>
    <row r="76" ht="12.75" customHeight="1">
      <c r="A76" s="2" t="s">
        <v>822</v>
      </c>
      <c r="B76" s="2" t="s">
        <v>24</v>
      </c>
      <c r="C76" s="7"/>
      <c r="D76" s="7"/>
      <c r="E76" s="7"/>
      <c r="F76" s="6"/>
      <c r="G76" s="2">
        <f>DSUM(Kontoutdrag_officiella!$A:$J,"t",'Villkor 1 år (2014)'!$A7:$J8)</f>
        <v>-285</v>
      </c>
      <c r="H76" s="2">
        <f>DSUM(Kontoutdrag_officiella!$A:$J,"t",'Villkor 1 år (2014)'!$A73:$J74)</f>
        <v>-285</v>
      </c>
      <c r="I76" s="2">
        <f>DSUM(Kontoutdrag_officiella!$A:$J,"t",'Villkor 1 år (2014)'!$A139:$J140)</f>
        <v>0</v>
      </c>
      <c r="J76" s="2">
        <f>DSUM(Kontoutdrag_officiella!$A:$J,"t",'Villkor 1 år (2014)'!$A205:$J206)</f>
        <v>-570</v>
      </c>
      <c r="K76" s="2">
        <f>DSUM(Kontoutdrag_officiella!$A:$J,"t",'Villkor 1 år (2014)'!$A271:$J272)</f>
        <v>-285</v>
      </c>
      <c r="L76" s="2">
        <f>DSUM(Kontoutdrag_officiella!$A:$J,"t",'Villkor 1 år (2014)'!$A337:$J338)</f>
        <v>-285</v>
      </c>
      <c r="M76" s="2">
        <f>DSUM(Kontoutdrag_officiella!$A:$J,"t",'Villkor 1 år (2014)'!$A403:$J404)</f>
        <v>-285</v>
      </c>
      <c r="N76" s="2">
        <f>DSUM(Kontoutdrag_officiella!$A:$J,"t",'Villkor 1 år (2014)'!$A469:$J470)</f>
        <v>-285</v>
      </c>
      <c r="O76" s="2">
        <f>DSUM(Kontoutdrag_officiella!$A:$J,"t",'Villkor 1 år (2014)'!$A535:$J536)</f>
        <v>-285</v>
      </c>
      <c r="P76" s="2">
        <f>DSUM(Kontoutdrag_officiella!$A:$J,"t",'Villkor 1 år (2014)'!$A601:$J602)</f>
        <v>-285</v>
      </c>
      <c r="Q76" s="2">
        <f>DSUM(Kontoutdrag_officiella!$A:$J,"t",'Villkor 1 år (2014)'!$A667:$J668)</f>
        <v>-285</v>
      </c>
      <c r="R76" s="2">
        <f>DSUM(Kontoutdrag_officiella!$A:$J,"t",'Villkor 1 år (2014)'!$A733:$J734)</f>
        <v>-303</v>
      </c>
      <c r="S76" s="25">
        <f t="shared" si="58"/>
        <v>-3438</v>
      </c>
      <c r="T76" s="7" t="s">
        <v>24</v>
      </c>
      <c r="U76" s="7"/>
      <c r="V76" s="6">
        <f t="shared" si="59"/>
        <v>-286.5</v>
      </c>
      <c r="W76" s="6">
        <f t="shared" si="60"/>
        <v>-286.5</v>
      </c>
      <c r="X76" s="6">
        <f t="shared" si="61"/>
        <v>280</v>
      </c>
      <c r="Y76" s="6">
        <f t="shared" si="62"/>
        <v>-6.5</v>
      </c>
      <c r="Z76" s="7"/>
      <c r="AA76" s="7"/>
      <c r="AB76" s="7"/>
      <c r="AC76" s="7"/>
      <c r="AD76" s="7"/>
      <c r="AE76" s="7"/>
      <c r="AF76" s="7"/>
      <c r="AG76" s="7"/>
      <c r="AH76" s="7"/>
      <c r="AI76" s="7"/>
      <c r="AJ76" s="7"/>
      <c r="AK76" s="7"/>
      <c r="AL76" s="7"/>
    </row>
    <row r="77" ht="12.75" customHeight="1">
      <c r="A77" s="2" t="s">
        <v>822</v>
      </c>
      <c r="B77" s="2" t="s">
        <v>651</v>
      </c>
      <c r="C77" s="7"/>
      <c r="D77" s="7"/>
      <c r="E77" s="7"/>
      <c r="F77" s="7"/>
      <c r="G77" s="2">
        <f>DSUM(Kontoutdrag_officiella!$A:$J,"t",'Villkor 1 år (2014)'!$A9:$J10)</f>
        <v>0</v>
      </c>
      <c r="H77" s="2">
        <f>DSUM(Kontoutdrag_officiella!$A:$J,"t",'Villkor 1 år (2014)'!$A75:$J76)</f>
        <v>0</v>
      </c>
      <c r="I77" s="2">
        <f>DSUM(Kontoutdrag_officiella!$A:$J,"t",'Villkor 1 år (2014)'!$A141:$J142)</f>
        <v>0</v>
      </c>
      <c r="J77" s="2">
        <f>DSUM(Kontoutdrag_officiella!$A:$J,"t",'Villkor 1 år (2014)'!$A207:$J208)</f>
        <v>0</v>
      </c>
      <c r="K77" s="2">
        <f>DSUM(Kontoutdrag_officiella!$A:$J,"t",'Villkor 1 år (2014)'!$A273:$J274)</f>
        <v>-225</v>
      </c>
      <c r="L77" s="2">
        <f>DSUM(Kontoutdrag_officiella!$A:$J,"t",'Villkor 1 år (2014)'!$A339:$J340)</f>
        <v>0</v>
      </c>
      <c r="M77" s="2">
        <f>DSUM(Kontoutdrag_officiella!$A:$J,"t",'Villkor 1 år (2014)'!$A405:$J406)</f>
        <v>0</v>
      </c>
      <c r="N77" s="2">
        <f>DSUM(Kontoutdrag_officiella!$A:$J,"t",'Villkor 1 år (2014)'!$A471:$J472)</f>
        <v>0</v>
      </c>
      <c r="O77" s="2">
        <f>DSUM(Kontoutdrag_officiella!$A:$J,"t",'Villkor 1 år (2014)'!$A537:$J538)</f>
        <v>0</v>
      </c>
      <c r="P77" s="2">
        <f>DSUM(Kontoutdrag_officiella!$A:$J,"t",'Villkor 1 år (2014)'!$A603:$J604)</f>
        <v>0</v>
      </c>
      <c r="Q77" s="2">
        <f>DSUM(Kontoutdrag_officiella!$A:$J,"t",'Villkor 1 år (2014)'!$A669:$J670)</f>
        <v>0</v>
      </c>
      <c r="R77" s="2">
        <f>DSUM(Kontoutdrag_officiella!$A:$J,"t",'Villkor 1 år (2014)'!$A735:$J736)</f>
        <v>0</v>
      </c>
      <c r="S77" s="25">
        <f t="shared" si="58"/>
        <v>-225</v>
      </c>
      <c r="T77" s="7" t="s">
        <v>651</v>
      </c>
      <c r="U77" s="7"/>
      <c r="V77" s="6">
        <f t="shared" si="59"/>
        <v>-18.75</v>
      </c>
      <c r="W77" s="6">
        <f t="shared" si="60"/>
        <v>-18.75</v>
      </c>
      <c r="X77" s="6">
        <f t="shared" si="61"/>
        <v>18.75</v>
      </c>
      <c r="Y77" s="6">
        <f t="shared" si="62"/>
        <v>0</v>
      </c>
      <c r="Z77" s="7"/>
      <c r="AA77" s="12"/>
      <c r="AB77" s="7"/>
      <c r="AC77" s="7"/>
      <c r="AD77" s="7"/>
      <c r="AE77" s="7"/>
      <c r="AF77" s="7"/>
      <c r="AG77" s="7"/>
      <c r="AH77" s="7"/>
      <c r="AI77" s="7"/>
      <c r="AJ77" s="7"/>
      <c r="AK77" s="7"/>
      <c r="AL77" s="7"/>
    </row>
    <row r="78" ht="12.75" customHeight="1">
      <c r="A78" s="2" t="s">
        <v>822</v>
      </c>
      <c r="B78" s="2" t="s">
        <v>76</v>
      </c>
      <c r="C78" s="7"/>
      <c r="D78" s="7"/>
      <c r="E78" s="7"/>
      <c r="F78" s="7"/>
      <c r="G78" s="2">
        <f>DSUM(Kontoutdrag_officiella!$A:$J,"t",'Villkor 1 år (2014)'!$A11:$J12)</f>
        <v>0</v>
      </c>
      <c r="H78" s="2">
        <f>DSUM(Kontoutdrag_officiella!$A:$J,"t",'Villkor 1 år (2014)'!$A77:$J78)</f>
        <v>-3032</v>
      </c>
      <c r="I78" s="2">
        <f>DSUM(Kontoutdrag_officiella!$A:$J,"t",'Villkor 1 år (2014)'!$A143:$J144)</f>
        <v>0</v>
      </c>
      <c r="J78" s="2">
        <f>DSUM(Kontoutdrag_officiella!$A:$J,"t",'Villkor 1 år (2014)'!$A209:$J210)</f>
        <v>0</v>
      </c>
      <c r="K78" s="2">
        <f>DSUM(Kontoutdrag_officiella!$A:$J,"t",'Villkor 1 år (2014)'!$A275:$J276)</f>
        <v>-3032</v>
      </c>
      <c r="L78" s="2">
        <f>DSUM(Kontoutdrag_officiella!$A:$J,"t",'Villkor 1 år (2014)'!$A341:$J342)</f>
        <v>0</v>
      </c>
      <c r="M78" s="2">
        <f>DSUM(Kontoutdrag_officiella!$A:$J,"t",'Villkor 1 år (2014)'!$A407:$J408)</f>
        <v>0</v>
      </c>
      <c r="N78" s="2">
        <f>DSUM(Kontoutdrag_officiella!$A:$J,"t",'Villkor 1 år (2014)'!$A473:$J474)</f>
        <v>-3032</v>
      </c>
      <c r="O78" s="2">
        <f>DSUM(Kontoutdrag_officiella!$A:$J,"t",'Villkor 1 år (2014)'!$A539:$J540)</f>
        <v>0</v>
      </c>
      <c r="P78" s="2">
        <f>DSUM(Kontoutdrag_officiella!$A:$J,"t",'Villkor 1 år (2014)'!$A605:$J606)</f>
        <v>0</v>
      </c>
      <c r="Q78" s="2">
        <f>DSUM(Kontoutdrag_officiella!$A:$J,"t",'Villkor 1 år (2014)'!$A671:$J672)</f>
        <v>-3032</v>
      </c>
      <c r="R78" s="2">
        <f>DSUM(Kontoutdrag_officiella!$A:$J,"t",'Villkor 1 år (2014)'!$A737:$J738)</f>
        <v>0</v>
      </c>
      <c r="S78" s="25">
        <f t="shared" si="58"/>
        <v>-12128</v>
      </c>
      <c r="T78" s="7" t="s">
        <v>76</v>
      </c>
      <c r="U78" s="7"/>
      <c r="V78" s="6">
        <f t="shared" si="59"/>
        <v>-1010.666667</v>
      </c>
      <c r="W78" s="6">
        <f t="shared" si="60"/>
        <v>-1010.666667</v>
      </c>
      <c r="X78" s="6">
        <f t="shared" si="61"/>
        <v>1012.166667</v>
      </c>
      <c r="Y78" s="6">
        <f t="shared" si="62"/>
        <v>1.5</v>
      </c>
      <c r="Z78" s="7"/>
      <c r="AA78" s="7"/>
      <c r="AB78" s="7"/>
      <c r="AC78" s="7"/>
      <c r="AD78" s="7"/>
      <c r="AE78" s="7"/>
      <c r="AF78" s="7"/>
      <c r="AG78" s="7"/>
      <c r="AH78" s="7"/>
      <c r="AI78" s="7"/>
      <c r="AJ78" s="7"/>
      <c r="AK78" s="7"/>
      <c r="AL78" s="7"/>
    </row>
    <row r="79" ht="12.75" customHeight="1">
      <c r="A79" s="2" t="s">
        <v>822</v>
      </c>
      <c r="B79" s="2" t="s">
        <v>26</v>
      </c>
      <c r="C79" s="7"/>
      <c r="D79" s="7"/>
      <c r="E79" s="7"/>
      <c r="F79" s="7"/>
      <c r="G79" s="2">
        <f>DSUM(Kontoutdrag_officiella!$A:$J,"t",'Villkor 1 år (2014)'!$A13:$J14)</f>
        <v>-100</v>
      </c>
      <c r="H79" s="2">
        <f>DSUM(Kontoutdrag_officiella!$A:$J,"t",'Villkor 1 år (2014)'!$A79:$J80)</f>
        <v>-100</v>
      </c>
      <c r="I79" s="2">
        <f>DSUM(Kontoutdrag_officiella!$A:$J,"t",'Villkor 1 år (2014)'!$A145:$J146)</f>
        <v>-100</v>
      </c>
      <c r="J79" s="2">
        <f>DSUM(Kontoutdrag_officiella!$A:$J,"t",'Villkor 1 år (2014)'!$A211:$J212)</f>
        <v>-100</v>
      </c>
      <c r="K79" s="2">
        <f>DSUM(Kontoutdrag_officiella!$A:$J,"t",'Villkor 1 år (2014)'!$A277:$J278)</f>
        <v>-100</v>
      </c>
      <c r="L79" s="2">
        <f>DSUM(Kontoutdrag_officiella!$A:$J,"t",'Villkor 1 år (2014)'!$A343:$J344)</f>
        <v>-100</v>
      </c>
      <c r="M79" s="2">
        <f>DSUM(Kontoutdrag_officiella!$A:$J,"t",'Villkor 1 år (2014)'!$A409:$J410)</f>
        <v>-100</v>
      </c>
      <c r="N79" s="2">
        <f>DSUM(Kontoutdrag_officiella!$A:$J,"t",'Villkor 1 år (2014)'!$A475:$J476)</f>
        <v>-100</v>
      </c>
      <c r="O79" s="2">
        <f>DSUM(Kontoutdrag_officiella!$A:$J,"t",'Villkor 1 år (2014)'!$A541:$J542)</f>
        <v>-100</v>
      </c>
      <c r="P79" s="2">
        <f>DSUM(Kontoutdrag_officiella!$A:$J,"t",'Villkor 1 år (2014)'!$A607:$J608)</f>
        <v>-100</v>
      </c>
      <c r="Q79" s="2">
        <f>DSUM(Kontoutdrag_officiella!$A:$J,"t",'Villkor 1 år (2014)'!$A673:$J674)</f>
        <v>-100</v>
      </c>
      <c r="R79" s="2">
        <f>DSUM(Kontoutdrag_officiella!$A:$J,"t",'Villkor 1 år (2014)'!$A739:$J740)</f>
        <v>-100</v>
      </c>
      <c r="S79" s="25">
        <f t="shared" si="58"/>
        <v>-1200</v>
      </c>
      <c r="T79" s="7" t="s">
        <v>26</v>
      </c>
      <c r="U79" s="7"/>
      <c r="V79" s="6">
        <f t="shared" si="59"/>
        <v>-100</v>
      </c>
      <c r="W79" s="6">
        <f t="shared" si="60"/>
        <v>-100</v>
      </c>
      <c r="X79" s="6">
        <f t="shared" si="61"/>
        <v>150</v>
      </c>
      <c r="Y79" s="6">
        <f t="shared" si="62"/>
        <v>50</v>
      </c>
      <c r="Z79" s="7"/>
      <c r="AA79" s="7"/>
      <c r="AB79" s="7"/>
      <c r="AC79" s="7"/>
      <c r="AD79" s="7"/>
      <c r="AE79" s="7"/>
      <c r="AF79" s="7"/>
      <c r="AG79" s="7"/>
      <c r="AH79" s="7"/>
      <c r="AI79" s="7"/>
      <c r="AJ79" s="7"/>
      <c r="AK79" s="7"/>
      <c r="AL79" s="7"/>
    </row>
    <row r="80" ht="24.0" customHeight="1">
      <c r="A80" s="2" t="s">
        <v>822</v>
      </c>
      <c r="B80" s="2" t="s">
        <v>103</v>
      </c>
      <c r="C80" s="7"/>
      <c r="G80" s="2">
        <f>DSUM(Kontoutdrag_officiella!$A:$J,"t",'Villkor 1 år (2014)'!$A15:$J16)</f>
        <v>-433</v>
      </c>
      <c r="H80" s="2">
        <f>DSUM(Kontoutdrag_officiella!$A:$J,"t",'Villkor 1 år (2014)'!$A81:$J82)</f>
        <v>0</v>
      </c>
      <c r="I80" s="2">
        <f>DSUM(Kontoutdrag_officiella!$A:$J,"t",'Villkor 1 år (2014)'!$A147:$J148)</f>
        <v>-413</v>
      </c>
      <c r="J80" s="2">
        <f>DSUM(Kontoutdrag_officiella!$A:$J,"t",'Villkor 1 år (2014)'!$A213:$J214)</f>
        <v>0</v>
      </c>
      <c r="K80" s="2">
        <f>DSUM(Kontoutdrag_officiella!$A:$J,"t",'Villkor 1 år (2014)'!$A279:$J280)</f>
        <v>-203</v>
      </c>
      <c r="L80" s="2">
        <f>DSUM(Kontoutdrag_officiella!$A:$J,"t",'Villkor 1 år (2014)'!$A345:$J346)</f>
        <v>-247</v>
      </c>
      <c r="M80" s="2">
        <f>DSUM(Kontoutdrag_officiella!$A:$J,"t",'Villkor 1 år (2014)'!$A411:$J412)</f>
        <v>-163</v>
      </c>
      <c r="N80" s="2">
        <f>DSUM(Kontoutdrag_officiella!$A:$J,"t",'Villkor 1 år (2014)'!$A477:$J478)</f>
        <v>0</v>
      </c>
      <c r="O80" s="2">
        <f>DSUM(Kontoutdrag_officiella!$A:$J,"t",'Villkor 1 år (2014)'!$A543:$J544)</f>
        <v>-405</v>
      </c>
      <c r="P80" s="2">
        <f>DSUM(Kontoutdrag_officiella!$A:$J,"t",'Villkor 1 år (2014)'!$A609:$J610)</f>
        <v>0</v>
      </c>
      <c r="Q80" s="2">
        <f>DSUM(Kontoutdrag_officiella!$A:$J,"t",'Villkor 1 år (2014)'!$A675:$J676)</f>
        <v>-163</v>
      </c>
      <c r="R80" s="2">
        <f>DSUM(Kontoutdrag_officiella!$A:$J,"t",'Villkor 1 år (2014)'!$A741:$J742)</f>
        <v>0</v>
      </c>
      <c r="S80" s="25">
        <f t="shared" si="58"/>
        <v>-2027</v>
      </c>
      <c r="T80" s="7" t="s">
        <v>103</v>
      </c>
      <c r="U80" s="7"/>
      <c r="V80" s="6">
        <f t="shared" si="59"/>
        <v>-168.9166667</v>
      </c>
      <c r="W80" s="6">
        <f t="shared" si="60"/>
        <v>-168.9166667</v>
      </c>
      <c r="X80" s="6">
        <f t="shared" si="61"/>
        <v>200</v>
      </c>
      <c r="Y80" s="6">
        <f t="shared" si="62"/>
        <v>31.08333333</v>
      </c>
      <c r="Z80" s="7"/>
      <c r="AA80" s="7"/>
      <c r="AB80" s="7"/>
      <c r="AC80" s="7"/>
      <c r="AD80" s="7"/>
      <c r="AE80" s="7"/>
      <c r="AF80" s="7"/>
      <c r="AG80" s="7"/>
      <c r="AH80" s="7"/>
      <c r="AI80" s="7"/>
      <c r="AJ80" s="7"/>
      <c r="AK80" s="7"/>
      <c r="AL80" s="7"/>
    </row>
    <row r="81" ht="12.75" customHeight="1">
      <c r="A81" s="2" t="s">
        <v>822</v>
      </c>
      <c r="B81" s="2" t="s">
        <v>22</v>
      </c>
      <c r="C81" s="7"/>
      <c r="D81" s="7"/>
      <c r="E81" s="7"/>
      <c r="F81" s="7"/>
      <c r="G81" s="2">
        <f>DSUM(Kontoutdrag_officiella!$A:$J,"t",'Villkor 1 år (2014)'!$A17:$J18)</f>
        <v>-299</v>
      </c>
      <c r="H81" s="2">
        <f>DSUM(Kontoutdrag_officiella!$A:$J,"t",'Villkor 1 år (2014)'!$A83:$J84)</f>
        <v>-299</v>
      </c>
      <c r="I81" s="2">
        <f>DSUM(Kontoutdrag_officiella!$A:$J,"t",'Villkor 1 år (2014)'!$A149:$J150)</f>
        <v>-299</v>
      </c>
      <c r="J81" s="2">
        <f>DSUM(Kontoutdrag_officiella!$A:$J,"t",'Villkor 1 år (2014)'!$A215:$J216)</f>
        <v>-299</v>
      </c>
      <c r="K81" s="2">
        <f>DSUM(Kontoutdrag_officiella!$A:$J,"t",'Villkor 1 år (2014)'!$A281:$J282)</f>
        <v>-299</v>
      </c>
      <c r="L81" s="2">
        <f>DSUM(Kontoutdrag_officiella!$A:$J,"t",'Villkor 1 år (2014)'!$A347:$J348)</f>
        <v>-299</v>
      </c>
      <c r="M81" s="2">
        <f>DSUM(Kontoutdrag_officiella!$A:$J,"t",'Villkor 1 år (2014)'!$A413:$J414)</f>
        <v>-299</v>
      </c>
      <c r="N81" s="2">
        <f>DSUM(Kontoutdrag_officiella!$A:$J,"t",'Villkor 1 år (2014)'!$A479:$J480)</f>
        <v>-299</v>
      </c>
      <c r="O81" s="2">
        <f>DSUM(Kontoutdrag_officiella!$A:$J,"t",'Villkor 1 år (2014)'!$A545:$J546)</f>
        <v>-299</v>
      </c>
      <c r="P81" s="2">
        <f>DSUM(Kontoutdrag_officiella!$A:$J,"t",'Villkor 1 år (2014)'!$A611:$J612)</f>
        <v>-299</v>
      </c>
      <c r="Q81" s="2">
        <f>DSUM(Kontoutdrag_officiella!$A:$J,"t",'Villkor 1 år (2014)'!$A677:$J678)</f>
        <v>-299</v>
      </c>
      <c r="R81" s="2">
        <f>DSUM(Kontoutdrag_officiella!$A:$J,"t",'Villkor 1 år (2014)'!$A743:$J744)</f>
        <v>-299</v>
      </c>
      <c r="S81" s="25">
        <f t="shared" si="58"/>
        <v>-3588</v>
      </c>
      <c r="T81" s="7" t="s">
        <v>22</v>
      </c>
      <c r="U81" s="7"/>
      <c r="V81" s="6">
        <f t="shared" si="59"/>
        <v>-299</v>
      </c>
      <c r="W81" s="6">
        <f t="shared" si="60"/>
        <v>-299</v>
      </c>
      <c r="X81" s="6">
        <f t="shared" si="61"/>
        <v>299</v>
      </c>
      <c r="Y81" s="6">
        <f t="shared" si="62"/>
        <v>0</v>
      </c>
      <c r="Z81" s="7"/>
      <c r="AA81" s="7"/>
      <c r="AB81" s="7"/>
      <c r="AC81" s="7"/>
      <c r="AD81" s="7"/>
      <c r="AE81" s="7"/>
      <c r="AF81" s="7"/>
      <c r="AG81" s="7"/>
      <c r="AH81" s="7"/>
      <c r="AI81" s="12"/>
      <c r="AJ81" s="7"/>
      <c r="AK81" s="7"/>
      <c r="AL81" s="7"/>
    </row>
    <row r="82" ht="12.75" customHeight="1">
      <c r="A82" s="2" t="s">
        <v>822</v>
      </c>
      <c r="B82" s="2" t="s">
        <v>428</v>
      </c>
      <c r="C82" s="7"/>
      <c r="D82" s="7"/>
      <c r="E82" s="7"/>
      <c r="F82" s="7"/>
      <c r="G82" s="2">
        <f>DSUM(Kontoutdrag_officiella!$A:$J,"t",'Villkor 1 år (2014)'!$A19:$J20)</f>
        <v>-472</v>
      </c>
      <c r="H82" s="2">
        <f>DSUM(Kontoutdrag_officiella!$A:$J,"t",'Villkor 1 år (2014)'!$A85:$J86)</f>
        <v>0</v>
      </c>
      <c r="I82" s="2">
        <f>DSUM(Kontoutdrag_officiella!$A:$J,"t",'Villkor 1 år (2014)'!$A151:$J152)</f>
        <v>-475</v>
      </c>
      <c r="J82" s="2">
        <f>DSUM(Kontoutdrag_officiella!$A:$J,"t",'Villkor 1 år (2014)'!$A217:$J218)</f>
        <v>-469</v>
      </c>
      <c r="K82" s="2">
        <f>DSUM(Kontoutdrag_officiella!$A:$J,"t",'Villkor 1 år (2014)'!$A283:$J284)</f>
        <v>-938</v>
      </c>
      <c r="L82" s="2">
        <f>DSUM(Kontoutdrag_officiella!$A:$J,"t",'Villkor 1 år (2014)'!$A349:$J350)</f>
        <v>0</v>
      </c>
      <c r="M82" s="2">
        <f>DSUM(Kontoutdrag_officiella!$A:$J,"t",'Villkor 1 år (2014)'!$A415:$J416)</f>
        <v>-505</v>
      </c>
      <c r="N82" s="2">
        <f>DSUM(Kontoutdrag_officiella!$A:$J,"t",'Villkor 1 år (2014)'!$A481:$J482)</f>
        <v>-469</v>
      </c>
      <c r="O82" s="2">
        <f>DSUM(Kontoutdrag_officiella!$A:$J,"t",'Villkor 1 år (2014)'!$A547:$J548)</f>
        <v>-612</v>
      </c>
      <c r="P82" s="2">
        <f>DSUM(Kontoutdrag_officiella!$A:$J,"t",'Villkor 1 år (2014)'!$A613:$J614)</f>
        <v>-995</v>
      </c>
      <c r="Q82" s="2">
        <f>DSUM(Kontoutdrag_officiella!$A:$J,"t",'Villkor 1 år (2014)'!$A679:$J680)</f>
        <v>0</v>
      </c>
      <c r="R82" s="2">
        <f>DSUM(Kontoutdrag_officiella!$A:$J,"t",'Villkor 1 år (2014)'!$A745:$J746)</f>
        <v>-938</v>
      </c>
      <c r="S82" s="25">
        <f t="shared" si="58"/>
        <v>-5873</v>
      </c>
      <c r="T82" s="7" t="s">
        <v>428</v>
      </c>
      <c r="U82" s="7"/>
      <c r="V82" s="6">
        <f t="shared" si="59"/>
        <v>-489.4166667</v>
      </c>
      <c r="W82" s="6">
        <f t="shared" si="60"/>
        <v>-489.4166667</v>
      </c>
      <c r="X82" s="6">
        <f t="shared" si="61"/>
        <v>519</v>
      </c>
      <c r="Y82" s="6">
        <f t="shared" si="62"/>
        <v>29.58333333</v>
      </c>
      <c r="Z82" s="7"/>
      <c r="AA82" s="7"/>
      <c r="AB82" s="7"/>
      <c r="AC82" s="7"/>
      <c r="AD82" s="7"/>
      <c r="AE82" s="7"/>
      <c r="AF82" s="7"/>
      <c r="AG82" s="7"/>
      <c r="AH82" s="7"/>
      <c r="AI82" s="7"/>
      <c r="AJ82" s="7"/>
      <c r="AK82" s="7"/>
      <c r="AL82" s="7"/>
    </row>
    <row r="83" ht="25.5" customHeight="1">
      <c r="A83" s="2" t="s">
        <v>822</v>
      </c>
      <c r="B83" s="2" t="s">
        <v>800</v>
      </c>
      <c r="C83" s="7"/>
      <c r="D83" s="7"/>
      <c r="E83" s="7"/>
      <c r="F83" s="7"/>
      <c r="G83" s="2">
        <f>DSUM(Kontoutdrag_officiella!$A:$J,"t",'Villkor 1 år (2014)'!$A21:$J22)</f>
        <v>0</v>
      </c>
      <c r="H83" s="2">
        <f>DSUM(Kontoutdrag_officiella!$A:$J,"t",'Villkor 1 år (2014)'!$A87:$J88)</f>
        <v>0</v>
      </c>
      <c r="I83" s="2">
        <f>DSUM(Kontoutdrag_officiella!$A:$J,"t",'Villkor 1 år (2014)'!$A153:$J154)</f>
        <v>0</v>
      </c>
      <c r="J83" s="2">
        <f>DSUM(Kontoutdrag_officiella!$A:$J,"t",'Villkor 1 år (2014)'!$A219:$J220)</f>
        <v>0</v>
      </c>
      <c r="K83" s="2">
        <f>DSUM(Kontoutdrag_officiella!$A:$J,"t",'Villkor 1 år (2014)'!$A285:$J286)</f>
        <v>0</v>
      </c>
      <c r="L83" s="2">
        <f>DSUM(Kontoutdrag_officiella!$A:$J,"t",'Villkor 1 år (2014)'!$A351:$J352)</f>
        <v>0</v>
      </c>
      <c r="M83" s="2">
        <f>DSUM(Kontoutdrag_officiella!$A:$J,"t",'Villkor 1 år (2014)'!$A417:$J418)</f>
        <v>0</v>
      </c>
      <c r="N83" s="2">
        <f>DSUM(Kontoutdrag_officiella!$A:$J,"t",'Villkor 1 år (2014)'!$A483:$J484)</f>
        <v>0</v>
      </c>
      <c r="O83" s="2">
        <f>DSUM(Kontoutdrag_officiella!$A:$J,"t",'Villkor 1 år (2014)'!$A549:$J550)</f>
        <v>0</v>
      </c>
      <c r="P83" s="2">
        <f>DSUM(Kontoutdrag_officiella!$A:$J,"t",'Villkor 1 år (2014)'!$A615:$J616)</f>
        <v>0</v>
      </c>
      <c r="Q83" s="2">
        <f>DSUM(Kontoutdrag_officiella!$A:$J,"t",'Villkor 1 år (2014)'!$A681:$J682)</f>
        <v>0</v>
      </c>
      <c r="R83" s="2">
        <f>DSUM(Kontoutdrag_officiella!$A:$J,"t",'Villkor 1 år (2014)'!$A747:$J748)</f>
        <v>0</v>
      </c>
      <c r="S83" s="25">
        <f t="shared" si="58"/>
        <v>0</v>
      </c>
      <c r="T83" s="7" t="s">
        <v>800</v>
      </c>
      <c r="U83" s="7"/>
      <c r="V83" s="6">
        <f t="shared" si="59"/>
        <v>0</v>
      </c>
      <c r="W83" s="6">
        <f t="shared" si="60"/>
        <v>0</v>
      </c>
      <c r="X83" s="6">
        <f t="shared" si="61"/>
        <v>30</v>
      </c>
      <c r="Y83" s="6">
        <f t="shared" si="62"/>
        <v>30</v>
      </c>
      <c r="Z83" s="7"/>
      <c r="AA83" s="7"/>
      <c r="AB83" s="7"/>
      <c r="AC83" s="7"/>
      <c r="AD83" s="7"/>
      <c r="AE83" s="7"/>
      <c r="AF83" s="7"/>
      <c r="AG83" s="7"/>
      <c r="AH83" s="7"/>
      <c r="AI83" s="7"/>
      <c r="AJ83" s="7"/>
      <c r="AK83" s="7"/>
      <c r="AL83" s="7"/>
    </row>
    <row r="84" ht="12.75" customHeight="1">
      <c r="A84" s="2" t="s">
        <v>822</v>
      </c>
      <c r="B84" s="2" t="s">
        <v>54</v>
      </c>
      <c r="C84" s="7"/>
      <c r="D84" s="7"/>
      <c r="E84" s="7"/>
      <c r="F84" s="7"/>
      <c r="G84" s="2">
        <f>DSUM(Kontoutdrag_officiella!$A:$J,"t",'Villkor 1 år (2014)'!$A23:$J24)</f>
        <v>-148.2</v>
      </c>
      <c r="H84" s="2">
        <f>DSUM(Kontoutdrag_officiella!$A:$J,"t",'Villkor 1 år (2014)'!$A89:$J90)</f>
        <v>0</v>
      </c>
      <c r="I84" s="2">
        <f>DSUM(Kontoutdrag_officiella!$A:$J,"t",'Villkor 1 år (2014)'!$A155:$J156)</f>
        <v>-1680</v>
      </c>
      <c r="J84" s="2">
        <f>DSUM(Kontoutdrag_officiella!$A:$J,"t",'Villkor 1 år (2014)'!$A221:$J222)</f>
        <v>-204.7</v>
      </c>
      <c r="K84" s="2">
        <f>DSUM(Kontoutdrag_officiella!$A:$J,"t",'Villkor 1 år (2014)'!$A287:$J288)</f>
        <v>0</v>
      </c>
      <c r="L84" s="2">
        <f>DSUM(Kontoutdrag_officiella!$A:$J,"t",'Villkor 1 år (2014)'!$A353:$J354)</f>
        <v>-1000</v>
      </c>
      <c r="M84" s="2">
        <f>DSUM(Kontoutdrag_officiella!$A:$J,"t",'Villkor 1 år (2014)'!$A419:$J420)</f>
        <v>0</v>
      </c>
      <c r="N84" s="2">
        <f>DSUM(Kontoutdrag_officiella!$A:$J,"t",'Villkor 1 år (2014)'!$A485:$J486)</f>
        <v>0</v>
      </c>
      <c r="O84" s="2">
        <f>DSUM(Kontoutdrag_officiella!$A:$J,"t",'Villkor 1 år (2014)'!$A551:$J552)</f>
        <v>-576.87</v>
      </c>
      <c r="P84" s="2">
        <f>DSUM(Kontoutdrag_officiella!$A:$J,"t",'Villkor 1 år (2014)'!$A617:$J618)</f>
        <v>-294.91</v>
      </c>
      <c r="Q84" s="2">
        <f>DSUM(Kontoutdrag_officiella!$A:$J,"t",'Villkor 1 år (2014)'!$A683:$J684)</f>
        <v>-35.75</v>
      </c>
      <c r="R84" s="2">
        <f>DSUM(Kontoutdrag_officiella!$A:$J,"t",'Villkor 1 år (2014)'!$A749:$J750)</f>
        <v>-366.64</v>
      </c>
      <c r="S84" s="25">
        <f t="shared" si="58"/>
        <v>-4307.07</v>
      </c>
      <c r="T84" s="7" t="s">
        <v>54</v>
      </c>
      <c r="U84" s="7"/>
      <c r="V84" s="6">
        <f t="shared" si="59"/>
        <v>-358.9225</v>
      </c>
      <c r="W84" s="6">
        <f t="shared" si="60"/>
        <v>-358.9225</v>
      </c>
      <c r="X84" s="6">
        <f t="shared" si="61"/>
        <v>600</v>
      </c>
      <c r="Y84" s="6">
        <f t="shared" si="62"/>
        <v>241.0775</v>
      </c>
      <c r="AA84" s="7"/>
      <c r="AB84" s="7"/>
      <c r="AC84" s="7"/>
      <c r="AD84" s="7"/>
      <c r="AE84" s="7"/>
      <c r="AF84" s="7"/>
      <c r="AG84" s="7"/>
      <c r="AH84" s="7"/>
      <c r="AI84" s="7"/>
      <c r="AJ84" s="7"/>
      <c r="AK84" s="7"/>
      <c r="AL84" s="7"/>
    </row>
    <row r="85" ht="12.75" customHeight="1">
      <c r="A85" s="2" t="s">
        <v>822</v>
      </c>
      <c r="B85" s="2" t="s">
        <v>801</v>
      </c>
      <c r="C85" s="7"/>
      <c r="D85" s="7"/>
      <c r="E85" s="7"/>
      <c r="F85" s="7"/>
      <c r="G85" s="2">
        <f>DSUM(Kontoutdrag_officiella!$A:$J,"t",'Villkor 1 år (2014)'!$A25:$J26)</f>
        <v>0</v>
      </c>
      <c r="H85" s="2">
        <f>DSUM(Kontoutdrag_officiella!$A:$J,"t",'Villkor 1 år (2014)'!$A91:$J92)</f>
        <v>0</v>
      </c>
      <c r="I85" s="2">
        <f>DSUM(Kontoutdrag_officiella!$A:$J,"t",'Villkor 1 år (2014)'!$A157:$J158)</f>
        <v>0</v>
      </c>
      <c r="J85" s="2">
        <f>DSUM(Kontoutdrag_officiella!$A:$J,"t",'Villkor 1 år (2014)'!$A223:$J224)</f>
        <v>0</v>
      </c>
      <c r="K85" s="2">
        <f>DSUM(Kontoutdrag_officiella!$A:$J,"t",'Villkor 1 år (2014)'!$A289:$J290)</f>
        <v>0</v>
      </c>
      <c r="L85" s="2">
        <f>DSUM(Kontoutdrag_officiella!$A:$J,"t",'Villkor 1 år (2014)'!$A355:$J356)</f>
        <v>0</v>
      </c>
      <c r="M85" s="2">
        <f>DSUM(Kontoutdrag_officiella!$A:$J,"t",'Villkor 1 år (2014)'!$A421:$J422)</f>
        <v>0</v>
      </c>
      <c r="N85" s="2">
        <f>DSUM(Kontoutdrag_officiella!$A:$J,"t",'Villkor 1 år (2014)'!$A487:$J488)</f>
        <v>0</v>
      </c>
      <c r="O85" s="2">
        <f>DSUM(Kontoutdrag_officiella!$A:$J,"t",'Villkor 1 år (2014)'!$A553:$J554)</f>
        <v>0</v>
      </c>
      <c r="P85" s="2">
        <f>DSUM(Kontoutdrag_officiella!$A:$J,"t",'Villkor 1 år (2014)'!$A619:$J620)</f>
        <v>0</v>
      </c>
      <c r="Q85" s="2">
        <f>DSUM(Kontoutdrag_officiella!$A:$J,"t",'Villkor 1 år (2014)'!$A685:$J686)</f>
        <v>0</v>
      </c>
      <c r="R85" s="2">
        <f>DSUM(Kontoutdrag_officiella!$A:$J,"t",'Villkor 1 år (2014)'!$A751:$J752)</f>
        <v>0</v>
      </c>
      <c r="S85" s="25">
        <f t="shared" si="58"/>
        <v>0</v>
      </c>
      <c r="T85" s="7" t="s">
        <v>801</v>
      </c>
      <c r="U85" s="7"/>
      <c r="V85" s="6">
        <f t="shared" si="59"/>
        <v>0</v>
      </c>
      <c r="W85" s="6">
        <f t="shared" si="60"/>
        <v>0</v>
      </c>
      <c r="X85" s="6">
        <f t="shared" si="61"/>
        <v>0</v>
      </c>
      <c r="Y85" s="6">
        <f t="shared" si="62"/>
        <v>0</v>
      </c>
      <c r="Z85" s="7" t="s">
        <v>827</v>
      </c>
      <c r="AA85" s="7"/>
      <c r="AB85" s="7"/>
      <c r="AC85" s="7"/>
      <c r="AD85" s="7"/>
      <c r="AE85" s="7"/>
      <c r="AF85" s="7"/>
      <c r="AG85" s="7"/>
      <c r="AH85" s="7"/>
      <c r="AI85" s="7"/>
      <c r="AJ85" s="7"/>
      <c r="AK85" s="7"/>
      <c r="AL85" s="7"/>
    </row>
    <row r="86" ht="12.75" customHeight="1">
      <c r="A86" s="2" t="s">
        <v>822</v>
      </c>
      <c r="B86" s="2" t="s">
        <v>38</v>
      </c>
      <c r="C86" s="8"/>
      <c r="D86" s="7"/>
      <c r="E86" s="7"/>
      <c r="F86" s="7"/>
      <c r="G86" s="2">
        <f>DSUM(Kontoutdrag_officiella!$A:$J,"t",'Villkor 1 år (2014)'!$A27:$J28)</f>
        <v>-1885</v>
      </c>
      <c r="H86" s="2">
        <f>DSUM(Kontoutdrag_officiella!$A:$J,"t",'Villkor 1 år (2014)'!$A93:$J94)</f>
        <v>-800</v>
      </c>
      <c r="I86" s="2">
        <f>DSUM(Kontoutdrag_officiella!$A:$J,"t",'Villkor 1 år (2014)'!$A159:$J160)</f>
        <v>-1755</v>
      </c>
      <c r="J86" s="2">
        <f>DSUM(Kontoutdrag_officiella!$A:$J,"t",'Villkor 1 år (2014)'!$A225:$J226)</f>
        <v>-1600</v>
      </c>
      <c r="K86" s="2">
        <f>DSUM(Kontoutdrag_officiella!$A:$J,"t",'Villkor 1 år (2014)'!$A291:$J292)</f>
        <v>-879</v>
      </c>
      <c r="L86" s="2">
        <f>DSUM(Kontoutdrag_officiella!$A:$J,"t",'Villkor 1 år (2014)'!$A357:$J358)</f>
        <v>-175</v>
      </c>
      <c r="M86" s="2">
        <f>DSUM(Kontoutdrag_officiella!$A:$J,"t",'Villkor 1 år (2014)'!$A423:$J424)</f>
        <v>0</v>
      </c>
      <c r="N86" s="2">
        <f>DSUM(Kontoutdrag_officiella!$A:$J,"t",'Villkor 1 år (2014)'!$A489:$J490)</f>
        <v>-1498</v>
      </c>
      <c r="O86" s="2">
        <f>DSUM(Kontoutdrag_officiella!$A:$J,"t",'Villkor 1 år (2014)'!$A555:$J556)</f>
        <v>-1983</v>
      </c>
      <c r="P86" s="2">
        <f>DSUM(Kontoutdrag_officiella!$A:$J,"t",'Villkor 1 år (2014)'!$A621:$J622)</f>
        <v>-1125</v>
      </c>
      <c r="Q86" s="2">
        <f>DSUM(Kontoutdrag_officiella!$A:$J,"t",'Villkor 1 år (2014)'!$A687:$J688)</f>
        <v>-2010</v>
      </c>
      <c r="R86" s="2">
        <f>DSUM(Kontoutdrag_officiella!$A:$J,"t",'Villkor 1 år (2014)'!$A753:$J754)</f>
        <v>-964</v>
      </c>
      <c r="S86" s="25">
        <f t="shared" si="58"/>
        <v>-14674</v>
      </c>
      <c r="T86" s="6" t="s">
        <v>38</v>
      </c>
      <c r="U86" s="7"/>
      <c r="V86" s="6">
        <f t="shared" si="59"/>
        <v>-1222.833333</v>
      </c>
      <c r="W86" s="6">
        <f t="shared" si="60"/>
        <v>-1222.833333</v>
      </c>
      <c r="X86" s="6">
        <f t="shared" si="61"/>
        <v>1441.363636</v>
      </c>
      <c r="Y86" s="6">
        <f t="shared" si="62"/>
        <v>218.530303</v>
      </c>
      <c r="Z86" s="7">
        <f>0.5*(P86+Q86)</f>
        <v>-1567.5</v>
      </c>
      <c r="AA86" s="7"/>
      <c r="AB86" s="7"/>
      <c r="AC86" s="7"/>
      <c r="AD86" s="7"/>
      <c r="AE86" s="7"/>
      <c r="AF86" s="7"/>
      <c r="AG86" s="7"/>
      <c r="AH86" s="7"/>
      <c r="AI86" s="7"/>
      <c r="AJ86" s="7"/>
      <c r="AK86" s="7"/>
      <c r="AL86" s="7"/>
    </row>
    <row r="87" ht="12.75" customHeight="1">
      <c r="A87" s="2" t="s">
        <v>822</v>
      </c>
      <c r="B87" s="2" t="s">
        <v>47</v>
      </c>
      <c r="C87" s="7"/>
      <c r="D87" s="7"/>
      <c r="E87" s="7"/>
      <c r="F87" s="7"/>
      <c r="G87" s="2">
        <f>DSUM(Kontoutdrag_officiella!$A:$J,"t",'Villkor 1 år (2014)'!$A29:$J30)</f>
        <v>-1827.96</v>
      </c>
      <c r="H87" s="2">
        <f>DSUM(Kontoutdrag_officiella!$A:$J,"t",'Villkor 1 år (2014)'!$A95:$J96)</f>
        <v>-2975.3</v>
      </c>
      <c r="I87" s="2">
        <f>DSUM(Kontoutdrag_officiella!$A:$J,"t",'Villkor 1 år (2014)'!$A161:$J162)</f>
        <v>-2165.34</v>
      </c>
      <c r="J87" s="2">
        <f>DSUM(Kontoutdrag_officiella!$A:$J,"t",'Villkor 1 år (2014)'!$A227:$J228)</f>
        <v>-2548.48</v>
      </c>
      <c r="K87" s="2">
        <f>DSUM(Kontoutdrag_officiella!$A:$J,"t",'Villkor 1 år (2014)'!$A293:$J294)</f>
        <v>-3314</v>
      </c>
      <c r="L87" s="2">
        <f>DSUM(Kontoutdrag_officiella!$A:$J,"t",'Villkor 1 år (2014)'!$A359:$J360)</f>
        <v>-1625.48</v>
      </c>
      <c r="M87" s="2">
        <f>DSUM(Kontoutdrag_officiella!$A:$J,"t",'Villkor 1 år (2014)'!$A425:$J426)</f>
        <v>-929</v>
      </c>
      <c r="N87" s="2">
        <f>DSUM(Kontoutdrag_officiella!$A:$J,"t",'Villkor 1 år (2014)'!$A491:$J492)</f>
        <v>-2559.8</v>
      </c>
      <c r="O87" s="2">
        <f>DSUM(Kontoutdrag_officiella!$A:$J,"t",'Villkor 1 år (2014)'!$A557:$J558)</f>
        <v>-2033.75</v>
      </c>
      <c r="P87" s="2">
        <f>DSUM(Kontoutdrag_officiella!$A:$J,"t",'Villkor 1 år (2014)'!$A623:$J624)</f>
        <v>-3345.55</v>
      </c>
      <c r="Q87" s="2">
        <f>DSUM(Kontoutdrag_officiella!$A:$J,"t",'Villkor 1 år (2014)'!$A689:$J690)</f>
        <v>-2480.03</v>
      </c>
      <c r="R87" s="2">
        <f>DSUM(Kontoutdrag_officiella!$A:$J,"t",'Villkor 1 år (2014)'!$A755:$J756)</f>
        <v>-1490.95</v>
      </c>
      <c r="S87" s="25">
        <f t="shared" si="58"/>
        <v>-27295.64</v>
      </c>
      <c r="T87" s="7" t="s">
        <v>47</v>
      </c>
      <c r="U87" s="7"/>
      <c r="V87" s="6">
        <f t="shared" si="59"/>
        <v>-2274.636667</v>
      </c>
      <c r="W87" s="6">
        <f t="shared" si="60"/>
        <v>-2274.636667</v>
      </c>
      <c r="X87" s="6">
        <f t="shared" si="61"/>
        <v>2100</v>
      </c>
      <c r="Y87" s="6">
        <f t="shared" si="62"/>
        <v>-174.6366667</v>
      </c>
      <c r="Z87" s="7"/>
      <c r="AA87" s="7"/>
      <c r="AB87" s="7"/>
      <c r="AC87" s="7"/>
      <c r="AD87" s="7"/>
      <c r="AE87" s="7"/>
      <c r="AF87" s="7"/>
      <c r="AG87" s="7"/>
      <c r="AH87" s="7"/>
      <c r="AI87" s="7"/>
      <c r="AJ87" s="7"/>
      <c r="AK87" s="7"/>
    </row>
    <row r="88" ht="27.75" customHeight="1">
      <c r="A88" s="2" t="s">
        <v>822</v>
      </c>
      <c r="B88" s="2" t="s">
        <v>52</v>
      </c>
      <c r="C88" s="7"/>
      <c r="D88" s="7"/>
      <c r="E88" s="7"/>
      <c r="F88" s="7"/>
      <c r="G88" s="2">
        <f>DSUM(Kontoutdrag_officiella!$A:$J,"t",'Villkor 1 år (2014)'!$A31:$J32)</f>
        <v>0</v>
      </c>
      <c r="H88" s="2">
        <f>DSUM(Kontoutdrag_officiella!$A:$J,"t",'Villkor 1 år (2014)'!$A97:$J98)</f>
        <v>0</v>
      </c>
      <c r="I88" s="2">
        <f>DSUM(Kontoutdrag_officiella!$A:$J,"t",'Villkor 1 år (2014)'!$A163:$J164)</f>
        <v>0</v>
      </c>
      <c r="J88" s="2">
        <f>DSUM(Kontoutdrag_officiella!$A:$J,"t",'Villkor 1 år (2014)'!$A229:$J230)</f>
        <v>0</v>
      </c>
      <c r="K88" s="2">
        <f>DSUM(Kontoutdrag_officiella!$A:$J,"t",'Villkor 1 år (2014)'!$A295:$J296)</f>
        <v>-1917.5</v>
      </c>
      <c r="L88" s="2">
        <f>DSUM(Kontoutdrag_officiella!$A:$J,"t",'Villkor 1 år (2014)'!$A361:$J362)</f>
        <v>-626</v>
      </c>
      <c r="M88" s="2">
        <f>DSUM(Kontoutdrag_officiella!$A:$J,"t",'Villkor 1 år (2014)'!$A427:$J428)</f>
        <v>0</v>
      </c>
      <c r="N88" s="2">
        <f>DSUM(Kontoutdrag_officiella!$A:$J,"t",'Villkor 1 år (2014)'!$A493:$J494)</f>
        <v>-1840</v>
      </c>
      <c r="O88" s="2">
        <f>DSUM(Kontoutdrag_officiella!$A:$J,"t",'Villkor 1 år (2014)'!$A559:$J560)</f>
        <v>-1305</v>
      </c>
      <c r="P88" s="2">
        <f>DSUM(Kontoutdrag_officiella!$A:$J,"t",'Villkor 1 år (2014)'!$A625:$J626)</f>
        <v>-458</v>
      </c>
      <c r="Q88" s="2">
        <f>DSUM(Kontoutdrag_officiella!$A:$J,"t",'Villkor 1 år (2014)'!$A691:$J692)</f>
        <v>-3034.3</v>
      </c>
      <c r="R88" s="2">
        <f>DSUM(Kontoutdrag_officiella!$A:$J,"t",'Villkor 1 år (2014)'!$A757:$J758)</f>
        <v>-1283</v>
      </c>
      <c r="S88" s="25">
        <f t="shared" si="58"/>
        <v>-10463.8</v>
      </c>
      <c r="T88" s="7" t="s">
        <v>52</v>
      </c>
      <c r="U88" s="7"/>
      <c r="V88" s="6">
        <f t="shared" si="59"/>
        <v>-871.9833333</v>
      </c>
      <c r="W88" s="6">
        <f t="shared" si="60"/>
        <v>-871.9833333</v>
      </c>
      <c r="X88" s="6">
        <f t="shared" si="61"/>
        <v>1477.499697</v>
      </c>
      <c r="Y88" s="6">
        <f t="shared" si="62"/>
        <v>605.5163636</v>
      </c>
      <c r="Z88" s="7"/>
      <c r="AA88" s="7"/>
      <c r="AB88" s="7"/>
      <c r="AC88" s="7"/>
      <c r="AD88" s="7"/>
      <c r="AE88" s="7"/>
      <c r="AF88" s="7"/>
      <c r="AG88" s="7"/>
      <c r="AH88" s="7"/>
      <c r="AI88" s="7"/>
      <c r="AJ88" s="7"/>
      <c r="AK88" s="7"/>
      <c r="AL88" s="7"/>
    </row>
    <row r="89" ht="12.75" customHeight="1">
      <c r="A89" s="2" t="s">
        <v>822</v>
      </c>
      <c r="B89" s="2" t="s">
        <v>42</v>
      </c>
      <c r="C89" s="7"/>
      <c r="D89" s="7"/>
      <c r="E89" s="7"/>
      <c r="F89" s="6"/>
      <c r="G89" s="2">
        <f>DSUM(Kontoutdrag_officiella!$A:$J,"t",'Villkor 1 år (2014)'!$A33:$J34)</f>
        <v>0</v>
      </c>
      <c r="H89" s="2">
        <f>DSUM(Kontoutdrag_officiella!$A:$J,"t",'Villkor 1 år (2014)'!$A99:$J100)</f>
        <v>-548</v>
      </c>
      <c r="I89" s="2">
        <f>DSUM(Kontoutdrag_officiella!$A:$J,"t",'Villkor 1 år (2014)'!$A165:$J166)</f>
        <v>-358</v>
      </c>
      <c r="J89" s="2">
        <f>DSUM(Kontoutdrag_officiella!$A:$J,"t",'Villkor 1 år (2014)'!$A231:$J232)</f>
        <v>-472</v>
      </c>
      <c r="K89" s="2">
        <f>DSUM(Kontoutdrag_officiella!$A:$J,"t",'Villkor 1 år (2014)'!$A297:$J298)</f>
        <v>-464</v>
      </c>
      <c r="L89" s="2">
        <f>DSUM(Kontoutdrag_officiella!$A:$J,"t",'Villkor 1 år (2014)'!$A363:$J364)</f>
        <v>-171</v>
      </c>
      <c r="M89" s="2">
        <f>DSUM(Kontoutdrag_officiella!$A:$J,"t",'Villkor 1 år (2014)'!$A429:$J430)</f>
        <v>-152</v>
      </c>
      <c r="N89" s="2">
        <f>DSUM(Kontoutdrag_officiella!$A:$J,"t",'Villkor 1 år (2014)'!$A495:$J496)</f>
        <v>-1143</v>
      </c>
      <c r="O89" s="2">
        <f>DSUM(Kontoutdrag_officiella!$A:$J,"t",'Villkor 1 år (2014)'!$A561:$J562)</f>
        <v>-262</v>
      </c>
      <c r="P89" s="2">
        <f>DSUM(Kontoutdrag_officiella!$A:$J,"t",'Villkor 1 år (2014)'!$A627:$J628)</f>
        <v>-424</v>
      </c>
      <c r="Q89" s="2">
        <f>DSUM(Kontoutdrag_officiella!$A:$J,"t",'Villkor 1 år (2014)'!$A693:$J694)</f>
        <v>-467</v>
      </c>
      <c r="R89" s="2">
        <f>DSUM(Kontoutdrag_officiella!$A:$J,"t",'Villkor 1 år (2014)'!$A759:$J760)</f>
        <v>-208</v>
      </c>
      <c r="S89" s="25">
        <f t="shared" si="58"/>
        <v>-4669</v>
      </c>
      <c r="T89" s="7" t="s">
        <v>42</v>
      </c>
      <c r="U89" s="7"/>
      <c r="V89" s="6">
        <f t="shared" si="59"/>
        <v>-389.0833333</v>
      </c>
      <c r="W89" s="6">
        <f t="shared" si="60"/>
        <v>-389.0833333</v>
      </c>
      <c r="X89" s="6">
        <f t="shared" si="61"/>
        <v>247.5</v>
      </c>
      <c r="Y89" s="6">
        <f t="shared" si="62"/>
        <v>-141.5833333</v>
      </c>
      <c r="Z89" s="7"/>
      <c r="AA89" s="7"/>
      <c r="AB89" s="7"/>
      <c r="AC89" s="7"/>
      <c r="AD89" s="7"/>
      <c r="AE89" s="7"/>
      <c r="AF89" s="7"/>
      <c r="AG89" s="7"/>
      <c r="AH89" s="7"/>
      <c r="AI89" s="7"/>
      <c r="AJ89" s="7"/>
      <c r="AK89" s="7"/>
      <c r="AL89" s="7"/>
    </row>
    <row r="90" ht="12.75" customHeight="1">
      <c r="A90" s="2" t="s">
        <v>822</v>
      </c>
      <c r="B90" s="2" t="s">
        <v>133</v>
      </c>
      <c r="C90" s="7"/>
      <c r="D90" s="7"/>
      <c r="E90" s="7"/>
      <c r="F90" s="6"/>
      <c r="G90" s="2">
        <f>DSUM(Kontoutdrag_officiella!$A:$J,"t",'Villkor 1 år (2014)'!$A35:$J36)</f>
        <v>0</v>
      </c>
      <c r="H90" s="2">
        <f>DSUM(Kontoutdrag_officiella!$A:$J,"t",'Villkor 1 år (2014)'!$A101:$J102)</f>
        <v>0</v>
      </c>
      <c r="I90" s="2">
        <f>DSUM(Kontoutdrag_officiella!$A:$J,"t",'Villkor 1 år (2014)'!$A167:$J168)</f>
        <v>0</v>
      </c>
      <c r="J90" s="2">
        <f>DSUM(Kontoutdrag_officiella!$A:$J,"t",'Villkor 1 år (2014)'!$A233:$J234)</f>
        <v>0</v>
      </c>
      <c r="K90" s="2">
        <f>DSUM(Kontoutdrag_officiella!$A:$J,"t",'Villkor 1 år (2014)'!$A299:$J300)</f>
        <v>0</v>
      </c>
      <c r="L90" s="2">
        <f>DSUM(Kontoutdrag_officiella!$A:$J,"t",'Villkor 1 år (2014)'!$A365:$J366)</f>
        <v>-118</v>
      </c>
      <c r="M90" s="2">
        <f>DSUM(Kontoutdrag_officiella!$A:$J,"t",'Villkor 1 år (2014)'!$A431:$J432)</f>
        <v>-300</v>
      </c>
      <c r="N90" s="2">
        <f>DSUM(Kontoutdrag_officiella!$A:$J,"t",'Villkor 1 år (2014)'!$A497:$J498)</f>
        <v>-70</v>
      </c>
      <c r="O90" s="2">
        <f>DSUM(Kontoutdrag_officiella!$A:$J,"t",'Villkor 1 år (2014)'!$A563:$J564)</f>
        <v>0</v>
      </c>
      <c r="P90" s="2">
        <f>DSUM(Kontoutdrag_officiella!$A:$J,"t",'Villkor 1 år (2014)'!$A629:$J630)</f>
        <v>0</v>
      </c>
      <c r="Q90" s="2">
        <f>DSUM(Kontoutdrag_officiella!$A:$J,"t",'Villkor 1 år (2014)'!$A695:$J696)</f>
        <v>0</v>
      </c>
      <c r="R90" s="2">
        <f>DSUM(Kontoutdrag_officiella!$A:$J,"t",'Villkor 1 år (2014)'!$A761:$J762)</f>
        <v>0</v>
      </c>
      <c r="S90" s="25">
        <f t="shared" si="58"/>
        <v>-488</v>
      </c>
      <c r="T90" s="7" t="s">
        <v>133</v>
      </c>
      <c r="U90" s="7"/>
      <c r="V90" s="6">
        <f t="shared" si="59"/>
        <v>-40.66666667</v>
      </c>
      <c r="W90" s="6">
        <f t="shared" si="60"/>
        <v>-40.66666667</v>
      </c>
      <c r="X90" s="6">
        <f t="shared" si="61"/>
        <v>0</v>
      </c>
      <c r="Y90" s="6">
        <f t="shared" si="62"/>
        <v>-40.66666667</v>
      </c>
      <c r="Z90" s="7"/>
      <c r="AA90" s="7"/>
      <c r="AB90" s="7"/>
      <c r="AC90" s="7"/>
      <c r="AD90" s="7"/>
      <c r="AE90" s="7"/>
      <c r="AF90" s="7"/>
      <c r="AG90" s="7"/>
      <c r="AH90" s="7"/>
      <c r="AI90" s="7"/>
      <c r="AJ90" s="7"/>
      <c r="AK90" s="7"/>
      <c r="AL90" s="7"/>
    </row>
    <row r="91" ht="12.75" customHeight="1">
      <c r="A91" s="2" t="s">
        <v>822</v>
      </c>
      <c r="B91" s="2" t="s">
        <v>803</v>
      </c>
      <c r="C91" s="7"/>
      <c r="D91" s="7"/>
      <c r="E91" s="7"/>
      <c r="F91" s="6"/>
      <c r="G91" s="2">
        <f>DSUM(Kontoutdrag_officiella!$A:$J,"t",'Villkor 1 år (2014)'!$A37:$J38)</f>
        <v>0</v>
      </c>
      <c r="H91" s="2">
        <f>DSUM(Kontoutdrag_officiella!$A:$J,"t",'Villkor 1 år (2014)'!$A103:$J104)</f>
        <v>0</v>
      </c>
      <c r="I91" s="2">
        <f>DSUM(Kontoutdrag_officiella!$A:$J,"t",'Villkor 1 år (2014)'!$A169:$J170)</f>
        <v>0</v>
      </c>
      <c r="J91" s="2">
        <f>DSUM(Kontoutdrag_officiella!$A:$J,"t",'Villkor 1 år (2014)'!$A235:$J236)</f>
        <v>0</v>
      </c>
      <c r="K91" s="2">
        <f>DSUM(Kontoutdrag_officiella!$A:$J,"t",'Villkor 1 år (2014)'!$A301:$J302)</f>
        <v>0</v>
      </c>
      <c r="L91" s="2">
        <f>DSUM(Kontoutdrag_officiella!$A:$J,"t",'Villkor 1 år (2014)'!$A367:$J368)</f>
        <v>0</v>
      </c>
      <c r="M91" s="2">
        <f>DSUM(Kontoutdrag_officiella!$A:$J,"t",'Villkor 1 år (2014)'!$A433:$J434)</f>
        <v>0</v>
      </c>
      <c r="N91" s="2">
        <f>DSUM(Kontoutdrag_officiella!$A:$J,"t",'Villkor 1 år (2014)'!$A499:$J500)</f>
        <v>0</v>
      </c>
      <c r="O91" s="2">
        <f>DSUM(Kontoutdrag_officiella!$A:$J,"t",'Villkor 1 år (2014)'!$A565:$J566)</f>
        <v>0</v>
      </c>
      <c r="P91" s="2">
        <f>DSUM(Kontoutdrag_officiella!$A:$J,"t",'Villkor 1 år (2014)'!$A631:$J632)</f>
        <v>0</v>
      </c>
      <c r="Q91" s="2">
        <f>DSUM(Kontoutdrag_officiella!$A:$J,"t",'Villkor 1 år (2014)'!$A697:$J698)</f>
        <v>0</v>
      </c>
      <c r="R91" s="2">
        <f>DSUM(Kontoutdrag_officiella!$A:$J,"t",'Villkor 1 år (2014)'!$A763:$J764)</f>
        <v>0</v>
      </c>
      <c r="S91" s="25">
        <f t="shared" si="58"/>
        <v>0</v>
      </c>
      <c r="T91" s="7" t="s">
        <v>803</v>
      </c>
      <c r="U91" s="7"/>
      <c r="V91" s="6">
        <f t="shared" si="59"/>
        <v>0</v>
      </c>
      <c r="W91" s="6">
        <f t="shared" si="60"/>
        <v>0</v>
      </c>
      <c r="X91" s="6">
        <f t="shared" si="61"/>
        <v>0</v>
      </c>
      <c r="Y91" s="6">
        <f t="shared" si="62"/>
        <v>0</v>
      </c>
      <c r="Z91" s="7"/>
      <c r="AA91" s="7"/>
      <c r="AB91" s="7"/>
      <c r="AC91" s="7"/>
      <c r="AD91" s="7"/>
      <c r="AE91" s="7"/>
      <c r="AF91" s="7"/>
      <c r="AG91" s="7"/>
      <c r="AH91" s="7"/>
      <c r="AI91" s="7"/>
      <c r="AJ91" s="7"/>
      <c r="AK91" s="7"/>
      <c r="AL91" s="7"/>
    </row>
    <row r="92" ht="27.75" customHeight="1">
      <c r="A92" s="2" t="s">
        <v>822</v>
      </c>
      <c r="B92" s="2" t="s">
        <v>164</v>
      </c>
      <c r="C92" s="7"/>
      <c r="D92" s="7"/>
      <c r="E92" s="7"/>
      <c r="F92" s="6"/>
      <c r="G92" s="2">
        <f>DSUM(Kontoutdrag_officiella!$A:$J,"t",'Villkor 1 år (2014)'!$A39:$J40)</f>
        <v>0</v>
      </c>
      <c r="H92" s="2">
        <f>DSUM(Kontoutdrag_officiella!$A:$J,"t",'Villkor 1 år (2014)'!$A105:$J106)</f>
        <v>-124</v>
      </c>
      <c r="I92" s="2">
        <f>DSUM(Kontoutdrag_officiella!$A:$J,"t",'Villkor 1 år (2014)'!$A171:$J172)</f>
        <v>0</v>
      </c>
      <c r="J92" s="2">
        <f>DSUM(Kontoutdrag_officiella!$A:$J,"t",'Villkor 1 år (2014)'!$A237:$J238)</f>
        <v>-126</v>
      </c>
      <c r="K92" s="2">
        <f>DSUM(Kontoutdrag_officiella!$A:$J,"t",'Villkor 1 år (2014)'!$A303:$J304)</f>
        <v>0</v>
      </c>
      <c r="L92" s="2">
        <f>DSUM(Kontoutdrag_officiella!$A:$J,"t",'Villkor 1 år (2014)'!$A369:$J370)</f>
        <v>-652</v>
      </c>
      <c r="M92" s="2">
        <f>DSUM(Kontoutdrag_officiella!$A:$J,"t",'Villkor 1 år (2014)'!$A435:$J436)</f>
        <v>-315</v>
      </c>
      <c r="N92" s="2">
        <f>DSUM(Kontoutdrag_officiella!$A:$J,"t",'Villkor 1 år (2014)'!$A501:$J502)</f>
        <v>366</v>
      </c>
      <c r="O92" s="2">
        <f>DSUM(Kontoutdrag_officiella!$A:$J,"t",'Villkor 1 år (2014)'!$A567:$J568)</f>
        <v>0</v>
      </c>
      <c r="P92" s="2">
        <f>DSUM(Kontoutdrag_officiella!$A:$J,"t",'Villkor 1 år (2014)'!$A633:$J634)</f>
        <v>0</v>
      </c>
      <c r="Q92" s="2">
        <f>DSUM(Kontoutdrag_officiella!$A:$J,"t",'Villkor 1 år (2014)'!$A699:$J700)</f>
        <v>0</v>
      </c>
      <c r="R92" s="2">
        <f>DSUM(Kontoutdrag_officiella!$A:$J,"t",'Villkor 1 år (2014)'!$A765:$J766)</f>
        <v>-325</v>
      </c>
      <c r="S92" s="25">
        <f t="shared" si="58"/>
        <v>-1176</v>
      </c>
      <c r="T92" s="7" t="s">
        <v>164</v>
      </c>
      <c r="U92" s="7"/>
      <c r="V92" s="6">
        <f t="shared" si="59"/>
        <v>-98</v>
      </c>
      <c r="W92" s="6">
        <f t="shared" si="60"/>
        <v>-98</v>
      </c>
      <c r="X92" s="6">
        <f t="shared" si="61"/>
        <v>100</v>
      </c>
      <c r="Y92" s="6">
        <f t="shared" si="62"/>
        <v>2</v>
      </c>
      <c r="Z92" s="7"/>
      <c r="AA92" s="7"/>
      <c r="AB92" s="7"/>
      <c r="AC92" s="7"/>
      <c r="AD92" s="7"/>
      <c r="AE92" s="7"/>
      <c r="AF92" s="7"/>
      <c r="AG92" s="7"/>
      <c r="AH92" s="7"/>
      <c r="AI92" s="7"/>
      <c r="AJ92" s="7"/>
      <c r="AK92" s="7"/>
      <c r="AL92" s="7"/>
    </row>
    <row r="93" ht="22.5" customHeight="1">
      <c r="A93" s="2" t="s">
        <v>822</v>
      </c>
      <c r="B93" s="2" t="s">
        <v>50</v>
      </c>
      <c r="C93" s="7"/>
      <c r="D93" s="7"/>
      <c r="E93" s="7"/>
      <c r="F93" s="6"/>
      <c r="G93" s="2">
        <f>DSUM(Kontoutdrag_officiella!$A:$J,"t",'Villkor 1 år (2014)'!$A41:$J42)</f>
        <v>-1970</v>
      </c>
      <c r="H93" s="2">
        <f>DSUM(Kontoutdrag_officiella!$A:$J,"t",'Villkor 1 år (2014)'!$A107:$J108)</f>
        <v>0</v>
      </c>
      <c r="I93" s="2">
        <f>DSUM(Kontoutdrag_officiella!$A:$J,"t",'Villkor 1 år (2014)'!$A173:$J174)</f>
        <v>0</v>
      </c>
      <c r="J93" s="2">
        <f>DSUM(Kontoutdrag_officiella!$A:$J,"t",'Villkor 1 år (2014)'!$A239:$J240)</f>
        <v>-1521</v>
      </c>
      <c r="K93" s="2">
        <f>DSUM(Kontoutdrag_officiella!$A:$J,"t",'Villkor 1 år (2014)'!$A305:$J306)</f>
        <v>0</v>
      </c>
      <c r="L93" s="2">
        <f>DSUM(Kontoutdrag_officiella!$A:$J,"t",'Villkor 1 år (2014)'!$A371:$J372)</f>
        <v>0</v>
      </c>
      <c r="M93" s="2">
        <f>DSUM(Kontoutdrag_officiella!$A:$J,"t",'Villkor 1 år (2014)'!$A437:$J438)</f>
        <v>0</v>
      </c>
      <c r="N93" s="2">
        <f>DSUM(Kontoutdrag_officiella!$A:$J,"t",'Villkor 1 år (2014)'!$A503:$J504)</f>
        <v>-1821</v>
      </c>
      <c r="O93" s="2">
        <f>DSUM(Kontoutdrag_officiella!$A:$J,"t",'Villkor 1 år (2014)'!$A569:$J570)</f>
        <v>0</v>
      </c>
      <c r="P93" s="2">
        <f>DSUM(Kontoutdrag_officiella!$A:$J,"t",'Villkor 1 år (2014)'!$A635:$J636)</f>
        <v>-1470</v>
      </c>
      <c r="Q93" s="2">
        <f>DSUM(Kontoutdrag_officiella!$A:$J,"t",'Villkor 1 år (2014)'!$A701:$J702)</f>
        <v>0</v>
      </c>
      <c r="R93" s="2">
        <f>DSUM(Kontoutdrag_officiella!$A:$J,"t",'Villkor 1 år (2014)'!$A767:$J768)</f>
        <v>0</v>
      </c>
      <c r="S93" s="25">
        <f t="shared" si="58"/>
        <v>-6782</v>
      </c>
      <c r="T93" s="7" t="s">
        <v>50</v>
      </c>
      <c r="U93" s="7"/>
      <c r="V93" s="6">
        <f t="shared" si="59"/>
        <v>-565.1666667</v>
      </c>
      <c r="W93" s="6">
        <f t="shared" si="60"/>
        <v>-565.1666667</v>
      </c>
      <c r="X93" s="6">
        <f t="shared" si="61"/>
        <v>285</v>
      </c>
      <c r="Y93" s="6">
        <f t="shared" si="62"/>
        <v>-280.1666667</v>
      </c>
      <c r="Z93" s="7"/>
      <c r="AA93" s="7"/>
      <c r="AB93" s="7"/>
      <c r="AC93" s="7"/>
      <c r="AD93" s="7"/>
      <c r="AE93" s="7"/>
      <c r="AF93" s="7"/>
      <c r="AG93" s="7"/>
      <c r="AH93" s="7"/>
      <c r="AI93" s="7"/>
      <c r="AJ93" s="7"/>
      <c r="AK93" s="7"/>
      <c r="AL93" s="7"/>
    </row>
    <row r="94" ht="12.75" customHeight="1">
      <c r="A94" s="2" t="s">
        <v>822</v>
      </c>
      <c r="B94" s="2" t="s">
        <v>304</v>
      </c>
      <c r="C94" s="7"/>
      <c r="D94" s="12"/>
      <c r="E94" s="12"/>
      <c r="F94" s="6"/>
      <c r="G94" s="2">
        <f>DSUM(Kontoutdrag_officiella!$A:$J,"t",'Villkor 1 år (2014)'!$A43:$J44)</f>
        <v>0</v>
      </c>
      <c r="H94" s="2">
        <f>DSUM(Kontoutdrag_officiella!$A:$J,"t",'Villkor 1 år (2014)'!$A109:$J110)</f>
        <v>0</v>
      </c>
      <c r="I94" s="2">
        <f>DSUM(Kontoutdrag_officiella!$A:$J,"t",'Villkor 1 år (2014)'!$A175:$J176)</f>
        <v>0</v>
      </c>
      <c r="J94" s="2">
        <f>DSUM(Kontoutdrag_officiella!$A:$J,"t",'Villkor 1 år (2014)'!$A241:$J242)</f>
        <v>0</v>
      </c>
      <c r="K94" s="2">
        <f>DSUM(Kontoutdrag_officiella!$A:$J,"t",'Villkor 1 år (2014)'!$A307:$J308)</f>
        <v>0</v>
      </c>
      <c r="L94" s="2">
        <f>DSUM(Kontoutdrag_officiella!$A:$J,"t",'Villkor 1 år (2014)'!$A373:$J374)</f>
        <v>0</v>
      </c>
      <c r="M94" s="2">
        <f>DSUM(Kontoutdrag_officiella!$A:$J,"t",'Villkor 1 år (2014)'!$A439:$J440)</f>
        <v>-400</v>
      </c>
      <c r="N94" s="2">
        <f>DSUM(Kontoutdrag_officiella!$A:$J,"t",'Villkor 1 år (2014)'!$A505:$J506)</f>
        <v>-1397</v>
      </c>
      <c r="O94" s="2">
        <f>DSUM(Kontoutdrag_officiella!$A:$J,"t",'Villkor 1 år (2014)'!$A571:$J572)</f>
        <v>0</v>
      </c>
      <c r="P94" s="2">
        <f>DSUM(Kontoutdrag_officiella!$A:$J,"t",'Villkor 1 år (2014)'!$A637:$J638)</f>
        <v>0</v>
      </c>
      <c r="Q94" s="2">
        <f>DSUM(Kontoutdrag_officiella!$A:$J,"t",'Villkor 1 år (2014)'!$A703:$J704)</f>
        <v>0</v>
      </c>
      <c r="R94" s="2">
        <f>DSUM(Kontoutdrag_officiella!$A:$J,"t",'Villkor 1 år (2014)'!$A769:$J770)</f>
        <v>0</v>
      </c>
      <c r="S94" s="25">
        <f t="shared" si="58"/>
        <v>-1797</v>
      </c>
      <c r="T94" s="7" t="s">
        <v>304</v>
      </c>
      <c r="U94" s="7"/>
      <c r="V94" s="6">
        <f t="shared" si="59"/>
        <v>-149.75</v>
      </c>
      <c r="W94" s="6">
        <f t="shared" si="60"/>
        <v>-149.75</v>
      </c>
      <c r="X94" s="6">
        <f t="shared" si="61"/>
        <v>250</v>
      </c>
      <c r="Y94" s="6">
        <f t="shared" si="62"/>
        <v>100.25</v>
      </c>
      <c r="Z94" s="7"/>
      <c r="AA94" s="7"/>
      <c r="AB94" s="7"/>
      <c r="AC94" s="7"/>
      <c r="AD94" s="7"/>
      <c r="AE94" s="7"/>
      <c r="AF94" s="7"/>
      <c r="AG94" s="7"/>
      <c r="AH94" s="7"/>
      <c r="AI94" s="7"/>
      <c r="AJ94" s="7"/>
      <c r="AK94" s="7"/>
      <c r="AL94" s="7"/>
    </row>
    <row r="95" ht="12.75" customHeight="1">
      <c r="A95" s="2" t="s">
        <v>822</v>
      </c>
      <c r="B95" s="2" t="s">
        <v>72</v>
      </c>
      <c r="C95" s="7"/>
      <c r="D95" s="7"/>
      <c r="E95" s="7"/>
      <c r="F95" s="6"/>
      <c r="G95" s="2">
        <f>DSUM(Kontoutdrag_officiella!$A:$J,"t",'Villkor 1 år (2014)'!$A45:$J46)</f>
        <v>0</v>
      </c>
      <c r="H95" s="2">
        <f>DSUM(Kontoutdrag_officiella!$A:$J,"t",'Villkor 1 år (2014)'!$A111:$J112)</f>
        <v>0</v>
      </c>
      <c r="I95" s="2">
        <f>DSUM(Kontoutdrag_officiella!$A:$J,"t",'Villkor 1 år (2014)'!$A177:$J178)</f>
        <v>0</v>
      </c>
      <c r="J95" s="2">
        <f>DSUM(Kontoutdrag_officiella!$A:$J,"t",'Villkor 1 år (2014)'!$A243:$J244)</f>
        <v>-977</v>
      </c>
      <c r="K95" s="2">
        <f>DSUM(Kontoutdrag_officiella!$A:$J,"t",'Villkor 1 år (2014)'!$A309:$J310)</f>
        <v>0</v>
      </c>
      <c r="L95" s="2">
        <f>DSUM(Kontoutdrag_officiella!$A:$J,"t",'Villkor 1 år (2014)'!$A375:$J376)</f>
        <v>-1205</v>
      </c>
      <c r="M95" s="2">
        <f>DSUM(Kontoutdrag_officiella!$A:$J,"t",'Villkor 1 år (2014)'!$A441:$J442)</f>
        <v>0</v>
      </c>
      <c r="N95" s="2">
        <f>DSUM(Kontoutdrag_officiella!$A:$J,"t",'Villkor 1 år (2014)'!$A507:$J508)</f>
        <v>0</v>
      </c>
      <c r="O95" s="2">
        <f>DSUM(Kontoutdrag_officiella!$A:$J,"t",'Villkor 1 år (2014)'!$A573:$J574)</f>
        <v>0</v>
      </c>
      <c r="P95" s="2">
        <f>DSUM(Kontoutdrag_officiella!$A:$J,"t",'Villkor 1 år (2014)'!$A639:$J640)</f>
        <v>0</v>
      </c>
      <c r="Q95" s="2">
        <f>DSUM(Kontoutdrag_officiella!$A:$J,"t",'Villkor 1 år (2014)'!$A705:$J706)</f>
        <v>0</v>
      </c>
      <c r="R95" s="2">
        <f>DSUM(Kontoutdrag_officiella!$A:$J,"t",'Villkor 1 år (2014)'!$A771:$J772)</f>
        <v>-435</v>
      </c>
      <c r="S95" s="25">
        <f t="shared" si="58"/>
        <v>-2617</v>
      </c>
      <c r="T95" s="7" t="s">
        <v>72</v>
      </c>
      <c r="U95" s="7"/>
      <c r="V95" s="6">
        <f t="shared" si="59"/>
        <v>-218.0833333</v>
      </c>
      <c r="W95" s="6">
        <f t="shared" si="60"/>
        <v>-218.0833333</v>
      </c>
      <c r="X95" s="6">
        <f t="shared" si="61"/>
        <v>200</v>
      </c>
      <c r="Y95" s="6">
        <f t="shared" si="62"/>
        <v>-18.08333333</v>
      </c>
      <c r="Z95" s="7"/>
      <c r="AA95" s="7"/>
      <c r="AB95" s="7"/>
      <c r="AC95" s="7"/>
      <c r="AD95" s="7"/>
      <c r="AE95" s="7"/>
      <c r="AF95" s="7"/>
      <c r="AG95" s="7"/>
      <c r="AH95" s="7"/>
      <c r="AI95" s="7"/>
      <c r="AJ95" s="7"/>
      <c r="AK95" s="7"/>
      <c r="AL95" s="7"/>
    </row>
    <row r="96" ht="27.75" customHeight="1">
      <c r="A96" s="2" t="s">
        <v>822</v>
      </c>
      <c r="B96" s="2" t="s">
        <v>13</v>
      </c>
      <c r="C96" s="7"/>
      <c r="D96" s="7"/>
      <c r="E96" s="7"/>
      <c r="F96" s="6"/>
      <c r="G96" s="2">
        <f>DSUM(Kontoutdrag_officiella!$A:$J,"t",'Villkor 1 år (2014)'!$A47:$J48)</f>
        <v>0</v>
      </c>
      <c r="H96" s="2">
        <f>DSUM(Kontoutdrag_officiella!$A:$J,"t",'Villkor 1 år (2014)'!$A113:$J114)</f>
        <v>-129</v>
      </c>
      <c r="I96" s="2">
        <f>DSUM(Kontoutdrag_officiella!$A:$J,"t",'Villkor 1 år (2014)'!$A179:$J180)</f>
        <v>0</v>
      </c>
      <c r="J96" s="2">
        <f>DSUM(Kontoutdrag_officiella!$A:$J,"t",'Villkor 1 år (2014)'!$A245:$J246)</f>
        <v>-297.3</v>
      </c>
      <c r="K96" s="2">
        <f>DSUM(Kontoutdrag_officiella!$A:$J,"t",'Villkor 1 år (2014)'!$A311:$J312)</f>
        <v>0</v>
      </c>
      <c r="L96" s="2">
        <f>DSUM(Kontoutdrag_officiella!$A:$J,"t",'Villkor 1 år (2014)'!$A377:$J378)</f>
        <v>0</v>
      </c>
      <c r="M96" s="2">
        <f>DSUM(Kontoutdrag_officiella!$A:$J,"t",'Villkor 1 år (2014)'!$A443:$J444)</f>
        <v>-7480.5</v>
      </c>
      <c r="N96" s="2">
        <f>DSUM(Kontoutdrag_officiella!$A:$J,"t",'Villkor 1 år (2014)'!$A509:$J510)</f>
        <v>0</v>
      </c>
      <c r="O96" s="2">
        <f>DSUM(Kontoutdrag_officiella!$A:$J,"t",'Villkor 1 år (2014)'!$A575:$J576)</f>
        <v>-200</v>
      </c>
      <c r="P96" s="2">
        <f>DSUM(Kontoutdrag_officiella!$A:$J,"t",'Villkor 1 år (2014)'!$A641:$J642)</f>
        <v>-41</v>
      </c>
      <c r="Q96" s="2">
        <f>DSUM(Kontoutdrag_officiella!$A:$J,"t",'Villkor 1 år (2014)'!$A707:$J708)</f>
        <v>0</v>
      </c>
      <c r="R96" s="2">
        <f>DSUM(Kontoutdrag_officiella!$A:$J,"t",'Villkor 1 år (2014)'!$A773:$J774)</f>
        <v>939</v>
      </c>
      <c r="S96" s="25">
        <f t="shared" si="58"/>
        <v>-7208.8</v>
      </c>
      <c r="T96" s="7" t="s">
        <v>13</v>
      </c>
      <c r="U96" s="7"/>
      <c r="V96" s="6">
        <f t="shared" si="59"/>
        <v>-600.7333333</v>
      </c>
      <c r="W96" s="6">
        <f t="shared" si="60"/>
        <v>-600.7333333</v>
      </c>
      <c r="X96" s="6">
        <f t="shared" si="61"/>
        <v>1131.72</v>
      </c>
      <c r="Y96" s="6">
        <f t="shared" si="62"/>
        <v>530.9866667</v>
      </c>
      <c r="Z96" s="7"/>
      <c r="AA96" s="7"/>
      <c r="AB96" s="7"/>
      <c r="AC96" s="7"/>
      <c r="AD96" s="7"/>
      <c r="AE96" s="7"/>
      <c r="AF96" s="7"/>
      <c r="AG96" s="7"/>
      <c r="AH96" s="7"/>
      <c r="AI96" s="7"/>
      <c r="AJ96" s="7"/>
      <c r="AK96" s="7"/>
      <c r="AL96" s="7"/>
    </row>
    <row r="97" ht="12.75" customHeight="1">
      <c r="A97" s="2" t="s">
        <v>822</v>
      </c>
      <c r="B97" s="2" t="s">
        <v>18</v>
      </c>
      <c r="C97" s="7"/>
      <c r="D97" s="7"/>
      <c r="E97" s="7"/>
      <c r="F97" s="6"/>
      <c r="G97" s="2">
        <f>DSUM(Kontoutdrag_officiella!$A:$J,"t",'Villkor 1 år (2014)'!$A49:$J50)</f>
        <v>-250</v>
      </c>
      <c r="H97" s="2">
        <f>DSUM(Kontoutdrag_officiella!$A:$J,"t",'Villkor 1 år (2014)'!$A115:$J116)</f>
        <v>-250</v>
      </c>
      <c r="I97" s="2">
        <f>DSUM(Kontoutdrag_officiella!$A:$J,"t",'Villkor 1 år (2014)'!$A181:$J182)</f>
        <v>-250</v>
      </c>
      <c r="J97" s="2">
        <f>DSUM(Kontoutdrag_officiella!$A:$J,"t",'Villkor 1 år (2014)'!$A247:$J248)</f>
        <v>-250</v>
      </c>
      <c r="K97" s="2">
        <f>DSUM(Kontoutdrag_officiella!$A:$J,"t",'Villkor 1 år (2014)'!$A313:$J314)</f>
        <v>-250</v>
      </c>
      <c r="L97" s="2">
        <f>DSUM(Kontoutdrag_officiella!$A:$J,"t",'Villkor 1 år (2014)'!$A379:$J380)</f>
        <v>22961</v>
      </c>
      <c r="M97" s="2">
        <f>DSUM(Kontoutdrag_officiella!$A:$J,"t",'Villkor 1 år (2014)'!$A445:$J446)</f>
        <v>-250</v>
      </c>
      <c r="N97" s="2">
        <f>DSUM(Kontoutdrag_officiella!$A:$J,"t",'Villkor 1 år (2014)'!$A511:$J512)</f>
        <v>-250</v>
      </c>
      <c r="O97" s="2">
        <f>DSUM(Kontoutdrag_officiella!$A:$J,"t",'Villkor 1 år (2014)'!$A577:$J578)</f>
        <v>-250</v>
      </c>
      <c r="P97" s="2">
        <f>DSUM(Kontoutdrag_officiella!$A:$J,"t",'Villkor 1 år (2014)'!$A643:$J644)</f>
        <v>-250</v>
      </c>
      <c r="Q97" s="2">
        <f>DSUM(Kontoutdrag_officiella!$A:$J,"t",'Villkor 1 år (2014)'!$A709:$J710)</f>
        <v>-250</v>
      </c>
      <c r="R97" s="2">
        <f>DSUM(Kontoutdrag_officiella!$A:$J,"t",'Villkor 1 år (2014)'!$A775:$J776)</f>
        <v>-250</v>
      </c>
      <c r="S97" s="25">
        <f t="shared" si="58"/>
        <v>20211</v>
      </c>
      <c r="T97" s="7" t="s">
        <v>18</v>
      </c>
      <c r="U97" s="7"/>
      <c r="V97" s="6">
        <f t="shared" si="59"/>
        <v>1684.25</v>
      </c>
      <c r="W97" s="6">
        <f t="shared" si="60"/>
        <v>1684.25</v>
      </c>
      <c r="X97" s="6">
        <f t="shared" si="61"/>
        <v>2507</v>
      </c>
      <c r="Y97" s="6">
        <f t="shared" si="62"/>
        <v>4191.25</v>
      </c>
      <c r="Z97" s="7"/>
      <c r="AA97" s="7"/>
      <c r="AB97" s="7"/>
      <c r="AC97" s="7"/>
      <c r="AD97" s="7"/>
      <c r="AE97" s="7"/>
      <c r="AF97" s="7"/>
      <c r="AG97" s="7"/>
      <c r="AH97" s="7"/>
      <c r="AI97" s="7"/>
      <c r="AJ97" s="7"/>
      <c r="AK97" s="7"/>
      <c r="AL97" s="7"/>
    </row>
    <row r="98" ht="12.75" customHeight="1">
      <c r="A98" s="2" t="s">
        <v>822</v>
      </c>
      <c r="B98" s="2" t="s">
        <v>153</v>
      </c>
      <c r="C98" s="7"/>
      <c r="D98" s="7"/>
      <c r="E98" s="7"/>
      <c r="F98" s="6"/>
      <c r="G98" s="2">
        <f>DSUM(Kontoutdrag_officiella!$A:$J,"t",'Villkor 1 år (2014)'!$A51:$J52)</f>
        <v>0</v>
      </c>
      <c r="H98" s="2">
        <f>DSUM(Kontoutdrag_officiella!$A:$J,"t",'Villkor 1 år (2014)'!$A117:$J118)</f>
        <v>0</v>
      </c>
      <c r="I98" s="2">
        <f>DSUM(Kontoutdrag_officiella!$A:$J,"t",'Villkor 1 år (2014)'!$A183:$J184)</f>
        <v>0</v>
      </c>
      <c r="J98" s="2">
        <f>DSUM(Kontoutdrag_officiella!$A:$J,"t",'Villkor 1 år (2014)'!$A249:$J250)</f>
        <v>-5085</v>
      </c>
      <c r="K98" s="2">
        <f>DSUM(Kontoutdrag_officiella!$A:$J,"t",'Villkor 1 år (2014)'!$A315:$J316)</f>
        <v>0</v>
      </c>
      <c r="L98" s="2">
        <f>DSUM(Kontoutdrag_officiella!$A:$J,"t",'Villkor 1 år (2014)'!$A381:$J382)</f>
        <v>-255.95</v>
      </c>
      <c r="M98" s="2">
        <f>DSUM(Kontoutdrag_officiella!$A:$J,"t",'Villkor 1 år (2014)'!$A447:$J448)</f>
        <v>-18146.42</v>
      </c>
      <c r="N98" s="2">
        <f>DSUM(Kontoutdrag_officiella!$A:$J,"t",'Villkor 1 år (2014)'!$A513:$J514)</f>
        <v>-3615.31</v>
      </c>
      <c r="O98" s="2">
        <f>DSUM(Kontoutdrag_officiella!$A:$J,"t",'Villkor 1 år (2014)'!$A579:$J580)</f>
        <v>137.96</v>
      </c>
      <c r="P98" s="2">
        <f>DSUM(Kontoutdrag_officiella!$A:$J,"t",'Villkor 1 år (2014)'!$A645:$J646)</f>
        <v>121</v>
      </c>
      <c r="Q98" s="2">
        <f>DSUM(Kontoutdrag_officiella!$A:$J,"t",'Villkor 1 år (2014)'!$A711:$J712)</f>
        <v>0</v>
      </c>
      <c r="R98" s="2">
        <f>DSUM(Kontoutdrag_officiella!$A:$J,"t",'Villkor 1 år (2014)'!$A777:$J778)</f>
        <v>0</v>
      </c>
      <c r="S98" s="25">
        <f t="shared" si="58"/>
        <v>-26843.72</v>
      </c>
      <c r="T98" s="6" t="s">
        <v>153</v>
      </c>
      <c r="U98" s="7"/>
      <c r="V98" s="6">
        <f t="shared" si="59"/>
        <v>-2236.976667</v>
      </c>
      <c r="W98" s="6">
        <f t="shared" si="60"/>
        <v>-2236.976667</v>
      </c>
      <c r="X98" s="6">
        <f t="shared" si="61"/>
        <v>1250</v>
      </c>
      <c r="Y98" s="6">
        <f t="shared" si="62"/>
        <v>-986.9766667</v>
      </c>
      <c r="Z98" s="7"/>
      <c r="AA98" s="7"/>
      <c r="AB98" s="7"/>
      <c r="AC98" s="7"/>
      <c r="AD98" s="7"/>
      <c r="AE98" s="7"/>
      <c r="AF98" s="7"/>
      <c r="AG98" s="7"/>
      <c r="AH98" s="7"/>
      <c r="AI98" s="7"/>
      <c r="AJ98" s="7"/>
      <c r="AK98" s="7"/>
      <c r="AL98" s="7"/>
    </row>
    <row r="99" ht="12.75" customHeight="1">
      <c r="A99" s="2" t="s">
        <v>822</v>
      </c>
      <c r="B99" s="2" t="s">
        <v>805</v>
      </c>
      <c r="C99" s="7"/>
      <c r="D99" s="7"/>
      <c r="E99" s="7"/>
      <c r="F99" s="6"/>
      <c r="G99" s="2">
        <f>DSUM(Kontoutdrag_officiella!$A:$J,"t",'Villkor 1 år (2014)'!$A53:$J54)</f>
        <v>0</v>
      </c>
      <c r="H99" s="2">
        <f>DSUM(Kontoutdrag_officiella!$A:$J,"t",'Villkor 1 år (2014)'!$A119:$J120)</f>
        <v>0</v>
      </c>
      <c r="I99" s="2">
        <f>DSUM(Kontoutdrag_officiella!$A:$J,"t",'Villkor 1 år (2014)'!$A185:$J186)</f>
        <v>0</v>
      </c>
      <c r="J99" s="2">
        <f>DSUM(Kontoutdrag_officiella!$A:$J,"t",'Villkor 1 år (2014)'!$A251:$J252)</f>
        <v>0</v>
      </c>
      <c r="K99" s="2">
        <f>DSUM(Kontoutdrag_officiella!$A:$J,"t",'Villkor 1 år (2014)'!$A317:$J318)</f>
        <v>0</v>
      </c>
      <c r="L99" s="2">
        <f>DSUM(Kontoutdrag_officiella!$A:$J,"t",'Villkor 1 år (2014)'!$A383:$J384)</f>
        <v>0</v>
      </c>
      <c r="M99" s="2">
        <f>DSUM(Kontoutdrag_officiella!$A:$J,"t",'Villkor 1 år (2014)'!$A449:$J450)</f>
        <v>0</v>
      </c>
      <c r="N99" s="2">
        <f>DSUM(Kontoutdrag_officiella!$A:$J,"t",'Villkor 1 år (2014)'!$A515:$J516)</f>
        <v>0</v>
      </c>
      <c r="O99" s="2">
        <f>DSUM(Kontoutdrag_officiella!$A:$J,"t",'Villkor 1 år (2014)'!$A581:$J582)</f>
        <v>0</v>
      </c>
      <c r="P99" s="2">
        <f>DSUM(Kontoutdrag_officiella!$A:$J,"t",'Villkor 1 år (2014)'!$A647:$J648)</f>
        <v>0</v>
      </c>
      <c r="Q99" s="2">
        <f>DSUM(Kontoutdrag_officiella!$A:$J,"t",'Villkor 1 år (2014)'!$A713:$J714)</f>
        <v>0</v>
      </c>
      <c r="R99" s="2">
        <f>DSUM(Kontoutdrag_officiella!$A:$J,"t",'Villkor 1 år (2014)'!$A779:$J780)</f>
        <v>0</v>
      </c>
      <c r="S99" s="25">
        <f t="shared" si="58"/>
        <v>0</v>
      </c>
      <c r="T99" s="7" t="s">
        <v>805</v>
      </c>
      <c r="U99" s="7"/>
      <c r="V99" s="6">
        <f t="shared" si="59"/>
        <v>0</v>
      </c>
      <c r="W99" s="6">
        <f t="shared" si="60"/>
        <v>0</v>
      </c>
      <c r="X99" s="6">
        <f t="shared" si="61"/>
        <v>350</v>
      </c>
      <c r="Y99" s="6">
        <f t="shared" si="62"/>
        <v>350</v>
      </c>
      <c r="Z99" s="7"/>
      <c r="AA99" s="7"/>
      <c r="AB99" s="7"/>
      <c r="AC99" s="7"/>
      <c r="AD99" s="7"/>
      <c r="AE99" s="7"/>
      <c r="AF99" s="7"/>
      <c r="AG99" s="7"/>
      <c r="AH99" s="7"/>
      <c r="AI99" s="7"/>
      <c r="AJ99" s="7"/>
      <c r="AK99" s="7"/>
      <c r="AL99" s="7"/>
    </row>
    <row r="100" ht="12.75" customHeight="1">
      <c r="A100" s="2" t="s">
        <v>822</v>
      </c>
      <c r="B100" s="2" t="s">
        <v>31</v>
      </c>
      <c r="C100" s="7"/>
      <c r="D100" s="12"/>
      <c r="E100" s="12"/>
      <c r="F100" s="6"/>
      <c r="G100" s="2">
        <f>DSUM(Kontoutdrag_officiella!$A:$J,"t",'Villkor 1 år (2014)'!$A55:$J56)</f>
        <v>635</v>
      </c>
      <c r="H100" s="2">
        <f>DSUM(Kontoutdrag_officiella!$A:$J,"t",'Villkor 1 år (2014)'!$A121:$J122)</f>
        <v>0</v>
      </c>
      <c r="I100" s="2">
        <f>DSUM(Kontoutdrag_officiella!$A:$J,"t",'Villkor 1 år (2014)'!$A187:$J188)</f>
        <v>-150</v>
      </c>
      <c r="J100" s="2">
        <f>DSUM(Kontoutdrag_officiella!$A:$J,"t",'Villkor 1 år (2014)'!$A253:$J254)</f>
        <v>2390</v>
      </c>
      <c r="K100" s="2">
        <f>DSUM(Kontoutdrag_officiella!$A:$J,"t",'Villkor 1 år (2014)'!$A319:$J320)</f>
        <v>-8332</v>
      </c>
      <c r="L100" s="2">
        <f>DSUM(Kontoutdrag_officiella!$A:$J,"t",'Villkor 1 år (2014)'!$A385:$J386)</f>
        <v>-1203</v>
      </c>
      <c r="M100" s="2">
        <f>DSUM(Kontoutdrag_officiella!$A:$J,"t",'Villkor 1 år (2014)'!$A451:$J452)</f>
        <v>0</v>
      </c>
      <c r="N100" s="2">
        <f>DSUM(Kontoutdrag_officiella!$A:$J,"t",'Villkor 1 år (2014)'!$A517:$J518)</f>
        <v>0</v>
      </c>
      <c r="O100" s="2">
        <f>DSUM(Kontoutdrag_officiella!$A:$J,"t",'Villkor 1 år (2014)'!$A583:$J584)</f>
        <v>-530</v>
      </c>
      <c r="P100" s="2">
        <f>DSUM(Kontoutdrag_officiella!$A:$J,"t",'Villkor 1 år (2014)'!$A649:$J650)</f>
        <v>0</v>
      </c>
      <c r="Q100" s="2">
        <f>DSUM(Kontoutdrag_officiella!$A:$J,"t",'Villkor 1 år (2014)'!$A715:$J716)</f>
        <v>-169.9</v>
      </c>
      <c r="R100" s="2">
        <f>DSUM(Kontoutdrag_officiella!$A:$J,"t",'Villkor 1 år (2014)'!$A781:$J782)</f>
        <v>-364.11</v>
      </c>
      <c r="S100" s="25">
        <f t="shared" si="58"/>
        <v>-7724.01</v>
      </c>
      <c r="T100" s="7" t="s">
        <v>31</v>
      </c>
      <c r="U100" s="7"/>
      <c r="V100" s="6">
        <f t="shared" si="59"/>
        <v>-643.6675</v>
      </c>
      <c r="W100" s="6">
        <f t="shared" si="60"/>
        <v>-643.6675</v>
      </c>
      <c r="X100" s="6">
        <f t="shared" si="61"/>
        <v>450</v>
      </c>
      <c r="Y100" s="6">
        <f t="shared" si="62"/>
        <v>-193.6675</v>
      </c>
      <c r="Z100" s="7"/>
      <c r="AA100" s="7"/>
      <c r="AB100" s="7"/>
      <c r="AC100" s="7"/>
      <c r="AD100" s="7"/>
      <c r="AE100" s="7"/>
      <c r="AF100" s="7"/>
      <c r="AG100" s="7"/>
      <c r="AH100" s="7"/>
      <c r="AI100" s="7"/>
      <c r="AJ100" s="7"/>
      <c r="AK100" s="7"/>
      <c r="AL100" s="7"/>
      <c r="AM100" s="7"/>
      <c r="AN100" s="7"/>
      <c r="AO100" s="7"/>
    </row>
    <row r="101" ht="12.75" customHeight="1">
      <c r="A101" s="2" t="s">
        <v>822</v>
      </c>
      <c r="B101" s="2" t="s">
        <v>123</v>
      </c>
      <c r="C101" s="7"/>
      <c r="D101" s="7"/>
      <c r="E101" s="7"/>
      <c r="F101" s="6"/>
      <c r="G101" s="2">
        <f>DSUM(Kontoutdrag_officiella!$A:$J,"t",'Villkor 1 år (2014)'!$A57:$J58)</f>
        <v>-399</v>
      </c>
      <c r="H101" s="2">
        <f>DSUM(Kontoutdrag_officiella!$A:$J,"t",'Villkor 1 år (2014)'!$A123:$J124)</f>
        <v>0</v>
      </c>
      <c r="I101" s="2">
        <f>DSUM(Kontoutdrag_officiella!$A:$J,"t",'Villkor 1 år (2014)'!$A189:$J190)</f>
        <v>0</v>
      </c>
      <c r="J101" s="2">
        <f>DSUM(Kontoutdrag_officiella!$A:$J,"t",'Villkor 1 år (2014)'!$A255:$J256)</f>
        <v>0</v>
      </c>
      <c r="K101" s="2">
        <f>DSUM(Kontoutdrag_officiella!$A:$J,"t",'Villkor 1 år (2014)'!$A321:$J322)</f>
        <v>-499</v>
      </c>
      <c r="L101" s="2">
        <f>DSUM(Kontoutdrag_officiella!$A:$J,"t",'Villkor 1 år (2014)'!$A387:$J388)</f>
        <v>-2674</v>
      </c>
      <c r="M101" s="2">
        <f>DSUM(Kontoutdrag_officiella!$A:$J,"t",'Villkor 1 år (2014)'!$A453:$J454)</f>
        <v>0</v>
      </c>
      <c r="N101" s="2">
        <f>DSUM(Kontoutdrag_officiella!$A:$J,"t",'Villkor 1 år (2014)'!$A519:$J520)</f>
        <v>0</v>
      </c>
      <c r="O101" s="2">
        <f>DSUM(Kontoutdrag_officiella!$A:$J,"t",'Villkor 1 år (2014)'!$A585:$J586)</f>
        <v>0</v>
      </c>
      <c r="P101" s="2">
        <f>DSUM(Kontoutdrag_officiella!$A:$J,"t",'Villkor 1 år (2014)'!$A651:$J652)</f>
        <v>0</v>
      </c>
      <c r="Q101" s="2">
        <f>DSUM(Kontoutdrag_officiella!$A:$J,"t",'Villkor 1 år (2014)'!$A717:$J718)</f>
        <v>0</v>
      </c>
      <c r="R101" s="2">
        <f>DSUM(Kontoutdrag_officiella!$A:$J,"t",'Villkor 1 år (2014)'!$A783:$J784)</f>
        <v>0</v>
      </c>
      <c r="S101" s="25">
        <f t="shared" si="58"/>
        <v>-3572</v>
      </c>
      <c r="T101" s="7" t="s">
        <v>123</v>
      </c>
      <c r="U101" s="7"/>
      <c r="V101" s="6">
        <f t="shared" si="59"/>
        <v>-297.6666667</v>
      </c>
      <c r="W101" s="6">
        <f t="shared" si="60"/>
        <v>-297.6666667</v>
      </c>
      <c r="X101" s="6">
        <f t="shared" si="61"/>
        <v>150</v>
      </c>
      <c r="Y101" s="6">
        <f t="shared" si="62"/>
        <v>-147.6666667</v>
      </c>
      <c r="Z101" s="7"/>
      <c r="AA101" s="7"/>
      <c r="AB101" s="7"/>
      <c r="AC101" s="7"/>
      <c r="AD101" s="7"/>
      <c r="AE101" s="7"/>
      <c r="AF101" s="7"/>
      <c r="AG101" s="7"/>
      <c r="AH101" s="7"/>
      <c r="AI101" s="7"/>
      <c r="AJ101" s="7"/>
      <c r="AK101" s="7"/>
      <c r="AL101" s="7"/>
    </row>
    <row r="102" ht="12.75" customHeight="1">
      <c r="A102" s="2" t="s">
        <v>822</v>
      </c>
      <c r="B102" s="2" t="s">
        <v>35</v>
      </c>
      <c r="C102" s="7"/>
      <c r="G102" s="2">
        <f>DSUM(Kontoutdrag_officiella!$A:$J,"t",'Villkor 1 år (2014)'!$A59:$J60)</f>
        <v>2561</v>
      </c>
      <c r="H102" s="2">
        <f>DSUM(Kontoutdrag_officiella!$A:$J,"t",'Villkor 1 år (2014)'!$A125:$J126)</f>
        <v>-1712.74</v>
      </c>
      <c r="I102" s="2">
        <f>DSUM(Kontoutdrag_officiella!$A:$J,"t",'Villkor 1 år (2014)'!$A191:$J192)</f>
        <v>-849</v>
      </c>
      <c r="J102" s="2">
        <f>DSUM(Kontoutdrag_officiella!$A:$J,"t",'Villkor 1 år (2014)'!$A257:$J258)</f>
        <v>-1526</v>
      </c>
      <c r="K102" s="2">
        <f>DSUM(Kontoutdrag_officiella!$A:$J,"t",'Villkor 1 år (2014)'!$A323:$J324)</f>
        <v>-717.5</v>
      </c>
      <c r="L102" s="2">
        <f>DSUM(Kontoutdrag_officiella!$A:$J,"t",'Villkor 1 år (2014)'!$A389:$J390)</f>
        <v>-317.6</v>
      </c>
      <c r="M102" s="2">
        <f>DSUM(Kontoutdrag_officiella!$A:$J,"t",'Villkor 1 år (2014)'!$A455:$J456)</f>
        <v>0</v>
      </c>
      <c r="N102" s="2">
        <f>DSUM(Kontoutdrag_officiella!$A:$J,"t",'Villkor 1 år (2014)'!$A521:$J522)</f>
        <v>3000</v>
      </c>
      <c r="O102" s="2">
        <f>DSUM(Kontoutdrag_officiella!$A:$J,"t",'Villkor 1 år (2014)'!$A587:$J588)</f>
        <v>-9008</v>
      </c>
      <c r="P102" s="2">
        <f>DSUM(Kontoutdrag_officiella!$A:$J,"t",'Villkor 1 år (2014)'!$A653:$J654)</f>
        <v>-71.9</v>
      </c>
      <c r="Q102" s="2">
        <f>DSUM(Kontoutdrag_officiella!$A:$J,"t",'Villkor 1 år (2014)'!$A719:$J720)</f>
        <v>-6565</v>
      </c>
      <c r="R102" s="2">
        <f>DSUM(Kontoutdrag_officiella!$A:$J,"t",'Villkor 1 år (2014)'!$A785:$J786)</f>
        <v>-300</v>
      </c>
      <c r="S102" s="25">
        <f t="shared" si="58"/>
        <v>-15506.74</v>
      </c>
      <c r="T102" s="7" t="s">
        <v>35</v>
      </c>
      <c r="U102" s="7"/>
      <c r="V102" s="6">
        <f t="shared" si="59"/>
        <v>-1292.228333</v>
      </c>
      <c r="W102" s="6">
        <f t="shared" si="60"/>
        <v>-1292.228333</v>
      </c>
      <c r="X102" s="6">
        <f t="shared" si="61"/>
        <v>1000</v>
      </c>
      <c r="Y102" s="6">
        <f t="shared" si="62"/>
        <v>-292.2283333</v>
      </c>
    </row>
    <row r="103" ht="12.75" customHeight="1">
      <c r="A103" s="2" t="s">
        <v>822</v>
      </c>
      <c r="B103" s="2" t="s">
        <v>210</v>
      </c>
      <c r="C103" s="7"/>
      <c r="G103" s="2">
        <f>DSUM(Kontoutdrag_officiella!$A:$J,"t",'Villkor 1 år (2014)'!$A61:$J62)</f>
        <v>0</v>
      </c>
      <c r="H103" s="2">
        <f>DSUM(Kontoutdrag_officiella!$A:$J,"t",'Villkor 1 år (2014)'!$A127:$J128)</f>
        <v>0</v>
      </c>
      <c r="I103" s="2">
        <f>DSUM(Kontoutdrag_officiella!$A:$J,"t",'Villkor 1 år (2014)'!$A193:$J194)</f>
        <v>0</v>
      </c>
      <c r="J103" s="2">
        <f>DSUM(Kontoutdrag_officiella!$A:$J,"t",'Villkor 1 år (2014)'!$A259:$J260)</f>
        <v>0</v>
      </c>
      <c r="K103" s="2">
        <f>DSUM(Kontoutdrag_officiella!$A:$J,"t",'Villkor 1 år (2014)'!$A325:$J326)</f>
        <v>0</v>
      </c>
      <c r="L103" s="2">
        <f>DSUM(Kontoutdrag_officiella!$A:$J,"t",'Villkor 1 år (2014)'!$A391:$J392)</f>
        <v>0</v>
      </c>
      <c r="M103" s="2">
        <f>DSUM(Kontoutdrag_officiella!$A:$J,"t",'Villkor 1 år (2014)'!$A457:$J458)</f>
        <v>0</v>
      </c>
      <c r="N103" s="2">
        <f>DSUM(Kontoutdrag_officiella!$A:$J,"t",'Villkor 1 år (2014)'!$A523:$J524)</f>
        <v>0</v>
      </c>
      <c r="O103" s="2">
        <f>DSUM(Kontoutdrag_officiella!$A:$J,"t",'Villkor 1 år (2014)'!$A589:$J590)</f>
        <v>0</v>
      </c>
      <c r="P103" s="2">
        <f>DSUM(Kontoutdrag_officiella!$A:$J,"t",'Villkor 1 år (2014)'!$A655:$J656)</f>
        <v>0</v>
      </c>
      <c r="Q103" s="2">
        <f>DSUM(Kontoutdrag_officiella!$A:$J,"t",'Villkor 1 år (2014)'!$A721:$J722)</f>
        <v>-1875</v>
      </c>
      <c r="R103" s="2">
        <f>DSUM(Kontoutdrag_officiella!$A:$J,"t",'Villkor 1 år (2014)'!$A787:$J788)</f>
        <v>1325</v>
      </c>
      <c r="S103" s="25">
        <f t="shared" si="58"/>
        <v>-550</v>
      </c>
      <c r="T103" s="7" t="s">
        <v>210</v>
      </c>
      <c r="U103" s="7"/>
      <c r="V103" s="6">
        <f t="shared" si="59"/>
        <v>-45.83333333</v>
      </c>
      <c r="W103" s="6">
        <f t="shared" si="60"/>
        <v>-45.83333333</v>
      </c>
      <c r="X103" s="6">
        <f t="shared" si="61"/>
        <v>0</v>
      </c>
      <c r="Y103" s="6">
        <f t="shared" si="62"/>
        <v>-45.83333333</v>
      </c>
    </row>
    <row r="104" ht="12.75" customHeight="1">
      <c r="A104" s="2" t="s">
        <v>822</v>
      </c>
      <c r="B104" s="2" t="s">
        <v>808</v>
      </c>
      <c r="C104" s="7"/>
      <c r="G104" s="2">
        <f>DSUM(Kontoutdrag_officiella!$A:$J,"t",'Villkor 1 år (2014)'!$A63:$J64)</f>
        <v>0</v>
      </c>
      <c r="H104" s="2">
        <f>DSUM(Kontoutdrag_officiella!$A:$J,"t",'Villkor 1 år (2014)'!$A129:$J130)</f>
        <v>0</v>
      </c>
      <c r="I104" s="2">
        <f>DSUM(Kontoutdrag_officiella!$A:$J,"t",'Villkor 1 år (2014)'!$A195:$J196)</f>
        <v>0</v>
      </c>
      <c r="J104" s="2">
        <f>DSUM(Kontoutdrag_officiella!$A:$J,"t",'Villkor 1 år (2014)'!$A261:$J262)</f>
        <v>0</v>
      </c>
      <c r="K104" s="2">
        <f>DSUM(Kontoutdrag_officiella!$A:$J,"t",'Villkor 1 år (2014)'!$A327:$J328)</f>
        <v>0</v>
      </c>
      <c r="L104" s="2">
        <f>DSUM(Kontoutdrag_officiella!$A:$J,"t",'Villkor 1 år (2014)'!$A393:$J394)</f>
        <v>0</v>
      </c>
      <c r="M104" s="2">
        <f>DSUM(Kontoutdrag_officiella!$A:$J,"t",'Villkor 1 år (2014)'!$A459:$J460)</f>
        <v>0</v>
      </c>
      <c r="N104" s="2">
        <f>DSUM(Kontoutdrag_officiella!$A:$J,"t",'Villkor 1 år (2014)'!$A525:$J526)</f>
        <v>0</v>
      </c>
      <c r="O104" s="2">
        <f>DSUM(Kontoutdrag_officiella!$A:$J,"t",'Villkor 1 år (2014)'!$A591:$J592)</f>
        <v>0</v>
      </c>
      <c r="P104" s="2">
        <f>DSUM(Kontoutdrag_officiella!$A:$J,"t",'Villkor 1 år (2014)'!$A657:$J658)</f>
        <v>0</v>
      </c>
      <c r="Q104" s="2">
        <f>DSUM(Kontoutdrag_officiella!$A:$J,"t",'Villkor 1 år (2014)'!$A723:$J724)</f>
        <v>0</v>
      </c>
      <c r="R104" s="2">
        <f>DSUM(Kontoutdrag_officiella!$A:$J,"t",'Villkor 1 år (2014)'!$A789:$J790)</f>
        <v>0</v>
      </c>
      <c r="S104" s="25">
        <f t="shared" si="58"/>
        <v>0</v>
      </c>
      <c r="T104" s="7" t="s">
        <v>808</v>
      </c>
      <c r="U104" s="7"/>
      <c r="V104" s="6">
        <f t="shared" si="59"/>
        <v>0</v>
      </c>
      <c r="W104" s="6">
        <f t="shared" si="60"/>
        <v>0</v>
      </c>
      <c r="X104" s="6">
        <f t="shared" si="61"/>
        <v>0</v>
      </c>
      <c r="Y104" s="6">
        <f t="shared" si="62"/>
        <v>0</v>
      </c>
    </row>
    <row r="105" ht="12.75" customHeight="1">
      <c r="A105" s="2" t="s">
        <v>822</v>
      </c>
      <c r="B105" s="2" t="s">
        <v>810</v>
      </c>
      <c r="C105" s="7"/>
      <c r="G105" s="2">
        <f>DSUM(Kontoutdrag_officiella!$A:$J,"t",'Villkor 1 år (2014)'!$A65:$J66)</f>
        <v>0</v>
      </c>
      <c r="H105" s="2">
        <f>DSUM(Kontoutdrag_officiella!$A:$J,"t",'Villkor 1 år (2014)'!$A131:$J132)</f>
        <v>0</v>
      </c>
      <c r="I105" s="2">
        <f>DSUM(Kontoutdrag_officiella!$A:$J,"t",'Villkor 1 år (2014)'!$A197:$J198)</f>
        <v>0</v>
      </c>
      <c r="J105" s="2">
        <f>DSUM(Kontoutdrag_officiella!$A:$J,"t",'Villkor 1 år (2014)'!$A263:$J264)</f>
        <v>0</v>
      </c>
      <c r="K105" s="2">
        <f>DSUM(Kontoutdrag_officiella!$A:$J,"t",'Villkor 1 år (2014)'!$A329:$J330)</f>
        <v>0</v>
      </c>
      <c r="L105" s="2">
        <f>DSUM(Kontoutdrag_officiella!$A:$J,"t",'Villkor 1 år (2014)'!$A395:$J396)</f>
        <v>0</v>
      </c>
      <c r="M105" s="2">
        <f>DSUM(Kontoutdrag_officiella!$A:$J,"t",'Villkor 1 år (2014)'!$A461:$J462)</f>
        <v>0</v>
      </c>
      <c r="N105" s="2">
        <f>DSUM(Kontoutdrag_officiella!$A:$J,"t",'Villkor 1 år (2014)'!$A527:$J528)</f>
        <v>0</v>
      </c>
      <c r="O105" s="2">
        <f>DSUM(Kontoutdrag_officiella!$A:$J,"t",'Villkor 1 år (2014)'!$A593:$J594)</f>
        <v>0</v>
      </c>
      <c r="P105" s="2">
        <f>DSUM(Kontoutdrag_officiella!$A:$J,"t",'Villkor 1 år (2014)'!$A659:$J660)</f>
        <v>0</v>
      </c>
      <c r="Q105" s="2">
        <f>DSUM(Kontoutdrag_officiella!$A:$J,"t",'Villkor 1 år (2014)'!$A725:$J726)</f>
        <v>0</v>
      </c>
      <c r="R105" s="2">
        <f>DSUM(Kontoutdrag_officiella!$A:$J,"t",'Villkor 1 år (2014)'!$A791:$J792)</f>
        <v>0</v>
      </c>
      <c r="S105" s="25">
        <f t="shared" si="58"/>
        <v>0</v>
      </c>
      <c r="T105" s="7" t="s">
        <v>810</v>
      </c>
      <c r="U105" s="7"/>
      <c r="V105" s="6">
        <f t="shared" si="59"/>
        <v>0</v>
      </c>
      <c r="W105" s="6">
        <f t="shared" si="60"/>
        <v>0</v>
      </c>
      <c r="X105" s="6">
        <f t="shared" si="61"/>
        <v>280</v>
      </c>
      <c r="Y105" s="6">
        <f t="shared" si="62"/>
        <v>280</v>
      </c>
    </row>
    <row r="106" ht="12.75" customHeight="1">
      <c r="A106" s="2" t="s">
        <v>822</v>
      </c>
      <c r="B106" s="2" t="s">
        <v>744</v>
      </c>
      <c r="C106" s="7"/>
      <c r="G106" s="2">
        <f t="shared" ref="G106:R106" si="63">SUM(G73:G105)</f>
        <v>-15973.76</v>
      </c>
      <c r="H106" s="2">
        <f t="shared" si="63"/>
        <v>-21139.84</v>
      </c>
      <c r="I106" s="2">
        <f t="shared" si="63"/>
        <v>-19304.14</v>
      </c>
      <c r="J106" s="2">
        <f t="shared" si="63"/>
        <v>-24443.28</v>
      </c>
      <c r="K106" s="2">
        <f t="shared" si="63"/>
        <v>-32235.8</v>
      </c>
      <c r="L106" s="2">
        <f t="shared" si="63"/>
        <v>1233.17</v>
      </c>
      <c r="M106" s="2">
        <f t="shared" si="63"/>
        <v>-40091.72</v>
      </c>
      <c r="N106" s="2">
        <f t="shared" si="63"/>
        <v>-25772.91</v>
      </c>
      <c r="O106" s="2">
        <f t="shared" si="63"/>
        <v>-28404.46</v>
      </c>
      <c r="P106" s="2">
        <f t="shared" si="63"/>
        <v>-20981.16</v>
      </c>
      <c r="Q106" s="2">
        <f t="shared" si="63"/>
        <v>-30100.78</v>
      </c>
      <c r="R106" s="2">
        <f t="shared" si="63"/>
        <v>-18261.5</v>
      </c>
      <c r="S106" s="25">
        <f t="shared" si="58"/>
        <v>-275476.18</v>
      </c>
      <c r="T106" s="25"/>
      <c r="U106" s="7"/>
      <c r="V106" s="6">
        <f>SUM(V73:V102)</f>
        <v>-22910.515</v>
      </c>
      <c r="W106" s="6">
        <f>SUM(W73:W105)</f>
        <v>-22956.34833</v>
      </c>
      <c r="X106" s="6">
        <f t="shared" si="61"/>
        <v>29051</v>
      </c>
      <c r="Y106" s="6">
        <f t="shared" si="62"/>
        <v>6140.485</v>
      </c>
    </row>
    <row r="107" ht="12.75" customHeight="1">
      <c r="C107" s="7"/>
      <c r="S107" s="25"/>
      <c r="T107" s="25"/>
      <c r="V107" s="6">
        <f>V106-V97</f>
        <v>-24594.765</v>
      </c>
    </row>
    <row r="108" ht="12.75" customHeight="1">
      <c r="C108" s="7"/>
      <c r="S108" s="25"/>
      <c r="T108" s="25"/>
      <c r="V108" s="6"/>
    </row>
    <row r="109" ht="12.75" customHeight="1">
      <c r="A109" s="2" t="s">
        <v>828</v>
      </c>
      <c r="B109" s="14" t="s">
        <v>829</v>
      </c>
      <c r="C109" s="14" t="s">
        <v>829</v>
      </c>
      <c r="D109" s="14" t="s">
        <v>829</v>
      </c>
      <c r="E109" s="14"/>
      <c r="F109" s="14" t="s">
        <v>829</v>
      </c>
      <c r="G109" s="14" t="s">
        <v>829</v>
      </c>
      <c r="H109" s="14" t="s">
        <v>829</v>
      </c>
      <c r="I109" s="14" t="s">
        <v>829</v>
      </c>
      <c r="J109" s="14" t="s">
        <v>829</v>
      </c>
      <c r="K109" s="14" t="s">
        <v>829</v>
      </c>
      <c r="L109" s="14" t="s">
        <v>829</v>
      </c>
      <c r="M109" s="14" t="s">
        <v>829</v>
      </c>
      <c r="N109" s="14" t="s">
        <v>829</v>
      </c>
      <c r="O109" s="14" t="s">
        <v>829</v>
      </c>
      <c r="P109" s="14" t="s">
        <v>829</v>
      </c>
      <c r="Q109" s="14" t="s">
        <v>829</v>
      </c>
      <c r="R109" s="14" t="s">
        <v>829</v>
      </c>
      <c r="S109" s="28" t="s">
        <v>829</v>
      </c>
      <c r="T109" s="28"/>
      <c r="V109" s="6"/>
    </row>
    <row r="110" ht="9.0" customHeight="1">
      <c r="A110" s="2" t="s">
        <v>828</v>
      </c>
      <c r="C110" s="14" t="s">
        <v>829</v>
      </c>
      <c r="S110" s="25"/>
      <c r="T110" s="25"/>
      <c r="V110" s="6"/>
    </row>
    <row r="111" ht="12.75" customHeight="1">
      <c r="A111" s="2" t="s">
        <v>828</v>
      </c>
      <c r="B111" s="2" t="s">
        <v>10</v>
      </c>
      <c r="C111" s="14" t="s">
        <v>829</v>
      </c>
      <c r="F111" s="43">
        <f t="shared" ref="F111:R111" si="64">IF(ISBLANK(F25),"",F25+F73)</f>
        <v>0</v>
      </c>
      <c r="G111" s="43">
        <f t="shared" si="64"/>
        <v>1621.4</v>
      </c>
      <c r="H111" s="43">
        <f t="shared" si="64"/>
        <v>1837.2</v>
      </c>
      <c r="I111" s="43">
        <f t="shared" si="64"/>
        <v>1912.2</v>
      </c>
      <c r="J111" s="43">
        <f t="shared" si="64"/>
        <v>1934.2</v>
      </c>
      <c r="K111" s="43">
        <f t="shared" si="64"/>
        <v>1941.2</v>
      </c>
      <c r="L111" s="43">
        <f t="shared" si="64"/>
        <v>1948.2</v>
      </c>
      <c r="M111" s="43">
        <f t="shared" si="64"/>
        <v>1955.2</v>
      </c>
      <c r="N111" s="43">
        <f t="shared" si="64"/>
        <v>1962.2</v>
      </c>
      <c r="O111" s="2">
        <f t="shared" si="64"/>
        <v>2042.2</v>
      </c>
      <c r="P111" s="43">
        <f t="shared" si="64"/>
        <v>790.2</v>
      </c>
      <c r="Q111" s="2">
        <f t="shared" si="64"/>
        <v>3398.2</v>
      </c>
      <c r="R111" s="43">
        <f t="shared" si="64"/>
        <v>-165.8</v>
      </c>
      <c r="S111" s="25">
        <f t="shared" ref="S111:S144" si="66">SUM(F111:R111)</f>
        <v>21176.6</v>
      </c>
      <c r="T111" s="7" t="s">
        <v>10</v>
      </c>
      <c r="U111" s="2">
        <f>8950-6550</f>
        <v>2400</v>
      </c>
      <c r="V111" s="6" t="s">
        <v>830</v>
      </c>
      <c r="W111" s="2">
        <f>-1*S111</f>
        <v>-21176.6</v>
      </c>
    </row>
    <row r="112" ht="12.75" customHeight="1">
      <c r="A112" s="2" t="s">
        <v>828</v>
      </c>
      <c r="B112" s="2" t="s">
        <v>20</v>
      </c>
      <c r="C112" s="14" t="s">
        <v>829</v>
      </c>
      <c r="F112" s="43">
        <f t="shared" ref="F112:R112" si="65">IF(ISBLANK(F26),"",F26+F74)</f>
        <v>0</v>
      </c>
      <c r="G112" s="43">
        <f t="shared" si="65"/>
        <v>0</v>
      </c>
      <c r="H112" s="43">
        <f t="shared" si="65"/>
        <v>0</v>
      </c>
      <c r="I112" s="43">
        <f t="shared" si="65"/>
        <v>0</v>
      </c>
      <c r="J112" s="43">
        <f t="shared" si="65"/>
        <v>0</v>
      </c>
      <c r="K112" s="43">
        <f t="shared" si="65"/>
        <v>0</v>
      </c>
      <c r="L112" s="43">
        <f t="shared" si="65"/>
        <v>0</v>
      </c>
      <c r="M112" s="43">
        <f t="shared" si="65"/>
        <v>0</v>
      </c>
      <c r="N112" s="43">
        <f t="shared" si="65"/>
        <v>0</v>
      </c>
      <c r="O112" s="2">
        <f t="shared" si="65"/>
        <v>0</v>
      </c>
      <c r="P112" s="43">
        <f t="shared" si="65"/>
        <v>0</v>
      </c>
      <c r="Q112" s="2">
        <f t="shared" si="65"/>
        <v>0</v>
      </c>
      <c r="R112" s="43">
        <f t="shared" si="65"/>
        <v>0</v>
      </c>
      <c r="S112" s="25">
        <f t="shared" si="66"/>
        <v>0</v>
      </c>
      <c r="T112" s="7" t="s">
        <v>20</v>
      </c>
      <c r="V112" s="18">
        <f>S111+S135</f>
        <v>76651.6</v>
      </c>
    </row>
    <row r="113" ht="12.75" customHeight="1">
      <c r="A113" s="2" t="s">
        <v>828</v>
      </c>
      <c r="B113" s="2" t="s">
        <v>17</v>
      </c>
      <c r="C113" s="14" t="s">
        <v>829</v>
      </c>
      <c r="F113" s="43">
        <f t="shared" ref="F113:R113" si="67">IF(ISBLANK(F27),"",F27+F75)</f>
        <v>0</v>
      </c>
      <c r="G113" s="2">
        <f t="shared" si="67"/>
        <v>0</v>
      </c>
      <c r="H113" s="2">
        <f t="shared" si="67"/>
        <v>0</v>
      </c>
      <c r="I113" s="2">
        <f t="shared" si="67"/>
        <v>0</v>
      </c>
      <c r="J113" s="2">
        <f t="shared" si="67"/>
        <v>0</v>
      </c>
      <c r="K113" s="2">
        <f t="shared" si="67"/>
        <v>0</v>
      </c>
      <c r="L113" s="2">
        <f t="shared" si="67"/>
        <v>0</v>
      </c>
      <c r="M113" s="2">
        <f t="shared" si="67"/>
        <v>0</v>
      </c>
      <c r="N113" s="2">
        <f t="shared" si="67"/>
        <v>0</v>
      </c>
      <c r="O113" s="2">
        <f t="shared" si="67"/>
        <v>-13</v>
      </c>
      <c r="P113" s="2">
        <f t="shared" si="67"/>
        <v>-11</v>
      </c>
      <c r="Q113" s="2">
        <f t="shared" si="67"/>
        <v>-11</v>
      </c>
      <c r="R113" s="2">
        <f t="shared" si="67"/>
        <v>-11</v>
      </c>
      <c r="S113" s="25">
        <f t="shared" si="66"/>
        <v>-46</v>
      </c>
      <c r="T113" s="7" t="s">
        <v>17</v>
      </c>
      <c r="V113" s="31"/>
      <c r="W113" s="2">
        <f>-1*S113</f>
        <v>46</v>
      </c>
      <c r="X113" s="31"/>
    </row>
    <row r="114" ht="12.75" customHeight="1">
      <c r="A114" s="2" t="s">
        <v>828</v>
      </c>
      <c r="B114" s="2" t="s">
        <v>24</v>
      </c>
      <c r="C114" s="14" t="s">
        <v>829</v>
      </c>
      <c r="F114" s="43">
        <f t="shared" ref="F114:R114" si="68">IF(ISBLANK(F28),"",F28+F76)</f>
        <v>0</v>
      </c>
      <c r="G114" s="43">
        <f t="shared" si="68"/>
        <v>-5</v>
      </c>
      <c r="H114" s="43">
        <f t="shared" si="68"/>
        <v>-5</v>
      </c>
      <c r="I114" s="43">
        <f t="shared" si="68"/>
        <v>280</v>
      </c>
      <c r="J114" s="43">
        <f t="shared" si="68"/>
        <v>-290</v>
      </c>
      <c r="K114" s="43">
        <f t="shared" si="68"/>
        <v>-5</v>
      </c>
      <c r="L114" s="43">
        <f t="shared" si="68"/>
        <v>-5</v>
      </c>
      <c r="M114" s="43">
        <f t="shared" si="68"/>
        <v>-5</v>
      </c>
      <c r="N114" s="43">
        <f t="shared" si="68"/>
        <v>-5</v>
      </c>
      <c r="O114" s="2">
        <f t="shared" si="68"/>
        <v>-5</v>
      </c>
      <c r="P114" s="43">
        <f t="shared" si="68"/>
        <v>-5</v>
      </c>
      <c r="Q114" s="2">
        <f t="shared" si="68"/>
        <v>-5</v>
      </c>
      <c r="R114" s="43">
        <f t="shared" si="68"/>
        <v>-23</v>
      </c>
      <c r="S114" s="25">
        <f t="shared" si="66"/>
        <v>-78</v>
      </c>
      <c r="T114" s="7" t="s">
        <v>24</v>
      </c>
      <c r="V114" s="31"/>
      <c r="W114" s="31"/>
      <c r="X114" s="31"/>
    </row>
    <row r="115" ht="12.75" customHeight="1">
      <c r="A115" s="2" t="s">
        <v>828</v>
      </c>
      <c r="B115" s="2" t="s">
        <v>651</v>
      </c>
      <c r="C115" s="14" t="s">
        <v>829</v>
      </c>
      <c r="F115" s="43">
        <f t="shared" ref="F115:R115" si="69">IF(ISBLANK(F29),"",F29+F77)</f>
        <v>0</v>
      </c>
      <c r="G115" s="2">
        <f t="shared" si="69"/>
        <v>18.75</v>
      </c>
      <c r="H115" s="2">
        <f t="shared" si="69"/>
        <v>18.75</v>
      </c>
      <c r="I115" s="2">
        <f t="shared" si="69"/>
        <v>18.75</v>
      </c>
      <c r="J115" s="2">
        <f t="shared" si="69"/>
        <v>18.75</v>
      </c>
      <c r="K115" s="2">
        <f t="shared" si="69"/>
        <v>-206.25</v>
      </c>
      <c r="L115" s="2">
        <f t="shared" si="69"/>
        <v>18.75</v>
      </c>
      <c r="M115" s="2">
        <f t="shared" si="69"/>
        <v>18.75</v>
      </c>
      <c r="N115" s="2">
        <f t="shared" si="69"/>
        <v>18.75</v>
      </c>
      <c r="O115" s="2">
        <f t="shared" si="69"/>
        <v>18.75</v>
      </c>
      <c r="P115" s="2">
        <f t="shared" si="69"/>
        <v>18.75</v>
      </c>
      <c r="Q115" s="2">
        <f t="shared" si="69"/>
        <v>18.75</v>
      </c>
      <c r="R115" s="2">
        <f t="shared" si="69"/>
        <v>18.75</v>
      </c>
      <c r="S115" s="25">
        <f t="shared" si="66"/>
        <v>0</v>
      </c>
      <c r="T115" s="7" t="s">
        <v>651</v>
      </c>
      <c r="V115" s="44"/>
      <c r="W115" s="31"/>
      <c r="X115" s="24"/>
    </row>
    <row r="116" ht="12.75" customHeight="1">
      <c r="A116" s="2" t="s">
        <v>828</v>
      </c>
      <c r="B116" s="2" t="s">
        <v>76</v>
      </c>
      <c r="C116" s="14" t="s">
        <v>829</v>
      </c>
      <c r="F116" s="43">
        <f t="shared" ref="F116:R116" si="70">IF(ISBLANK(F30),"",F30+F78)</f>
        <v>0</v>
      </c>
      <c r="G116" s="43">
        <f t="shared" si="70"/>
        <v>1012.166667</v>
      </c>
      <c r="H116" s="43">
        <f t="shared" si="70"/>
        <v>-2019.833333</v>
      </c>
      <c r="I116" s="43">
        <f t="shared" si="70"/>
        <v>1012.166667</v>
      </c>
      <c r="J116" s="43">
        <f t="shared" si="70"/>
        <v>1012.166667</v>
      </c>
      <c r="K116" s="43">
        <f t="shared" si="70"/>
        <v>-2019.833333</v>
      </c>
      <c r="L116" s="43">
        <f t="shared" si="70"/>
        <v>1012.166667</v>
      </c>
      <c r="M116" s="43">
        <f t="shared" si="70"/>
        <v>1012.166667</v>
      </c>
      <c r="N116" s="43">
        <f t="shared" si="70"/>
        <v>-2019.833333</v>
      </c>
      <c r="O116" s="2">
        <f t="shared" si="70"/>
        <v>1012.166667</v>
      </c>
      <c r="P116" s="43">
        <f t="shared" si="70"/>
        <v>1012.166667</v>
      </c>
      <c r="Q116" s="2">
        <f t="shared" si="70"/>
        <v>-2019.833333</v>
      </c>
      <c r="R116" s="43">
        <f t="shared" si="70"/>
        <v>1012.166667</v>
      </c>
      <c r="S116" s="25">
        <f t="shared" si="66"/>
        <v>18</v>
      </c>
      <c r="T116" s="7" t="s">
        <v>76</v>
      </c>
    </row>
    <row r="117" ht="12.75" customHeight="1">
      <c r="A117" s="2" t="s">
        <v>828</v>
      </c>
      <c r="B117" s="2" t="s">
        <v>26</v>
      </c>
      <c r="C117" s="14" t="s">
        <v>829</v>
      </c>
      <c r="F117" s="40">
        <f t="shared" ref="F117:R117" si="71">IF(ISBLANK(F31),"",F31+F79)</f>
        <v>0</v>
      </c>
      <c r="G117" s="40">
        <f t="shared" si="71"/>
        <v>50</v>
      </c>
      <c r="H117" s="40">
        <f t="shared" si="71"/>
        <v>50</v>
      </c>
      <c r="I117" s="43">
        <f t="shared" si="71"/>
        <v>50</v>
      </c>
      <c r="J117" s="43">
        <f t="shared" si="71"/>
        <v>50</v>
      </c>
      <c r="K117" s="43">
        <f t="shared" si="71"/>
        <v>50</v>
      </c>
      <c r="L117" s="43">
        <f t="shared" si="71"/>
        <v>50</v>
      </c>
      <c r="M117" s="43">
        <f t="shared" si="71"/>
        <v>50</v>
      </c>
      <c r="N117" s="43">
        <f t="shared" si="71"/>
        <v>50</v>
      </c>
      <c r="O117" s="2">
        <f t="shared" si="71"/>
        <v>50</v>
      </c>
      <c r="P117" s="43">
        <f t="shared" si="71"/>
        <v>50</v>
      </c>
      <c r="Q117" s="2">
        <f t="shared" si="71"/>
        <v>50</v>
      </c>
      <c r="R117" s="43">
        <f t="shared" si="71"/>
        <v>50</v>
      </c>
      <c r="S117" s="25">
        <f t="shared" si="66"/>
        <v>600</v>
      </c>
      <c r="T117" s="7" t="s">
        <v>26</v>
      </c>
    </row>
    <row r="118" ht="12.75" customHeight="1">
      <c r="A118" s="2" t="s">
        <v>828</v>
      </c>
      <c r="B118" s="2" t="s">
        <v>103</v>
      </c>
      <c r="C118" s="14" t="s">
        <v>829</v>
      </c>
      <c r="F118" s="40">
        <f t="shared" ref="F118:R118" si="72">IF(ISBLANK(F32),"",F32+F80)</f>
        <v>0</v>
      </c>
      <c r="G118" s="40">
        <f t="shared" si="72"/>
        <v>-233</v>
      </c>
      <c r="H118" s="40">
        <f t="shared" si="72"/>
        <v>200</v>
      </c>
      <c r="I118" s="2">
        <f t="shared" si="72"/>
        <v>-213</v>
      </c>
      <c r="J118" s="2">
        <f t="shared" si="72"/>
        <v>200</v>
      </c>
      <c r="K118" s="2">
        <f t="shared" si="72"/>
        <v>-3</v>
      </c>
      <c r="L118" s="2">
        <f t="shared" si="72"/>
        <v>-47</v>
      </c>
      <c r="M118" s="2">
        <f t="shared" si="72"/>
        <v>37</v>
      </c>
      <c r="N118" s="2">
        <f t="shared" si="72"/>
        <v>200</v>
      </c>
      <c r="O118" s="2">
        <f t="shared" si="72"/>
        <v>-205</v>
      </c>
      <c r="P118" s="2">
        <f t="shared" si="72"/>
        <v>200</v>
      </c>
      <c r="Q118" s="2">
        <f t="shared" si="72"/>
        <v>37</v>
      </c>
      <c r="R118" s="2">
        <f t="shared" si="72"/>
        <v>200</v>
      </c>
      <c r="S118" s="25">
        <f t="shared" si="66"/>
        <v>373</v>
      </c>
      <c r="T118" s="7" t="s">
        <v>103</v>
      </c>
    </row>
    <row r="119" ht="12.75" customHeight="1">
      <c r="A119" s="2" t="s">
        <v>828</v>
      </c>
      <c r="B119" s="2" t="s">
        <v>22</v>
      </c>
      <c r="C119" s="14" t="s">
        <v>829</v>
      </c>
      <c r="F119" s="40">
        <f t="shared" ref="F119:R119" si="73">IF(ISBLANK(F33),"",F33+F81)</f>
        <v>0</v>
      </c>
      <c r="G119" s="40">
        <f t="shared" si="73"/>
        <v>0</v>
      </c>
      <c r="H119" s="40">
        <f t="shared" si="73"/>
        <v>0</v>
      </c>
      <c r="I119" s="2">
        <f t="shared" si="73"/>
        <v>0</v>
      </c>
      <c r="J119" s="2">
        <f t="shared" si="73"/>
        <v>0</v>
      </c>
      <c r="K119" s="2">
        <f t="shared" si="73"/>
        <v>0</v>
      </c>
      <c r="L119" s="2">
        <f t="shared" si="73"/>
        <v>0</v>
      </c>
      <c r="M119" s="2">
        <f t="shared" si="73"/>
        <v>0</v>
      </c>
      <c r="N119" s="2">
        <f t="shared" si="73"/>
        <v>0</v>
      </c>
      <c r="O119" s="2">
        <f t="shared" si="73"/>
        <v>0</v>
      </c>
      <c r="P119" s="2">
        <f t="shared" si="73"/>
        <v>0</v>
      </c>
      <c r="Q119" s="2">
        <f t="shared" si="73"/>
        <v>0</v>
      </c>
      <c r="R119" s="2">
        <f t="shared" si="73"/>
        <v>0</v>
      </c>
      <c r="S119" s="25">
        <f t="shared" si="66"/>
        <v>0</v>
      </c>
      <c r="T119" s="7" t="s">
        <v>22</v>
      </c>
    </row>
    <row r="120" ht="26.25" customHeight="1">
      <c r="A120" s="2" t="s">
        <v>828</v>
      </c>
      <c r="B120" s="2" t="s">
        <v>428</v>
      </c>
      <c r="C120" s="14" t="s">
        <v>829</v>
      </c>
      <c r="F120" s="40">
        <f t="shared" ref="F120:R120" si="74">IF(ISBLANK(F34),"",F34+F82)</f>
        <v>0</v>
      </c>
      <c r="G120" s="40">
        <f t="shared" si="74"/>
        <v>-3</v>
      </c>
      <c r="H120" s="40">
        <f t="shared" si="74"/>
        <v>469</v>
      </c>
      <c r="I120" s="43">
        <f t="shared" si="74"/>
        <v>44</v>
      </c>
      <c r="J120" s="43">
        <f t="shared" si="74"/>
        <v>50</v>
      </c>
      <c r="K120" s="43">
        <f t="shared" si="74"/>
        <v>-419</v>
      </c>
      <c r="L120" s="43">
        <f t="shared" si="74"/>
        <v>519</v>
      </c>
      <c r="M120" s="43">
        <f t="shared" si="74"/>
        <v>14</v>
      </c>
      <c r="N120" s="43">
        <f t="shared" si="74"/>
        <v>50</v>
      </c>
      <c r="O120" s="2">
        <f t="shared" si="74"/>
        <v>-93</v>
      </c>
      <c r="P120" s="43">
        <f t="shared" si="74"/>
        <v>-476</v>
      </c>
      <c r="Q120" s="2">
        <f t="shared" si="74"/>
        <v>519</v>
      </c>
      <c r="R120" s="43">
        <f t="shared" si="74"/>
        <v>-419</v>
      </c>
      <c r="S120" s="25">
        <f t="shared" si="66"/>
        <v>255</v>
      </c>
      <c r="T120" s="7" t="s">
        <v>428</v>
      </c>
    </row>
    <row r="121" ht="12.75" customHeight="1">
      <c r="A121" s="2" t="s">
        <v>828</v>
      </c>
      <c r="B121" s="2" t="s">
        <v>800</v>
      </c>
      <c r="C121" s="14" t="s">
        <v>829</v>
      </c>
      <c r="F121" s="40">
        <f t="shared" ref="F121:R121" si="75">IF(ISBLANK(F35),"",F35+F83)</f>
        <v>0</v>
      </c>
      <c r="G121" s="40">
        <f t="shared" si="75"/>
        <v>30</v>
      </c>
      <c r="H121" s="40">
        <f t="shared" si="75"/>
        <v>30</v>
      </c>
      <c r="I121" s="2">
        <f t="shared" si="75"/>
        <v>30</v>
      </c>
      <c r="J121" s="2">
        <f t="shared" si="75"/>
        <v>30</v>
      </c>
      <c r="K121" s="2">
        <f t="shared" si="75"/>
        <v>30</v>
      </c>
      <c r="L121" s="2">
        <f t="shared" si="75"/>
        <v>30</v>
      </c>
      <c r="M121" s="2">
        <f t="shared" si="75"/>
        <v>30</v>
      </c>
      <c r="N121" s="2">
        <f t="shared" si="75"/>
        <v>30</v>
      </c>
      <c r="O121" s="2">
        <f t="shared" si="75"/>
        <v>30</v>
      </c>
      <c r="P121" s="2">
        <f t="shared" si="75"/>
        <v>30</v>
      </c>
      <c r="Q121" s="2">
        <f t="shared" si="75"/>
        <v>30</v>
      </c>
      <c r="R121" s="2">
        <f t="shared" si="75"/>
        <v>30</v>
      </c>
      <c r="S121" s="25">
        <f t="shared" si="66"/>
        <v>360</v>
      </c>
      <c r="T121" s="7" t="s">
        <v>800</v>
      </c>
      <c r="U121" s="6"/>
      <c r="W121" s="2">
        <f t="shared" ref="W121:W125" si="77">-1*S121</f>
        <v>-360</v>
      </c>
    </row>
    <row r="122" ht="12.75" customHeight="1">
      <c r="A122" s="2" t="s">
        <v>828</v>
      </c>
      <c r="B122" s="2" t="s">
        <v>54</v>
      </c>
      <c r="C122" s="14" t="s">
        <v>829</v>
      </c>
      <c r="F122" s="40">
        <f t="shared" ref="F122:R122" si="76">IF(ISBLANK(F36),"",F36+F84)</f>
        <v>0</v>
      </c>
      <c r="G122" s="40">
        <f t="shared" si="76"/>
        <v>751.8</v>
      </c>
      <c r="H122" s="40">
        <f t="shared" si="76"/>
        <v>900</v>
      </c>
      <c r="I122" s="2">
        <f t="shared" si="76"/>
        <v>-1080</v>
      </c>
      <c r="J122" s="2">
        <f t="shared" si="76"/>
        <v>395.3</v>
      </c>
      <c r="K122" s="2">
        <f t="shared" si="76"/>
        <v>600</v>
      </c>
      <c r="L122" s="2">
        <f t="shared" si="76"/>
        <v>-400</v>
      </c>
      <c r="M122" s="2">
        <f t="shared" si="76"/>
        <v>600</v>
      </c>
      <c r="N122" s="2">
        <f t="shared" si="76"/>
        <v>600</v>
      </c>
      <c r="O122" s="2">
        <f t="shared" si="76"/>
        <v>23.13</v>
      </c>
      <c r="P122" s="2">
        <f t="shared" si="76"/>
        <v>305.09</v>
      </c>
      <c r="Q122" s="2">
        <f t="shared" si="76"/>
        <v>564.25</v>
      </c>
      <c r="R122" s="2">
        <f t="shared" si="76"/>
        <v>233.36</v>
      </c>
      <c r="S122" s="25">
        <f t="shared" si="66"/>
        <v>3492.93</v>
      </c>
      <c r="T122" s="7" t="s">
        <v>54</v>
      </c>
      <c r="V122" s="6"/>
      <c r="W122" s="2">
        <f t="shared" si="77"/>
        <v>-3492.93</v>
      </c>
    </row>
    <row r="123" ht="12.75" customHeight="1">
      <c r="A123" s="2" t="s">
        <v>828</v>
      </c>
      <c r="B123" s="2" t="s">
        <v>801</v>
      </c>
      <c r="C123" s="14" t="s">
        <v>829</v>
      </c>
      <c r="F123" s="40">
        <f t="shared" ref="F123:R123" si="78">IF(ISBLANK(F37),"",F37+F85)</f>
        <v>0</v>
      </c>
      <c r="G123" s="40">
        <f t="shared" si="78"/>
        <v>0</v>
      </c>
      <c r="H123" s="40">
        <f t="shared" si="78"/>
        <v>0</v>
      </c>
      <c r="I123" s="43">
        <f t="shared" si="78"/>
        <v>0</v>
      </c>
      <c r="J123" s="43">
        <f t="shared" si="78"/>
        <v>0</v>
      </c>
      <c r="K123" s="43">
        <f t="shared" si="78"/>
        <v>0</v>
      </c>
      <c r="L123" s="43">
        <f t="shared" si="78"/>
        <v>0</v>
      </c>
      <c r="M123" s="43">
        <f t="shared" si="78"/>
        <v>0</v>
      </c>
      <c r="N123" s="43">
        <f t="shared" si="78"/>
        <v>0</v>
      </c>
      <c r="O123" s="2">
        <f t="shared" si="78"/>
        <v>0</v>
      </c>
      <c r="P123" s="43">
        <f t="shared" si="78"/>
        <v>0</v>
      </c>
      <c r="Q123" s="2">
        <f t="shared" si="78"/>
        <v>0</v>
      </c>
      <c r="R123" s="43">
        <f t="shared" si="78"/>
        <v>0</v>
      </c>
      <c r="S123" s="25">
        <f t="shared" si="66"/>
        <v>0</v>
      </c>
      <c r="T123" s="7" t="s">
        <v>801</v>
      </c>
      <c r="V123" s="2" t="s">
        <v>831</v>
      </c>
      <c r="W123" s="2">
        <f t="shared" si="77"/>
        <v>0</v>
      </c>
    </row>
    <row r="124" ht="12.75" customHeight="1">
      <c r="A124" s="2" t="s">
        <v>828</v>
      </c>
      <c r="B124" s="2" t="s">
        <v>38</v>
      </c>
      <c r="C124" s="14" t="s">
        <v>829</v>
      </c>
      <c r="F124" s="40">
        <f t="shared" ref="F124:R124" si="79">IF(ISBLANK(F38),"",F38+F86)</f>
        <v>0</v>
      </c>
      <c r="G124" s="40">
        <f t="shared" si="79"/>
        <v>-443.6363636</v>
      </c>
      <c r="H124" s="40">
        <f t="shared" si="79"/>
        <v>641.3636364</v>
      </c>
      <c r="I124" s="43">
        <f t="shared" si="79"/>
        <v>-313.6363636</v>
      </c>
      <c r="J124" s="43">
        <f t="shared" si="79"/>
        <v>-158.6363636</v>
      </c>
      <c r="K124" s="43">
        <f t="shared" si="79"/>
        <v>562.3636364</v>
      </c>
      <c r="L124" s="43">
        <f t="shared" si="79"/>
        <v>1266.363636</v>
      </c>
      <c r="M124" s="43">
        <f t="shared" si="79"/>
        <v>1441.363636</v>
      </c>
      <c r="N124" s="43">
        <f t="shared" si="79"/>
        <v>-56.63636364</v>
      </c>
      <c r="O124" s="2">
        <f t="shared" si="79"/>
        <v>-541.6363636</v>
      </c>
      <c r="P124" s="43">
        <f t="shared" si="79"/>
        <v>316.3636364</v>
      </c>
      <c r="Q124" s="2">
        <f t="shared" si="79"/>
        <v>-568.6363636</v>
      </c>
      <c r="R124" s="43">
        <f t="shared" si="79"/>
        <v>477.3636364</v>
      </c>
      <c r="S124" s="25">
        <f t="shared" si="66"/>
        <v>2622.363636</v>
      </c>
      <c r="T124" s="6" t="s">
        <v>38</v>
      </c>
      <c r="W124" s="2">
        <f t="shared" si="77"/>
        <v>-2622.363636</v>
      </c>
    </row>
    <row r="125" ht="12.75" customHeight="1">
      <c r="A125" s="2" t="s">
        <v>828</v>
      </c>
      <c r="B125" s="2" t="s">
        <v>47</v>
      </c>
      <c r="C125" s="14" t="s">
        <v>829</v>
      </c>
      <c r="F125" s="40">
        <f t="shared" ref="F125:R125" si="80">IF(ISBLANK(F39),"",F39+F87)</f>
        <v>0</v>
      </c>
      <c r="G125" s="40">
        <f t="shared" si="80"/>
        <v>5572.04</v>
      </c>
      <c r="H125" s="40">
        <f t="shared" si="80"/>
        <v>-1575.3</v>
      </c>
      <c r="I125" s="2">
        <f t="shared" si="80"/>
        <v>34.66</v>
      </c>
      <c r="J125" s="2">
        <f t="shared" si="80"/>
        <v>2151.52</v>
      </c>
      <c r="K125" s="2">
        <f t="shared" si="80"/>
        <v>1386</v>
      </c>
      <c r="L125" s="2">
        <f t="shared" si="80"/>
        <v>474.52</v>
      </c>
      <c r="M125" s="2">
        <f t="shared" si="80"/>
        <v>1171</v>
      </c>
      <c r="N125" s="2">
        <f t="shared" si="80"/>
        <v>-459.8</v>
      </c>
      <c r="O125" s="2">
        <f t="shared" si="80"/>
        <v>66.25</v>
      </c>
      <c r="P125" s="2">
        <f t="shared" si="80"/>
        <v>-1245.55</v>
      </c>
      <c r="Q125" s="2">
        <f t="shared" si="80"/>
        <v>-380.03</v>
      </c>
      <c r="R125" s="2">
        <f t="shared" si="80"/>
        <v>609.05</v>
      </c>
      <c r="S125" s="25">
        <f t="shared" si="66"/>
        <v>7804.36</v>
      </c>
      <c r="T125" s="7" t="s">
        <v>47</v>
      </c>
      <c r="W125" s="2">
        <f t="shared" si="77"/>
        <v>-7804.36</v>
      </c>
    </row>
    <row r="126" ht="23.25" customHeight="1">
      <c r="A126" s="2" t="s">
        <v>828</v>
      </c>
      <c r="B126" s="2" t="s">
        <v>52</v>
      </c>
      <c r="C126" s="14" t="s">
        <v>829</v>
      </c>
      <c r="F126" s="40">
        <f t="shared" ref="F126:R126" si="81">IF(ISBLANK(F40),"",F40+F88)</f>
        <v>0</v>
      </c>
      <c r="G126" s="40">
        <f t="shared" si="81"/>
        <v>1477.499697</v>
      </c>
      <c r="H126" s="40">
        <f t="shared" si="81"/>
        <v>1477.499697</v>
      </c>
      <c r="I126" s="43">
        <f t="shared" si="81"/>
        <v>1477.499697</v>
      </c>
      <c r="J126" s="43">
        <f t="shared" si="81"/>
        <v>1477.499697</v>
      </c>
      <c r="K126" s="43">
        <f t="shared" si="81"/>
        <v>-440.000303</v>
      </c>
      <c r="L126" s="43">
        <f t="shared" si="81"/>
        <v>851.499697</v>
      </c>
      <c r="M126" s="43">
        <f t="shared" si="81"/>
        <v>1477.499697</v>
      </c>
      <c r="N126" s="2">
        <f t="shared" si="81"/>
        <v>-362.500303</v>
      </c>
      <c r="O126" s="2">
        <f t="shared" si="81"/>
        <v>172.499697</v>
      </c>
      <c r="P126" s="2">
        <f t="shared" si="81"/>
        <v>1019.499697</v>
      </c>
      <c r="Q126" s="2">
        <f t="shared" si="81"/>
        <v>-1556.800303</v>
      </c>
      <c r="R126" s="43">
        <f t="shared" si="81"/>
        <v>194.499697</v>
      </c>
      <c r="S126" s="25">
        <f t="shared" si="66"/>
        <v>7266.196364</v>
      </c>
      <c r="T126" s="7" t="s">
        <v>52</v>
      </c>
      <c r="W126" s="2">
        <f>-3644.5+250</f>
        <v>-3394.5</v>
      </c>
    </row>
    <row r="127" ht="12.75" customHeight="1">
      <c r="A127" s="2" t="s">
        <v>828</v>
      </c>
      <c r="B127" s="2" t="s">
        <v>42</v>
      </c>
      <c r="C127" s="14" t="s">
        <v>829</v>
      </c>
      <c r="F127" s="40">
        <f t="shared" ref="F127:R127" si="82">IF(ISBLANK(F41),"",F41+F89)</f>
        <v>0</v>
      </c>
      <c r="G127" s="40">
        <f t="shared" si="82"/>
        <v>247.5</v>
      </c>
      <c r="H127" s="40">
        <f t="shared" si="82"/>
        <v>-300.5</v>
      </c>
      <c r="I127" s="2">
        <f t="shared" si="82"/>
        <v>-110.5</v>
      </c>
      <c r="J127" s="2">
        <f t="shared" si="82"/>
        <v>-224.5</v>
      </c>
      <c r="K127" s="2">
        <f t="shared" si="82"/>
        <v>-216.5</v>
      </c>
      <c r="L127" s="2">
        <f t="shared" si="82"/>
        <v>76.5</v>
      </c>
      <c r="M127" s="2">
        <f t="shared" si="82"/>
        <v>95.5</v>
      </c>
      <c r="N127" s="2">
        <f t="shared" si="82"/>
        <v>-895.5</v>
      </c>
      <c r="O127" s="2">
        <f t="shared" si="82"/>
        <v>-14.5</v>
      </c>
      <c r="P127" s="2">
        <f t="shared" si="82"/>
        <v>-176.5</v>
      </c>
      <c r="Q127" s="2">
        <f t="shared" si="82"/>
        <v>-219.5</v>
      </c>
      <c r="R127" s="2">
        <f t="shared" si="82"/>
        <v>39.5</v>
      </c>
      <c r="S127" s="25">
        <f t="shared" si="66"/>
        <v>-1699</v>
      </c>
      <c r="T127" s="7" t="s">
        <v>42</v>
      </c>
      <c r="W127" s="6">
        <v>4786.5</v>
      </c>
    </row>
    <row r="128" ht="12.75" customHeight="1">
      <c r="A128" s="2" t="s">
        <v>828</v>
      </c>
      <c r="B128" s="2" t="s">
        <v>133</v>
      </c>
      <c r="C128" s="14" t="s">
        <v>829</v>
      </c>
      <c r="F128" s="40">
        <f t="shared" ref="F128:R128" si="83">IF(ISBLANK(F42),"",F42+F90)</f>
        <v>0</v>
      </c>
      <c r="G128" s="40">
        <f t="shared" si="83"/>
        <v>0</v>
      </c>
      <c r="H128" s="40">
        <f t="shared" si="83"/>
        <v>0</v>
      </c>
      <c r="I128" s="2">
        <f t="shared" si="83"/>
        <v>0</v>
      </c>
      <c r="J128" s="2">
        <f t="shared" si="83"/>
        <v>0</v>
      </c>
      <c r="K128" s="2">
        <f t="shared" si="83"/>
        <v>0</v>
      </c>
      <c r="L128" s="2">
        <f t="shared" si="83"/>
        <v>-118</v>
      </c>
      <c r="M128" s="2">
        <f t="shared" si="83"/>
        <v>-300</v>
      </c>
      <c r="N128" s="2">
        <f t="shared" si="83"/>
        <v>-70</v>
      </c>
      <c r="O128" s="2">
        <f t="shared" si="83"/>
        <v>0</v>
      </c>
      <c r="P128" s="2">
        <f t="shared" si="83"/>
        <v>0</v>
      </c>
      <c r="Q128" s="2">
        <f t="shared" si="83"/>
        <v>0</v>
      </c>
      <c r="R128" s="2">
        <f t="shared" si="83"/>
        <v>0</v>
      </c>
      <c r="S128" s="25">
        <f t="shared" si="66"/>
        <v>-488</v>
      </c>
      <c r="T128" s="7" t="s">
        <v>133</v>
      </c>
    </row>
    <row r="129" ht="12.75" customHeight="1">
      <c r="A129" s="2" t="s">
        <v>828</v>
      </c>
      <c r="B129" s="2" t="s">
        <v>803</v>
      </c>
      <c r="C129" s="14" t="s">
        <v>829</v>
      </c>
      <c r="F129" s="40">
        <f t="shared" ref="F129:R129" si="84">IF(ISBLANK(F43),"",F43+F91)</f>
        <v>0</v>
      </c>
      <c r="G129" s="40">
        <f t="shared" si="84"/>
        <v>0</v>
      </c>
      <c r="H129" s="40">
        <f t="shared" si="84"/>
        <v>0</v>
      </c>
      <c r="I129" s="2">
        <f t="shared" si="84"/>
        <v>0</v>
      </c>
      <c r="J129" s="2">
        <f t="shared" si="84"/>
        <v>0</v>
      </c>
      <c r="K129" s="2">
        <f t="shared" si="84"/>
        <v>0</v>
      </c>
      <c r="L129" s="2">
        <f t="shared" si="84"/>
        <v>0</v>
      </c>
      <c r="M129" s="2">
        <f t="shared" si="84"/>
        <v>0</v>
      </c>
      <c r="N129" s="2">
        <f t="shared" si="84"/>
        <v>0</v>
      </c>
      <c r="O129" s="2">
        <f t="shared" si="84"/>
        <v>0</v>
      </c>
      <c r="P129" s="2">
        <f t="shared" si="84"/>
        <v>0</v>
      </c>
      <c r="Q129" s="2">
        <f t="shared" si="84"/>
        <v>0</v>
      </c>
      <c r="R129" s="2">
        <f t="shared" si="84"/>
        <v>0</v>
      </c>
      <c r="S129" s="25">
        <f t="shared" si="66"/>
        <v>0</v>
      </c>
      <c r="T129" s="7" t="s">
        <v>803</v>
      </c>
      <c r="W129" s="2">
        <f>20-267</f>
        <v>-247</v>
      </c>
      <c r="AC129" s="7"/>
    </row>
    <row r="130" ht="27.0" customHeight="1">
      <c r="A130" s="2" t="s">
        <v>828</v>
      </c>
      <c r="B130" s="2" t="s">
        <v>164</v>
      </c>
      <c r="C130" s="14" t="s">
        <v>829</v>
      </c>
      <c r="F130" s="40">
        <f t="shared" ref="F130:R130" si="85">IF(ISBLANK(F44),"",F44+F92)</f>
        <v>0</v>
      </c>
      <c r="G130" s="40">
        <f t="shared" si="85"/>
        <v>100</v>
      </c>
      <c r="H130" s="40">
        <f t="shared" si="85"/>
        <v>-24</v>
      </c>
      <c r="I130" s="2">
        <f t="shared" si="85"/>
        <v>100</v>
      </c>
      <c r="J130" s="2">
        <f t="shared" si="85"/>
        <v>-26</v>
      </c>
      <c r="K130" s="2">
        <f t="shared" si="85"/>
        <v>100</v>
      </c>
      <c r="L130" s="2">
        <f t="shared" si="85"/>
        <v>-552</v>
      </c>
      <c r="M130" s="2">
        <f t="shared" si="85"/>
        <v>-215</v>
      </c>
      <c r="N130" s="2">
        <f t="shared" si="85"/>
        <v>466</v>
      </c>
      <c r="O130" s="2">
        <f t="shared" si="85"/>
        <v>100</v>
      </c>
      <c r="P130" s="2">
        <f t="shared" si="85"/>
        <v>100</v>
      </c>
      <c r="Q130" s="2">
        <f t="shared" si="85"/>
        <v>100</v>
      </c>
      <c r="R130" s="2">
        <f t="shared" si="85"/>
        <v>-225</v>
      </c>
      <c r="S130" s="25">
        <f t="shared" si="66"/>
        <v>24</v>
      </c>
      <c r="T130" s="7" t="s">
        <v>164</v>
      </c>
      <c r="W130" s="2">
        <v>146.0</v>
      </c>
      <c r="AC130" s="7"/>
    </row>
    <row r="131" ht="30.75" customHeight="1">
      <c r="A131" s="2" t="s">
        <v>828</v>
      </c>
      <c r="B131" s="2" t="s">
        <v>50</v>
      </c>
      <c r="C131" s="14" t="s">
        <v>829</v>
      </c>
      <c r="F131" s="40">
        <f t="shared" ref="F131:R131" si="86">IF(ISBLANK(F45),"",F45+F93)</f>
        <v>0</v>
      </c>
      <c r="G131" s="40">
        <f t="shared" si="86"/>
        <v>-1685</v>
      </c>
      <c r="H131" s="40">
        <f t="shared" si="86"/>
        <v>285</v>
      </c>
      <c r="I131" s="2">
        <f t="shared" si="86"/>
        <v>285</v>
      </c>
      <c r="J131" s="2">
        <f t="shared" si="86"/>
        <v>-1236</v>
      </c>
      <c r="K131" s="2">
        <f t="shared" si="86"/>
        <v>285</v>
      </c>
      <c r="L131" s="2">
        <f t="shared" si="86"/>
        <v>285</v>
      </c>
      <c r="M131" s="2">
        <f t="shared" si="86"/>
        <v>285</v>
      </c>
      <c r="N131" s="2">
        <f t="shared" si="86"/>
        <v>-1536</v>
      </c>
      <c r="O131" s="2">
        <f t="shared" si="86"/>
        <v>285</v>
      </c>
      <c r="P131" s="2">
        <f t="shared" si="86"/>
        <v>-1185</v>
      </c>
      <c r="Q131" s="2">
        <f t="shared" si="86"/>
        <v>285</v>
      </c>
      <c r="R131" s="2">
        <f t="shared" si="86"/>
        <v>285</v>
      </c>
      <c r="S131" s="25">
        <f t="shared" si="66"/>
        <v>-3362</v>
      </c>
      <c r="T131" s="7" t="s">
        <v>50</v>
      </c>
      <c r="W131" s="2">
        <f>-1*S131</f>
        <v>3362</v>
      </c>
      <c r="AC131" s="7"/>
    </row>
    <row r="132" ht="12.75" customHeight="1">
      <c r="A132" s="2" t="s">
        <v>828</v>
      </c>
      <c r="B132" s="2" t="s">
        <v>304</v>
      </c>
      <c r="C132" s="14" t="s">
        <v>829</v>
      </c>
      <c r="F132" s="43">
        <f t="shared" ref="F132:R132" si="87">IF(ISBLANK(F46),"",F46+F94)</f>
        <v>0</v>
      </c>
      <c r="G132" s="2">
        <f t="shared" si="87"/>
        <v>300</v>
      </c>
      <c r="H132" s="2">
        <f t="shared" si="87"/>
        <v>300</v>
      </c>
      <c r="I132" s="2">
        <f t="shared" si="87"/>
        <v>300</v>
      </c>
      <c r="J132" s="2">
        <f t="shared" si="87"/>
        <v>300</v>
      </c>
      <c r="K132" s="2">
        <f t="shared" si="87"/>
        <v>300</v>
      </c>
      <c r="L132" s="2">
        <f t="shared" si="87"/>
        <v>250</v>
      </c>
      <c r="M132" s="2">
        <f t="shared" si="87"/>
        <v>-150</v>
      </c>
      <c r="N132" s="2">
        <f t="shared" si="87"/>
        <v>-1147</v>
      </c>
      <c r="O132" s="2">
        <f t="shared" si="87"/>
        <v>250</v>
      </c>
      <c r="P132" s="2">
        <f t="shared" si="87"/>
        <v>250</v>
      </c>
      <c r="Q132" s="2">
        <f t="shared" si="87"/>
        <v>250</v>
      </c>
      <c r="R132" s="2">
        <f t="shared" si="87"/>
        <v>250</v>
      </c>
      <c r="S132" s="25">
        <f t="shared" si="66"/>
        <v>1453</v>
      </c>
      <c r="T132" s="7" t="s">
        <v>304</v>
      </c>
      <c r="AC132" s="7"/>
    </row>
    <row r="133" ht="12.75" customHeight="1">
      <c r="A133" s="2" t="s">
        <v>828</v>
      </c>
      <c r="B133" s="2" t="s">
        <v>72</v>
      </c>
      <c r="C133" s="14" t="s">
        <v>829</v>
      </c>
      <c r="F133" s="43">
        <f t="shared" ref="F133:R133" si="88">IF(ISBLANK(F47),"",F47+F95)</f>
        <v>0</v>
      </c>
      <c r="G133" s="2">
        <f t="shared" si="88"/>
        <v>100</v>
      </c>
      <c r="H133" s="2">
        <f t="shared" si="88"/>
        <v>100</v>
      </c>
      <c r="I133" s="2">
        <f t="shared" si="88"/>
        <v>100</v>
      </c>
      <c r="J133" s="2">
        <f t="shared" si="88"/>
        <v>-877</v>
      </c>
      <c r="K133" s="2">
        <f t="shared" si="88"/>
        <v>100</v>
      </c>
      <c r="L133" s="2">
        <f t="shared" si="88"/>
        <v>-1105</v>
      </c>
      <c r="M133" s="2">
        <f t="shared" si="88"/>
        <v>100</v>
      </c>
      <c r="N133" s="2">
        <f t="shared" si="88"/>
        <v>100</v>
      </c>
      <c r="O133" s="2">
        <f t="shared" si="88"/>
        <v>100</v>
      </c>
      <c r="P133" s="2">
        <f t="shared" si="88"/>
        <v>100</v>
      </c>
      <c r="Q133" s="2">
        <f t="shared" si="88"/>
        <v>100</v>
      </c>
      <c r="R133" s="2">
        <f t="shared" si="88"/>
        <v>-335</v>
      </c>
      <c r="S133" s="25">
        <f t="shared" si="66"/>
        <v>-1417</v>
      </c>
      <c r="T133" s="7" t="s">
        <v>72</v>
      </c>
      <c r="W133" s="2">
        <f>-1*S133</f>
        <v>1417</v>
      </c>
      <c r="AC133" s="6"/>
    </row>
    <row r="134" ht="26.25" customHeight="1">
      <c r="A134" s="2" t="s">
        <v>828</v>
      </c>
      <c r="B134" s="2" t="s">
        <v>13</v>
      </c>
      <c r="C134" s="14" t="s">
        <v>829</v>
      </c>
      <c r="F134" s="43">
        <f t="shared" ref="F134:R134" si="89">IF(ISBLANK(F48),"",F48+F96)</f>
        <v>0</v>
      </c>
      <c r="G134" s="2">
        <f t="shared" si="89"/>
        <v>-5398.28</v>
      </c>
      <c r="H134" s="2">
        <f t="shared" si="89"/>
        <v>932.72</v>
      </c>
      <c r="I134" s="2">
        <f t="shared" si="89"/>
        <v>1651.72</v>
      </c>
      <c r="J134" s="2">
        <f t="shared" si="89"/>
        <v>-2085.58</v>
      </c>
      <c r="K134" s="2">
        <f t="shared" si="89"/>
        <v>-1788.28</v>
      </c>
      <c r="L134" s="2">
        <f t="shared" si="89"/>
        <v>101.72</v>
      </c>
      <c r="M134" s="2">
        <f t="shared" si="89"/>
        <v>-7378.78</v>
      </c>
      <c r="N134" s="2">
        <f t="shared" si="89"/>
        <v>905.72</v>
      </c>
      <c r="O134" s="2">
        <f t="shared" si="89"/>
        <v>2503.72</v>
      </c>
      <c r="P134" s="2">
        <f t="shared" si="89"/>
        <v>-3963.28</v>
      </c>
      <c r="Q134" s="2">
        <f t="shared" si="89"/>
        <v>3219.72</v>
      </c>
      <c r="R134" s="2">
        <f t="shared" si="89"/>
        <v>2970.72</v>
      </c>
      <c r="S134" s="25">
        <f t="shared" si="66"/>
        <v>-8328.16</v>
      </c>
      <c r="T134" s="7" t="s">
        <v>13</v>
      </c>
      <c r="W134" s="2">
        <f>8585.14-146-1111.575256917</f>
        <v>7327.564743</v>
      </c>
      <c r="AC134" s="6"/>
    </row>
    <row r="135" ht="12.75" customHeight="1">
      <c r="A135" s="2" t="s">
        <v>828</v>
      </c>
      <c r="B135" s="2" t="s">
        <v>18</v>
      </c>
      <c r="C135" s="14" t="s">
        <v>829</v>
      </c>
      <c r="F135" s="43">
        <f t="shared" ref="F135:R135" si="90">IF(ISBLANK(F49),"",F49+F97)</f>
        <v>0</v>
      </c>
      <c r="G135" s="2">
        <f t="shared" si="90"/>
        <v>2757</v>
      </c>
      <c r="H135" s="2">
        <f t="shared" si="90"/>
        <v>2757</v>
      </c>
      <c r="I135" s="2">
        <f t="shared" si="90"/>
        <v>2757</v>
      </c>
      <c r="J135" s="2">
        <f t="shared" si="90"/>
        <v>2757</v>
      </c>
      <c r="K135" s="2">
        <f t="shared" si="90"/>
        <v>2757</v>
      </c>
      <c r="L135" s="2">
        <f t="shared" si="90"/>
        <v>26433</v>
      </c>
      <c r="M135" s="2">
        <f t="shared" si="90"/>
        <v>3222</v>
      </c>
      <c r="N135" s="2">
        <f t="shared" si="90"/>
        <v>3007</v>
      </c>
      <c r="O135" s="2">
        <f t="shared" si="90"/>
        <v>2257</v>
      </c>
      <c r="P135" s="2">
        <f t="shared" si="90"/>
        <v>2257</v>
      </c>
      <c r="Q135" s="2">
        <f t="shared" si="90"/>
        <v>2257</v>
      </c>
      <c r="R135" s="2">
        <f t="shared" si="90"/>
        <v>2257</v>
      </c>
      <c r="S135" s="25">
        <f t="shared" si="66"/>
        <v>55475</v>
      </c>
      <c r="T135" s="7" t="s">
        <v>18</v>
      </c>
      <c r="W135" s="2">
        <v>26739.06</v>
      </c>
      <c r="AC135" s="7"/>
    </row>
    <row r="136" ht="12.75" customHeight="1">
      <c r="A136" s="2" t="s">
        <v>828</v>
      </c>
      <c r="B136" s="2" t="s">
        <v>153</v>
      </c>
      <c r="C136" s="14" t="s">
        <v>829</v>
      </c>
      <c r="F136" s="12">
        <f t="shared" ref="F136:R136" si="91">IF(ISBLANK(F50),"",F50+F98)</f>
        <v>0</v>
      </c>
      <c r="G136" s="2">
        <f t="shared" si="91"/>
        <v>1250</v>
      </c>
      <c r="H136" s="2">
        <f t="shared" si="91"/>
        <v>1250</v>
      </c>
      <c r="I136" s="2">
        <f t="shared" si="91"/>
        <v>1250</v>
      </c>
      <c r="J136" s="2">
        <f t="shared" si="91"/>
        <v>-3835</v>
      </c>
      <c r="K136" s="2">
        <f t="shared" si="91"/>
        <v>1250</v>
      </c>
      <c r="L136" s="7">
        <f t="shared" si="91"/>
        <v>994.05</v>
      </c>
      <c r="M136" s="7">
        <f t="shared" si="91"/>
        <v>-12475.42</v>
      </c>
      <c r="N136" s="2">
        <f t="shared" si="91"/>
        <v>-2365.31</v>
      </c>
      <c r="O136" s="2">
        <f t="shared" si="91"/>
        <v>3887.96</v>
      </c>
      <c r="P136" s="2">
        <f t="shared" si="91"/>
        <v>1371</v>
      </c>
      <c r="Q136" s="2">
        <f t="shared" si="91"/>
        <v>1250</v>
      </c>
      <c r="R136" s="2">
        <f t="shared" si="91"/>
        <v>1250</v>
      </c>
      <c r="S136" s="25">
        <f t="shared" si="66"/>
        <v>-4922.72</v>
      </c>
      <c r="T136" s="6" t="s">
        <v>153</v>
      </c>
      <c r="W136" s="2">
        <f>-1*S136</f>
        <v>4922.72</v>
      </c>
      <c r="AC136" s="6"/>
    </row>
    <row r="137" ht="12.75" customHeight="1">
      <c r="A137" s="2" t="s">
        <v>828</v>
      </c>
      <c r="B137" s="2" t="s">
        <v>805</v>
      </c>
      <c r="C137" s="14" t="s">
        <v>829</v>
      </c>
      <c r="F137" s="43">
        <f t="shared" ref="F137:R137" si="92">IF(ISBLANK(F51),"",F51+F99)</f>
        <v>0</v>
      </c>
      <c r="G137" s="2">
        <f t="shared" si="92"/>
        <v>450</v>
      </c>
      <c r="H137" s="2">
        <f t="shared" si="92"/>
        <v>450</v>
      </c>
      <c r="I137" s="2">
        <f t="shared" si="92"/>
        <v>450</v>
      </c>
      <c r="J137" s="2">
        <f t="shared" si="92"/>
        <v>450</v>
      </c>
      <c r="K137" s="2">
        <f t="shared" si="92"/>
        <v>450</v>
      </c>
      <c r="L137" s="2">
        <f t="shared" si="92"/>
        <v>350</v>
      </c>
      <c r="M137" s="2">
        <f t="shared" si="92"/>
        <v>350</v>
      </c>
      <c r="N137" s="2">
        <f t="shared" si="92"/>
        <v>350</v>
      </c>
      <c r="O137" s="2">
        <f t="shared" si="92"/>
        <v>350</v>
      </c>
      <c r="P137" s="2">
        <f t="shared" si="92"/>
        <v>350</v>
      </c>
      <c r="Q137" s="2">
        <f t="shared" si="92"/>
        <v>350</v>
      </c>
      <c r="R137" s="2">
        <f t="shared" si="92"/>
        <v>350</v>
      </c>
      <c r="S137" s="25">
        <f t="shared" si="66"/>
        <v>4700</v>
      </c>
      <c r="T137" s="7" t="s">
        <v>805</v>
      </c>
      <c r="AC137" s="7"/>
    </row>
    <row r="138" ht="12.75" customHeight="1">
      <c r="A138" s="2" t="s">
        <v>828</v>
      </c>
      <c r="B138" s="2" t="s">
        <v>31</v>
      </c>
      <c r="C138" s="14" t="s">
        <v>829</v>
      </c>
      <c r="F138" s="43">
        <f t="shared" ref="F138:R138" si="93">IF(ISBLANK(F52),"",F52+F100)</f>
        <v>0</v>
      </c>
      <c r="G138" s="2">
        <f t="shared" si="93"/>
        <v>1035</v>
      </c>
      <c r="H138" s="2">
        <f t="shared" si="93"/>
        <v>400</v>
      </c>
      <c r="I138" s="2">
        <f t="shared" si="93"/>
        <v>250</v>
      </c>
      <c r="J138" s="2">
        <f t="shared" si="93"/>
        <v>2790</v>
      </c>
      <c r="K138" s="2">
        <f t="shared" si="93"/>
        <v>-7932</v>
      </c>
      <c r="L138" s="2">
        <f t="shared" si="93"/>
        <v>112</v>
      </c>
      <c r="M138" s="2">
        <f t="shared" si="93"/>
        <v>1315</v>
      </c>
      <c r="N138" s="2">
        <f t="shared" si="93"/>
        <v>350</v>
      </c>
      <c r="O138" s="2">
        <f t="shared" si="93"/>
        <v>-180</v>
      </c>
      <c r="P138" s="2">
        <f t="shared" si="93"/>
        <v>350</v>
      </c>
      <c r="Q138" s="2">
        <f t="shared" si="93"/>
        <v>180.1</v>
      </c>
      <c r="R138" s="2">
        <f t="shared" si="93"/>
        <v>-14.11</v>
      </c>
      <c r="S138" s="25">
        <f t="shared" si="66"/>
        <v>-1344.01</v>
      </c>
      <c r="T138" s="7" t="s">
        <v>31</v>
      </c>
      <c r="AC138" s="7"/>
    </row>
    <row r="139" ht="12.75" customHeight="1">
      <c r="A139" s="2" t="s">
        <v>828</v>
      </c>
      <c r="B139" s="7" t="s">
        <v>123</v>
      </c>
      <c r="C139" s="14" t="s">
        <v>829</v>
      </c>
      <c r="F139" s="43">
        <f t="shared" ref="F139:R139" si="94">IF(ISBLANK(F53),"",F53+F101)</f>
        <v>0</v>
      </c>
      <c r="G139" s="2">
        <f t="shared" si="94"/>
        <v>-199</v>
      </c>
      <c r="H139" s="2">
        <f t="shared" si="94"/>
        <v>200</v>
      </c>
      <c r="I139" s="2">
        <f t="shared" si="94"/>
        <v>200</v>
      </c>
      <c r="J139" s="2">
        <f t="shared" si="94"/>
        <v>200</v>
      </c>
      <c r="K139" s="2">
        <f t="shared" si="94"/>
        <v>-299</v>
      </c>
      <c r="L139" s="2">
        <f t="shared" si="94"/>
        <v>-2524</v>
      </c>
      <c r="M139" s="2">
        <f t="shared" si="94"/>
        <v>150</v>
      </c>
      <c r="N139" s="2">
        <f t="shared" si="94"/>
        <v>150</v>
      </c>
      <c r="O139" s="2">
        <f t="shared" si="94"/>
        <v>150</v>
      </c>
      <c r="P139" s="2">
        <f t="shared" si="94"/>
        <v>150</v>
      </c>
      <c r="Q139" s="2">
        <f t="shared" si="94"/>
        <v>150</v>
      </c>
      <c r="R139" s="2">
        <f t="shared" si="94"/>
        <v>150</v>
      </c>
      <c r="S139" s="25">
        <f t="shared" si="66"/>
        <v>-1522</v>
      </c>
      <c r="T139" s="7" t="s">
        <v>123</v>
      </c>
      <c r="AC139" s="7"/>
    </row>
    <row r="140" ht="12.75" customHeight="1">
      <c r="A140" s="2" t="s">
        <v>828</v>
      </c>
      <c r="B140" s="7" t="s">
        <v>35</v>
      </c>
      <c r="C140" s="14" t="s">
        <v>829</v>
      </c>
      <c r="F140" s="43">
        <f t="shared" ref="F140:R140" si="95">IF(ISBLANK(F54),"",F54+F102)</f>
        <v>0</v>
      </c>
      <c r="G140" s="2">
        <f t="shared" si="95"/>
        <v>3061</v>
      </c>
      <c r="H140" s="2">
        <f t="shared" si="95"/>
        <v>-1212.74</v>
      </c>
      <c r="I140" s="2">
        <f t="shared" si="95"/>
        <v>-549</v>
      </c>
      <c r="J140" s="2">
        <f t="shared" si="95"/>
        <v>-1226</v>
      </c>
      <c r="K140" s="2">
        <f t="shared" si="95"/>
        <v>-417.5</v>
      </c>
      <c r="L140" s="2">
        <f t="shared" si="95"/>
        <v>-17.6</v>
      </c>
      <c r="M140" s="2">
        <f t="shared" si="95"/>
        <v>300</v>
      </c>
      <c r="N140" s="2">
        <f t="shared" si="95"/>
        <v>3300</v>
      </c>
      <c r="O140" s="2">
        <f t="shared" si="95"/>
        <v>-8708</v>
      </c>
      <c r="P140" s="2">
        <f t="shared" si="95"/>
        <v>228.1</v>
      </c>
      <c r="Q140" s="2">
        <f t="shared" si="95"/>
        <v>-6265</v>
      </c>
      <c r="R140" s="2">
        <f t="shared" si="95"/>
        <v>0</v>
      </c>
      <c r="S140" s="25">
        <f t="shared" si="66"/>
        <v>-11506.74</v>
      </c>
      <c r="T140" s="7" t="s">
        <v>35</v>
      </c>
      <c r="U140" s="2" t="s">
        <v>832</v>
      </c>
      <c r="V140" s="6">
        <f>S121+S123+S122</f>
        <v>3852.93</v>
      </c>
      <c r="W140" s="6"/>
      <c r="X140" s="6"/>
      <c r="AC140" s="7"/>
    </row>
    <row r="141" ht="12.75" customHeight="1">
      <c r="A141" s="2" t="s">
        <v>828</v>
      </c>
      <c r="B141" s="2" t="s">
        <v>210</v>
      </c>
      <c r="C141" s="14" t="s">
        <v>829</v>
      </c>
      <c r="F141" s="43">
        <f t="shared" ref="F141:R141" si="96">IF(ISBLANK(F55),"",F55+F103)</f>
        <v>0</v>
      </c>
      <c r="G141" s="2">
        <f t="shared" si="96"/>
        <v>0</v>
      </c>
      <c r="H141" s="2">
        <f t="shared" si="96"/>
        <v>0</v>
      </c>
      <c r="I141" s="2">
        <f t="shared" si="96"/>
        <v>0</v>
      </c>
      <c r="J141" s="2">
        <f t="shared" si="96"/>
        <v>0</v>
      </c>
      <c r="K141" s="2">
        <f t="shared" si="96"/>
        <v>0</v>
      </c>
      <c r="L141" s="2">
        <f t="shared" si="96"/>
        <v>0</v>
      </c>
      <c r="M141" s="2">
        <f t="shared" si="96"/>
        <v>0</v>
      </c>
      <c r="N141" s="2">
        <f t="shared" si="96"/>
        <v>0</v>
      </c>
      <c r="O141" s="2">
        <f t="shared" si="96"/>
        <v>0</v>
      </c>
      <c r="P141" s="2">
        <f t="shared" si="96"/>
        <v>0</v>
      </c>
      <c r="Q141" s="2">
        <f t="shared" si="96"/>
        <v>-1875</v>
      </c>
      <c r="R141" s="2">
        <f t="shared" si="96"/>
        <v>1325</v>
      </c>
      <c r="S141" s="25">
        <f t="shared" si="66"/>
        <v>-550</v>
      </c>
      <c r="T141" s="7" t="s">
        <v>210</v>
      </c>
      <c r="U141" s="2" t="s">
        <v>833</v>
      </c>
      <c r="V141" s="6">
        <f>SUM(S121:S129)-S124</f>
        <v>16736.48636</v>
      </c>
      <c r="W141" s="2">
        <f>-600+50</f>
        <v>-550</v>
      </c>
      <c r="AC141" s="7"/>
    </row>
    <row r="142" ht="12.75" customHeight="1">
      <c r="A142" s="2" t="s">
        <v>828</v>
      </c>
      <c r="B142" s="2" t="s">
        <v>808</v>
      </c>
      <c r="C142" s="14" t="s">
        <v>829</v>
      </c>
      <c r="F142" s="43">
        <f t="shared" ref="F142:R142" si="97">IF(ISBLANK(F56),"",F56+F104)</f>
        <v>0</v>
      </c>
      <c r="G142" s="2">
        <f t="shared" si="97"/>
        <v>0</v>
      </c>
      <c r="H142" s="2">
        <f t="shared" si="97"/>
        <v>0</v>
      </c>
      <c r="I142" s="2">
        <f t="shared" si="97"/>
        <v>0</v>
      </c>
      <c r="J142" s="2">
        <f t="shared" si="97"/>
        <v>0</v>
      </c>
      <c r="K142" s="2">
        <f t="shared" si="97"/>
        <v>0</v>
      </c>
      <c r="L142" s="2">
        <f t="shared" si="97"/>
        <v>0</v>
      </c>
      <c r="M142" s="2">
        <f t="shared" si="97"/>
        <v>0</v>
      </c>
      <c r="N142" s="2">
        <f t="shared" si="97"/>
        <v>0</v>
      </c>
      <c r="O142" s="2">
        <f t="shared" si="97"/>
        <v>0</v>
      </c>
      <c r="P142" s="2">
        <f t="shared" si="97"/>
        <v>0</v>
      </c>
      <c r="Q142" s="2">
        <f t="shared" si="97"/>
        <v>0</v>
      </c>
      <c r="R142" s="2">
        <f t="shared" si="97"/>
        <v>0</v>
      </c>
      <c r="S142" s="25">
        <f t="shared" si="66"/>
        <v>0</v>
      </c>
      <c r="T142" s="7" t="s">
        <v>808</v>
      </c>
      <c r="U142" s="7" t="s">
        <v>834</v>
      </c>
      <c r="V142" s="12">
        <f>V160+S122+S121+S123</f>
        <v>16186.48636</v>
      </c>
      <c r="W142" s="2">
        <f>-275+5</f>
        <v>-270</v>
      </c>
      <c r="X142" s="6"/>
      <c r="AC142" s="7"/>
    </row>
    <row r="143" ht="12.75" customHeight="1">
      <c r="A143" s="2" t="s">
        <v>828</v>
      </c>
      <c r="B143" s="2" t="s">
        <v>810</v>
      </c>
      <c r="C143" s="14" t="s">
        <v>829</v>
      </c>
      <c r="F143" s="43">
        <f t="shared" ref="F143:R143" si="98">IF(ISBLANK(F57),"",F57+F105)</f>
        <v>0</v>
      </c>
      <c r="G143" s="2">
        <f t="shared" si="98"/>
        <v>280</v>
      </c>
      <c r="H143" s="2">
        <f t="shared" si="98"/>
        <v>280</v>
      </c>
      <c r="I143" s="2">
        <f t="shared" si="98"/>
        <v>280</v>
      </c>
      <c r="J143" s="2">
        <f t="shared" si="98"/>
        <v>280</v>
      </c>
      <c r="K143" s="2">
        <f t="shared" si="98"/>
        <v>280</v>
      </c>
      <c r="L143" s="2">
        <f t="shared" si="98"/>
        <v>280</v>
      </c>
      <c r="M143" s="2">
        <f t="shared" si="98"/>
        <v>280</v>
      </c>
      <c r="N143" s="2">
        <f t="shared" si="98"/>
        <v>280</v>
      </c>
      <c r="O143" s="2">
        <f t="shared" si="98"/>
        <v>280</v>
      </c>
      <c r="P143" s="2">
        <f t="shared" si="98"/>
        <v>280</v>
      </c>
      <c r="Q143" s="2">
        <f t="shared" si="98"/>
        <v>280</v>
      </c>
      <c r="R143" s="2">
        <f t="shared" si="98"/>
        <v>280</v>
      </c>
      <c r="S143" s="25">
        <f t="shared" si="66"/>
        <v>3360</v>
      </c>
      <c r="T143" s="7" t="s">
        <v>810</v>
      </c>
      <c r="U143" s="7" t="s">
        <v>835</v>
      </c>
      <c r="V143" s="6">
        <f>2500+S134</f>
        <v>-5828.16</v>
      </c>
      <c r="X143" s="6"/>
      <c r="AC143" s="7"/>
    </row>
    <row r="144" ht="17.25" customHeight="1">
      <c r="A144" s="2" t="s">
        <v>828</v>
      </c>
      <c r="B144" s="2" t="s">
        <v>744</v>
      </c>
      <c r="C144" s="7"/>
      <c r="F144" s="43">
        <f t="shared" ref="F144:R144" si="99">SUM(F111:F143)</f>
        <v>0</v>
      </c>
      <c r="G144" s="43">
        <f t="shared" si="99"/>
        <v>12147.24</v>
      </c>
      <c r="H144" s="43">
        <f t="shared" si="99"/>
        <v>7441.16</v>
      </c>
      <c r="I144" s="43">
        <f t="shared" si="99"/>
        <v>10216.86</v>
      </c>
      <c r="J144" s="43">
        <f t="shared" si="99"/>
        <v>4137.72</v>
      </c>
      <c r="K144" s="43">
        <f t="shared" si="99"/>
        <v>-3654.8</v>
      </c>
      <c r="L144" s="43">
        <f t="shared" si="99"/>
        <v>30284.17</v>
      </c>
      <c r="M144" s="43">
        <f t="shared" si="99"/>
        <v>-6619.72</v>
      </c>
      <c r="N144" s="43">
        <f t="shared" si="99"/>
        <v>2902.09</v>
      </c>
      <c r="O144" s="2">
        <f t="shared" si="99"/>
        <v>3818.54</v>
      </c>
      <c r="P144" s="43">
        <f t="shared" si="99"/>
        <v>2115.84</v>
      </c>
      <c r="Q144" s="2">
        <f t="shared" si="99"/>
        <v>138.22</v>
      </c>
      <c r="R144" s="43">
        <f t="shared" si="99"/>
        <v>10789.5</v>
      </c>
      <c r="S144" s="25">
        <f t="shared" si="66"/>
        <v>73716.82</v>
      </c>
      <c r="T144" s="25"/>
      <c r="W144" s="25">
        <f>SUM(W111:W143)</f>
        <v>8829.091107</v>
      </c>
    </row>
    <row r="145" ht="12.75" customHeight="1">
      <c r="A145" s="2" t="s">
        <v>828</v>
      </c>
      <c r="C145" s="7"/>
      <c r="S145" s="6"/>
      <c r="T145" s="6"/>
    </row>
    <row r="146" ht="12.75" hidden="1" customHeight="1">
      <c r="A146" s="2" t="s">
        <v>828</v>
      </c>
      <c r="C146" s="7"/>
      <c r="S146" s="6"/>
      <c r="T146" s="6"/>
      <c r="U146" s="7"/>
      <c r="V146" s="6"/>
    </row>
    <row r="147" ht="12.75" hidden="1" customHeight="1">
      <c r="A147" s="2" t="s">
        <v>828</v>
      </c>
      <c r="C147" s="7"/>
      <c r="S147" s="6"/>
      <c r="T147" s="6"/>
      <c r="U147" s="7"/>
      <c r="V147" s="6"/>
    </row>
    <row r="148" ht="12.75" hidden="1" customHeight="1">
      <c r="A148" s="2" t="s">
        <v>828</v>
      </c>
      <c r="C148" s="7"/>
      <c r="S148" s="6"/>
      <c r="T148" s="6"/>
      <c r="U148" s="7"/>
      <c r="V148" s="6"/>
    </row>
    <row r="149" ht="12.75" hidden="1" customHeight="1">
      <c r="A149" s="2" t="s">
        <v>828</v>
      </c>
      <c r="C149" s="7"/>
      <c r="S149" s="6"/>
      <c r="T149" s="6"/>
      <c r="U149" s="7"/>
      <c r="V149" s="6"/>
    </row>
    <row r="150" ht="12.75" hidden="1" customHeight="1">
      <c r="A150" s="2" t="s">
        <v>828</v>
      </c>
      <c r="C150" s="7"/>
      <c r="S150" s="6"/>
      <c r="T150" s="6"/>
      <c r="U150" s="7"/>
      <c r="V150" s="6"/>
    </row>
    <row r="151" ht="12.75" hidden="1" customHeight="1">
      <c r="A151" s="2" t="s">
        <v>828</v>
      </c>
      <c r="C151" s="7"/>
      <c r="S151" s="6"/>
      <c r="T151" s="6"/>
      <c r="U151" s="7"/>
      <c r="V151" s="6"/>
    </row>
    <row r="152" ht="12.75" hidden="1" customHeight="1">
      <c r="A152" s="2" t="s">
        <v>828</v>
      </c>
      <c r="C152" s="7"/>
      <c r="S152" s="6"/>
      <c r="T152" s="6"/>
      <c r="U152" s="7"/>
      <c r="V152" s="6"/>
    </row>
    <row r="153" ht="12.75" hidden="1" customHeight="1">
      <c r="A153" s="2" t="s">
        <v>828</v>
      </c>
      <c r="C153" s="7"/>
      <c r="S153" s="6"/>
      <c r="T153" s="6"/>
      <c r="U153" s="7"/>
      <c r="V153" s="6"/>
    </row>
    <row r="154" ht="12.75" hidden="1" customHeight="1">
      <c r="A154" s="2" t="s">
        <v>828</v>
      </c>
      <c r="C154" s="7"/>
      <c r="S154" s="6"/>
      <c r="T154" s="6"/>
      <c r="U154" s="7"/>
      <c r="V154" s="6"/>
    </row>
    <row r="155" ht="12.75" hidden="1" customHeight="1">
      <c r="A155" s="2" t="s">
        <v>828</v>
      </c>
      <c r="C155" s="7"/>
      <c r="S155" s="6"/>
      <c r="T155" s="6"/>
      <c r="U155" s="7"/>
      <c r="V155" s="6"/>
    </row>
    <row r="156" ht="12.75" hidden="1" customHeight="1">
      <c r="A156" s="2" t="s">
        <v>828</v>
      </c>
      <c r="C156" s="7"/>
      <c r="S156" s="6"/>
      <c r="T156" s="6"/>
      <c r="U156" s="7"/>
      <c r="V156" s="6"/>
    </row>
    <row r="157" ht="12.75" hidden="1" customHeight="1">
      <c r="A157" s="2" t="s">
        <v>828</v>
      </c>
      <c r="C157" s="7"/>
      <c r="S157" s="6"/>
      <c r="T157" s="6"/>
      <c r="U157" s="7"/>
      <c r="V157" s="6"/>
    </row>
    <row r="158" ht="12.75" hidden="1" customHeight="1">
      <c r="A158" s="2" t="s">
        <v>828</v>
      </c>
      <c r="C158" s="7"/>
      <c r="S158" s="6"/>
      <c r="T158" s="6"/>
      <c r="U158" s="7"/>
      <c r="V158" s="6"/>
    </row>
    <row r="159" ht="12.75" hidden="1" customHeight="1">
      <c r="A159" s="2" t="s">
        <v>828</v>
      </c>
      <c r="C159" s="7"/>
      <c r="S159" s="6"/>
      <c r="T159" s="6"/>
      <c r="U159" s="7"/>
      <c r="V159" s="6"/>
    </row>
    <row r="160" ht="12.75" customHeight="1">
      <c r="A160" s="2" t="s">
        <v>828</v>
      </c>
      <c r="C160" s="7"/>
      <c r="S160" s="6"/>
      <c r="T160" s="6"/>
      <c r="U160" s="2" t="s">
        <v>836</v>
      </c>
      <c r="V160" s="6">
        <f>SUM(S125:S129)+S141+S142</f>
        <v>12333.55636</v>
      </c>
    </row>
    <row r="161" ht="12.75" customHeight="1">
      <c r="A161" s="2" t="s">
        <v>828</v>
      </c>
      <c r="B161" s="14" t="s">
        <v>837</v>
      </c>
      <c r="C161" s="7"/>
      <c r="S161" s="6"/>
      <c r="T161" s="6"/>
    </row>
    <row r="162" ht="12.75" customHeight="1">
      <c r="A162" s="2" t="s">
        <v>828</v>
      </c>
      <c r="C162" s="7"/>
      <c r="S162" s="6" t="s">
        <v>744</v>
      </c>
      <c r="T162" s="6"/>
    </row>
    <row r="163" ht="12.75" customHeight="1">
      <c r="A163" s="2" t="s">
        <v>828</v>
      </c>
      <c r="B163" s="14" t="s">
        <v>765</v>
      </c>
      <c r="C163" s="14" t="s">
        <v>765</v>
      </c>
      <c r="D163" s="14" t="s">
        <v>765</v>
      </c>
      <c r="E163" s="14"/>
      <c r="F163" s="14" t="s">
        <v>765</v>
      </c>
      <c r="G163" s="14" t="s">
        <v>765</v>
      </c>
      <c r="H163" s="14" t="s">
        <v>765</v>
      </c>
      <c r="I163" s="14" t="s">
        <v>765</v>
      </c>
      <c r="J163" s="14" t="s">
        <v>765</v>
      </c>
      <c r="K163" s="14" t="s">
        <v>765</v>
      </c>
      <c r="L163" s="14" t="s">
        <v>765</v>
      </c>
      <c r="M163" s="14" t="s">
        <v>765</v>
      </c>
      <c r="N163" s="14" t="s">
        <v>765</v>
      </c>
      <c r="O163" s="14" t="s">
        <v>765</v>
      </c>
      <c r="P163" s="14" t="s">
        <v>765</v>
      </c>
      <c r="Q163" s="14" t="s">
        <v>765</v>
      </c>
      <c r="R163" s="14" t="s">
        <v>765</v>
      </c>
      <c r="S163" s="28" t="s">
        <v>765</v>
      </c>
      <c r="T163" s="28"/>
      <c r="U163" s="14" t="s">
        <v>765</v>
      </c>
    </row>
    <row r="164" ht="12.75" customHeight="1">
      <c r="A164" s="2" t="s">
        <v>828</v>
      </c>
      <c r="C164" s="7" t="s">
        <v>795</v>
      </c>
      <c r="S164" s="6"/>
      <c r="T164" s="6"/>
    </row>
    <row r="165" ht="12.75" customHeight="1">
      <c r="A165" s="2" t="s">
        <v>828</v>
      </c>
      <c r="B165" s="2" t="s">
        <v>838</v>
      </c>
      <c r="C165" s="7"/>
      <c r="F165" s="40">
        <f t="shared" ref="F165:R165" si="100">IF(F112 = "","",F112+F113+F114+F115+F116+F117+F119+F120)</f>
        <v>0</v>
      </c>
      <c r="G165" s="40">
        <f t="shared" si="100"/>
        <v>1072.916667</v>
      </c>
      <c r="H165" s="40">
        <f t="shared" si="100"/>
        <v>-1487.083333</v>
      </c>
      <c r="I165" s="40">
        <f t="shared" si="100"/>
        <v>1404.916667</v>
      </c>
      <c r="J165" s="40">
        <f t="shared" si="100"/>
        <v>840.9166667</v>
      </c>
      <c r="K165" s="40">
        <f t="shared" si="100"/>
        <v>-2600.083333</v>
      </c>
      <c r="L165" s="40">
        <f t="shared" si="100"/>
        <v>1594.916667</v>
      </c>
      <c r="M165" s="40">
        <f t="shared" si="100"/>
        <v>1089.916667</v>
      </c>
      <c r="N165" s="40">
        <f t="shared" si="100"/>
        <v>-1906.083333</v>
      </c>
      <c r="O165" s="40">
        <f t="shared" si="100"/>
        <v>969.9166667</v>
      </c>
      <c r="P165" s="40">
        <f t="shared" si="100"/>
        <v>588.9166667</v>
      </c>
      <c r="Q165" s="40">
        <f t="shared" si="100"/>
        <v>-1448.083333</v>
      </c>
      <c r="R165" s="40">
        <f t="shared" si="100"/>
        <v>627.9166667</v>
      </c>
      <c r="S165" s="45">
        <f t="shared" ref="S165:S174" si="102">SUM(F165:R165)</f>
        <v>749</v>
      </c>
      <c r="T165" s="2" t="s">
        <v>838</v>
      </c>
    </row>
    <row r="166" ht="12.75" customHeight="1">
      <c r="A166" s="2" t="s">
        <v>828</v>
      </c>
      <c r="B166" s="7" t="s">
        <v>839</v>
      </c>
      <c r="C166" s="7"/>
      <c r="F166" s="40">
        <f t="shared" ref="F166:R166" si="101">IF(F118 = "","",F118)</f>
        <v>0</v>
      </c>
      <c r="G166" s="40">
        <f t="shared" si="101"/>
        <v>-233</v>
      </c>
      <c r="H166" s="40">
        <f t="shared" si="101"/>
        <v>200</v>
      </c>
      <c r="I166" s="40">
        <f t="shared" si="101"/>
        <v>-213</v>
      </c>
      <c r="J166" s="40">
        <f t="shared" si="101"/>
        <v>200</v>
      </c>
      <c r="K166" s="40">
        <f t="shared" si="101"/>
        <v>-3</v>
      </c>
      <c r="L166" s="40">
        <f t="shared" si="101"/>
        <v>-47</v>
      </c>
      <c r="M166" s="40">
        <f t="shared" si="101"/>
        <v>37</v>
      </c>
      <c r="N166" s="40">
        <f t="shared" si="101"/>
        <v>200</v>
      </c>
      <c r="O166" s="40">
        <f t="shared" si="101"/>
        <v>-205</v>
      </c>
      <c r="P166" s="40">
        <f t="shared" si="101"/>
        <v>200</v>
      </c>
      <c r="Q166" s="40">
        <f t="shared" si="101"/>
        <v>37</v>
      </c>
      <c r="R166" s="40">
        <f t="shared" si="101"/>
        <v>200</v>
      </c>
      <c r="S166" s="45">
        <f t="shared" si="102"/>
        <v>373</v>
      </c>
      <c r="T166" s="7" t="s">
        <v>839</v>
      </c>
    </row>
    <row r="167" ht="24.75" customHeight="1">
      <c r="A167" s="2" t="s">
        <v>828</v>
      </c>
      <c r="B167" s="7" t="s">
        <v>840</v>
      </c>
      <c r="C167" s="7">
        <f>C35+C36+C37+C39</f>
        <v>2730</v>
      </c>
      <c r="F167" s="40">
        <f t="shared" ref="F167:R167" si="103">IF(F125 = "","",F125+F123+F122+F121)</f>
        <v>0</v>
      </c>
      <c r="G167" s="40">
        <f t="shared" si="103"/>
        <v>6353.84</v>
      </c>
      <c r="H167" s="40">
        <f t="shared" si="103"/>
        <v>-645.3</v>
      </c>
      <c r="I167" s="40">
        <f t="shared" si="103"/>
        <v>-1015.34</v>
      </c>
      <c r="J167" s="40">
        <f t="shared" si="103"/>
        <v>2576.82</v>
      </c>
      <c r="K167" s="40">
        <f t="shared" si="103"/>
        <v>2016</v>
      </c>
      <c r="L167" s="40">
        <f t="shared" si="103"/>
        <v>104.52</v>
      </c>
      <c r="M167" s="40">
        <f t="shared" si="103"/>
        <v>1801</v>
      </c>
      <c r="N167" s="40">
        <f t="shared" si="103"/>
        <v>170.2</v>
      </c>
      <c r="O167" s="40">
        <f t="shared" si="103"/>
        <v>119.38</v>
      </c>
      <c r="P167" s="40">
        <f t="shared" si="103"/>
        <v>-910.46</v>
      </c>
      <c r="Q167" s="40">
        <f t="shared" si="103"/>
        <v>214.22</v>
      </c>
      <c r="R167" s="40">
        <f t="shared" si="103"/>
        <v>872.41</v>
      </c>
      <c r="S167" s="46">
        <f t="shared" si="102"/>
        <v>11657.29</v>
      </c>
      <c r="T167" s="7" t="s">
        <v>840</v>
      </c>
      <c r="V167" s="47">
        <f>(S167+S169)/4</f>
        <v>4046.621591</v>
      </c>
    </row>
    <row r="168" ht="12.75" customHeight="1">
      <c r="A168" s="2" t="s">
        <v>828</v>
      </c>
      <c r="B168" s="2" t="s">
        <v>841</v>
      </c>
      <c r="C168" s="7">
        <f>C38</f>
        <v>1441.363636</v>
      </c>
      <c r="F168" s="40">
        <f t="shared" ref="F168:R168" si="104">IF(F124 = "","",F124)</f>
        <v>0</v>
      </c>
      <c r="G168" s="40">
        <f t="shared" si="104"/>
        <v>-443.6363636</v>
      </c>
      <c r="H168" s="40">
        <f t="shared" si="104"/>
        <v>641.3636364</v>
      </c>
      <c r="I168" s="40">
        <f t="shared" si="104"/>
        <v>-313.6363636</v>
      </c>
      <c r="J168" s="40">
        <f t="shared" si="104"/>
        <v>-158.6363636</v>
      </c>
      <c r="K168" s="40">
        <f t="shared" si="104"/>
        <v>562.3636364</v>
      </c>
      <c r="L168" s="40">
        <f t="shared" si="104"/>
        <v>1266.363636</v>
      </c>
      <c r="M168" s="40">
        <f t="shared" si="104"/>
        <v>1441.363636</v>
      </c>
      <c r="N168" s="40">
        <f t="shared" si="104"/>
        <v>-56.63636364</v>
      </c>
      <c r="O168" s="40">
        <f t="shared" si="104"/>
        <v>-541.6363636</v>
      </c>
      <c r="P168" s="40">
        <f t="shared" si="104"/>
        <v>316.3636364</v>
      </c>
      <c r="Q168" s="40">
        <f t="shared" si="104"/>
        <v>-568.6363636</v>
      </c>
      <c r="R168" s="40">
        <f t="shared" si="104"/>
        <v>477.3636364</v>
      </c>
      <c r="S168" s="45">
        <f t="shared" si="102"/>
        <v>2622.363636</v>
      </c>
      <c r="T168" s="6" t="s">
        <v>842</v>
      </c>
    </row>
    <row r="169" ht="23.25" customHeight="1">
      <c r="A169" s="2" t="s">
        <v>828</v>
      </c>
      <c r="B169" s="7" t="s">
        <v>843</v>
      </c>
      <c r="C169" s="7">
        <f>C40+C41+C42+C43+C55+C56</f>
        <v>1724.999697</v>
      </c>
      <c r="F169" s="40">
        <f t="shared" ref="F169:R169" si="105">IF(F129 = "","",F129+F128+F127+F126+F141+F142)</f>
        <v>0</v>
      </c>
      <c r="G169" s="40">
        <f t="shared" si="105"/>
        <v>1724.999697</v>
      </c>
      <c r="H169" s="40">
        <f t="shared" si="105"/>
        <v>1176.999697</v>
      </c>
      <c r="I169" s="40">
        <f t="shared" si="105"/>
        <v>1366.999697</v>
      </c>
      <c r="J169" s="40">
        <f t="shared" si="105"/>
        <v>1252.999697</v>
      </c>
      <c r="K169" s="40">
        <f t="shared" si="105"/>
        <v>-656.500303</v>
      </c>
      <c r="L169" s="40">
        <f t="shared" si="105"/>
        <v>809.999697</v>
      </c>
      <c r="M169" s="40">
        <f t="shared" si="105"/>
        <v>1272.999697</v>
      </c>
      <c r="N169" s="40">
        <f t="shared" si="105"/>
        <v>-1328.000303</v>
      </c>
      <c r="O169" s="40">
        <f t="shared" si="105"/>
        <v>157.999697</v>
      </c>
      <c r="P169" s="40">
        <f t="shared" si="105"/>
        <v>842.999697</v>
      </c>
      <c r="Q169" s="40">
        <f t="shared" si="105"/>
        <v>-3651.300303</v>
      </c>
      <c r="R169" s="40">
        <f t="shared" si="105"/>
        <v>1558.999697</v>
      </c>
      <c r="S169" s="46">
        <f t="shared" si="102"/>
        <v>4529.196364</v>
      </c>
      <c r="T169" s="7" t="s">
        <v>843</v>
      </c>
      <c r="V169" s="2">
        <f>S169/4</f>
        <v>1132.299091</v>
      </c>
    </row>
    <row r="170" ht="12.75" customHeight="1">
      <c r="A170" s="2" t="s">
        <v>828</v>
      </c>
      <c r="B170" s="7" t="s">
        <v>844</v>
      </c>
      <c r="C170" s="7"/>
      <c r="F170" s="43">
        <f t="shared" ref="F170:R170" si="106">IF(F139 = "","",F139)</f>
        <v>0</v>
      </c>
      <c r="G170" s="2">
        <f t="shared" si="106"/>
        <v>-199</v>
      </c>
      <c r="H170" s="2">
        <f t="shared" si="106"/>
        <v>200</v>
      </c>
      <c r="I170" s="2">
        <f t="shared" si="106"/>
        <v>200</v>
      </c>
      <c r="J170" s="2">
        <f t="shared" si="106"/>
        <v>200</v>
      </c>
      <c r="K170" s="2">
        <f t="shared" si="106"/>
        <v>-299</v>
      </c>
      <c r="L170" s="2">
        <f t="shared" si="106"/>
        <v>-2524</v>
      </c>
      <c r="M170" s="2">
        <f t="shared" si="106"/>
        <v>150</v>
      </c>
      <c r="N170" s="2">
        <f t="shared" si="106"/>
        <v>150</v>
      </c>
      <c r="O170" s="2">
        <f t="shared" si="106"/>
        <v>150</v>
      </c>
      <c r="P170" s="2">
        <f t="shared" si="106"/>
        <v>150</v>
      </c>
      <c r="Q170" s="2">
        <f t="shared" si="106"/>
        <v>150</v>
      </c>
      <c r="R170" s="2">
        <f t="shared" si="106"/>
        <v>150</v>
      </c>
      <c r="S170" s="45">
        <f t="shared" si="102"/>
        <v>-1522</v>
      </c>
      <c r="T170" s="7" t="s">
        <v>844</v>
      </c>
    </row>
    <row r="171" ht="20.25" customHeight="1">
      <c r="A171" s="2" t="s">
        <v>828</v>
      </c>
      <c r="B171" s="7" t="s">
        <v>845</v>
      </c>
      <c r="C171" s="7">
        <f>IF(C45="","",C45+C46+C47)</f>
        <v>735</v>
      </c>
      <c r="F171" s="40">
        <f t="shared" ref="F171:R171" si="107">IF(F132="","",F132+F131+F133)</f>
        <v>0</v>
      </c>
      <c r="G171" s="40">
        <f t="shared" si="107"/>
        <v>-1285</v>
      </c>
      <c r="H171" s="40">
        <f t="shared" si="107"/>
        <v>685</v>
      </c>
      <c r="I171" s="40">
        <f t="shared" si="107"/>
        <v>685</v>
      </c>
      <c r="J171" s="40">
        <f t="shared" si="107"/>
        <v>-1813</v>
      </c>
      <c r="K171" s="40">
        <f t="shared" si="107"/>
        <v>685</v>
      </c>
      <c r="L171" s="40">
        <f t="shared" si="107"/>
        <v>-570</v>
      </c>
      <c r="M171" s="40">
        <f t="shared" si="107"/>
        <v>235</v>
      </c>
      <c r="N171" s="40">
        <f t="shared" si="107"/>
        <v>-2583</v>
      </c>
      <c r="O171" s="40">
        <f t="shared" si="107"/>
        <v>635</v>
      </c>
      <c r="P171" s="40">
        <f t="shared" si="107"/>
        <v>-835</v>
      </c>
      <c r="Q171" s="40">
        <f t="shared" si="107"/>
        <v>635</v>
      </c>
      <c r="R171" s="40">
        <f t="shared" si="107"/>
        <v>200</v>
      </c>
      <c r="S171" s="45">
        <f t="shared" si="102"/>
        <v>-3326</v>
      </c>
      <c r="T171" s="7" t="s">
        <v>845</v>
      </c>
    </row>
    <row r="172" ht="12.75" customHeight="1">
      <c r="A172" s="2" t="s">
        <v>828</v>
      </c>
      <c r="B172" s="2" t="s">
        <v>846</v>
      </c>
      <c r="C172" s="7"/>
      <c r="F172" s="12">
        <f t="shared" ref="F172:R172" si="108">IF(F136 = "","",F136)</f>
        <v>0</v>
      </c>
      <c r="G172" s="12">
        <f t="shared" si="108"/>
        <v>1250</v>
      </c>
      <c r="H172" s="12">
        <f t="shared" si="108"/>
        <v>1250</v>
      </c>
      <c r="I172" s="12">
        <f t="shared" si="108"/>
        <v>1250</v>
      </c>
      <c r="J172" s="12">
        <f t="shared" si="108"/>
        <v>-3835</v>
      </c>
      <c r="K172" s="12">
        <f t="shared" si="108"/>
        <v>1250</v>
      </c>
      <c r="L172" s="12">
        <f t="shared" si="108"/>
        <v>994.05</v>
      </c>
      <c r="M172" s="12">
        <f t="shared" si="108"/>
        <v>-12475.42</v>
      </c>
      <c r="N172" s="12">
        <f t="shared" si="108"/>
        <v>-2365.31</v>
      </c>
      <c r="O172" s="12">
        <f t="shared" si="108"/>
        <v>3887.96</v>
      </c>
      <c r="P172" s="12">
        <f t="shared" si="108"/>
        <v>1371</v>
      </c>
      <c r="Q172" s="12">
        <f t="shared" si="108"/>
        <v>1250</v>
      </c>
      <c r="R172" s="12">
        <f t="shared" si="108"/>
        <v>1250</v>
      </c>
      <c r="S172" s="45">
        <f t="shared" si="102"/>
        <v>-4922.72</v>
      </c>
      <c r="T172" s="2" t="s">
        <v>846</v>
      </c>
    </row>
    <row r="173" ht="20.25" customHeight="1">
      <c r="A173" s="2" t="s">
        <v>828</v>
      </c>
      <c r="B173" s="7" t="s">
        <v>847</v>
      </c>
      <c r="C173" s="7">
        <f>IF(C48="","",C48+C51+C52)</f>
        <v>1931.72</v>
      </c>
      <c r="F173" s="40">
        <f t="shared" ref="F173:R173" si="109">IF(F134="","",F134+F137+F138)</f>
        <v>0</v>
      </c>
      <c r="G173" s="40">
        <f t="shared" si="109"/>
        <v>-3913.28</v>
      </c>
      <c r="H173" s="40">
        <f t="shared" si="109"/>
        <v>1782.72</v>
      </c>
      <c r="I173" s="40">
        <f t="shared" si="109"/>
        <v>2351.72</v>
      </c>
      <c r="J173" s="40">
        <f t="shared" si="109"/>
        <v>1154.42</v>
      </c>
      <c r="K173" s="40">
        <f t="shared" si="109"/>
        <v>-9270.28</v>
      </c>
      <c r="L173" s="40">
        <f t="shared" si="109"/>
        <v>563.72</v>
      </c>
      <c r="M173" s="40">
        <f t="shared" si="109"/>
        <v>-5713.78</v>
      </c>
      <c r="N173" s="40">
        <f t="shared" si="109"/>
        <v>1605.72</v>
      </c>
      <c r="O173" s="40">
        <f t="shared" si="109"/>
        <v>2673.72</v>
      </c>
      <c r="P173" s="40">
        <f t="shared" si="109"/>
        <v>-3263.28</v>
      </c>
      <c r="Q173" s="40">
        <f t="shared" si="109"/>
        <v>3749.82</v>
      </c>
      <c r="R173" s="40">
        <f t="shared" si="109"/>
        <v>3306.61</v>
      </c>
      <c r="S173" s="45">
        <f t="shared" si="102"/>
        <v>-4972.17</v>
      </c>
      <c r="T173" s="7" t="s">
        <v>847</v>
      </c>
    </row>
    <row r="174" ht="12.75" customHeight="1">
      <c r="A174" s="2" t="s">
        <v>828</v>
      </c>
      <c r="B174" s="7" t="s">
        <v>848</v>
      </c>
      <c r="C174" s="7"/>
      <c r="F174" s="40">
        <f t="shared" ref="F174:R174" si="110">IF(F140 = "","",F140)</f>
        <v>0</v>
      </c>
      <c r="G174" s="40">
        <f t="shared" si="110"/>
        <v>3061</v>
      </c>
      <c r="H174" s="40">
        <f t="shared" si="110"/>
        <v>-1212.74</v>
      </c>
      <c r="I174" s="40">
        <f t="shared" si="110"/>
        <v>-549</v>
      </c>
      <c r="J174" s="40">
        <f t="shared" si="110"/>
        <v>-1226</v>
      </c>
      <c r="K174" s="40">
        <f t="shared" si="110"/>
        <v>-417.5</v>
      </c>
      <c r="L174" s="40">
        <f t="shared" si="110"/>
        <v>-17.6</v>
      </c>
      <c r="M174" s="40">
        <f t="shared" si="110"/>
        <v>300</v>
      </c>
      <c r="N174" s="40">
        <f t="shared" si="110"/>
        <v>3300</v>
      </c>
      <c r="O174" s="40">
        <f t="shared" si="110"/>
        <v>-8708</v>
      </c>
      <c r="P174" s="40">
        <f t="shared" si="110"/>
        <v>228.1</v>
      </c>
      <c r="Q174" s="40">
        <f t="shared" si="110"/>
        <v>-6265</v>
      </c>
      <c r="R174" s="40">
        <f t="shared" si="110"/>
        <v>0</v>
      </c>
      <c r="S174" s="45">
        <f t="shared" si="102"/>
        <v>-11506.74</v>
      </c>
      <c r="T174" s="7" t="s">
        <v>848</v>
      </c>
      <c r="V174" s="2" t="s">
        <v>849</v>
      </c>
    </row>
    <row r="175" ht="12.75" customHeight="1">
      <c r="A175" s="2" t="s">
        <v>828</v>
      </c>
      <c r="B175" s="2" t="s">
        <v>850</v>
      </c>
      <c r="C175" s="7"/>
      <c r="F175" s="40">
        <f t="shared" ref="F175:S175" si="111">IF(F143 = "","",F143+F130+F135+F111)</f>
        <v>0</v>
      </c>
      <c r="G175" s="40">
        <f t="shared" si="111"/>
        <v>4758.4</v>
      </c>
      <c r="H175" s="40">
        <f t="shared" si="111"/>
        <v>4850.2</v>
      </c>
      <c r="I175" s="40">
        <f t="shared" si="111"/>
        <v>5049.2</v>
      </c>
      <c r="J175" s="40">
        <f t="shared" si="111"/>
        <v>4945.2</v>
      </c>
      <c r="K175" s="40">
        <f t="shared" si="111"/>
        <v>5078.2</v>
      </c>
      <c r="L175" s="40">
        <f t="shared" si="111"/>
        <v>28109.2</v>
      </c>
      <c r="M175" s="40">
        <f t="shared" si="111"/>
        <v>5242.2</v>
      </c>
      <c r="N175" s="40">
        <f t="shared" si="111"/>
        <v>5715.2</v>
      </c>
      <c r="O175" s="40">
        <f t="shared" si="111"/>
        <v>4679.2</v>
      </c>
      <c r="P175" s="40">
        <f t="shared" si="111"/>
        <v>3427.2</v>
      </c>
      <c r="Q175" s="40">
        <f t="shared" si="111"/>
        <v>6035.2</v>
      </c>
      <c r="R175" s="40">
        <f t="shared" si="111"/>
        <v>2146.2</v>
      </c>
      <c r="S175" s="41">
        <f t="shared" si="111"/>
        <v>80035.6</v>
      </c>
      <c r="T175" s="7" t="s">
        <v>851</v>
      </c>
      <c r="V175" s="40">
        <f>S175+W175</f>
        <v>117964.28</v>
      </c>
      <c r="W175" s="48">
        <v>37928.68</v>
      </c>
    </row>
    <row r="176" ht="12.75" customHeight="1">
      <c r="A176" s="2" t="s">
        <v>828</v>
      </c>
      <c r="C176" s="7"/>
      <c r="S176" s="47">
        <f>SUM(S165:S175)</f>
        <v>73716.82</v>
      </c>
      <c r="T176" s="6"/>
      <c r="V176" s="2" t="s">
        <v>852</v>
      </c>
      <c r="W176" s="2" t="str">
        <f>IF(V177=0,"Ja","Nej")</f>
        <v>Ja</v>
      </c>
    </row>
    <row r="177" ht="12.75" customHeight="1">
      <c r="A177" s="2" t="s">
        <v>828</v>
      </c>
      <c r="B177" s="2" t="s">
        <v>853</v>
      </c>
      <c r="C177" s="7">
        <f>C36+C39+C40+C41+C42+C43+C55+C56</f>
        <v>4424.999697</v>
      </c>
      <c r="F177" s="40">
        <f t="shared" ref="F177:R177" si="112">IF(F122="","",F122+F125+F126+F127+F128+F129+F138+F141+F142)</f>
        <v>0</v>
      </c>
      <c r="G177" s="40">
        <f t="shared" si="112"/>
        <v>9083.839697</v>
      </c>
      <c r="H177" s="40">
        <f t="shared" si="112"/>
        <v>901.699697</v>
      </c>
      <c r="I177" s="40">
        <f t="shared" si="112"/>
        <v>571.659697</v>
      </c>
      <c r="J177" s="40">
        <f t="shared" si="112"/>
        <v>6589.819697</v>
      </c>
      <c r="K177" s="40">
        <f t="shared" si="112"/>
        <v>-6602.500303</v>
      </c>
      <c r="L177" s="40">
        <f t="shared" si="112"/>
        <v>996.519697</v>
      </c>
      <c r="M177" s="40">
        <f t="shared" si="112"/>
        <v>4358.999697</v>
      </c>
      <c r="N177" s="40">
        <f t="shared" si="112"/>
        <v>-837.800303</v>
      </c>
      <c r="O177" s="40">
        <f t="shared" si="112"/>
        <v>67.37969697</v>
      </c>
      <c r="P177" s="40">
        <f t="shared" si="112"/>
        <v>252.539697</v>
      </c>
      <c r="Q177" s="40">
        <f t="shared" si="112"/>
        <v>-3286.980303</v>
      </c>
      <c r="R177" s="40">
        <f t="shared" si="112"/>
        <v>2387.299697</v>
      </c>
      <c r="S177" s="45">
        <f>IF(S122="","",S122+S125+S126+S127+S128+S129+S141+S142)</f>
        <v>15826.48636</v>
      </c>
      <c r="T177" s="2" t="s">
        <v>854</v>
      </c>
      <c r="V177" s="18">
        <f>S176-S144</f>
        <v>0</v>
      </c>
    </row>
    <row r="178" ht="12.75" customHeight="1">
      <c r="A178" s="2" t="s">
        <v>828</v>
      </c>
      <c r="B178" s="2" t="s">
        <v>855</v>
      </c>
      <c r="C178" s="7">
        <f>C177/4.5</f>
        <v>983.333266</v>
      </c>
      <c r="S178" s="49">
        <f>IF(S122="","",S122+S123+S125+S126+S127+S128+S129+S140+S141+S142)</f>
        <v>4319.746364</v>
      </c>
      <c r="T178" s="6" t="s">
        <v>856</v>
      </c>
    </row>
    <row r="179" ht="12.75" customHeight="1">
      <c r="A179" s="2" t="s">
        <v>828</v>
      </c>
      <c r="B179" s="2" t="s">
        <v>857</v>
      </c>
      <c r="C179" s="7"/>
      <c r="S179" s="50">
        <f>(S121+S122+S123+S125)*0+S167</f>
        <v>11657.29</v>
      </c>
      <c r="T179" s="2" t="s">
        <v>857</v>
      </c>
    </row>
    <row r="180" ht="12.75" customHeight="1">
      <c r="B180" s="2" t="s">
        <v>858</v>
      </c>
      <c r="C180" s="7">
        <f>C177/D180</f>
        <v>884.9999394</v>
      </c>
      <c r="D180" s="2">
        <v>5.0</v>
      </c>
      <c r="S180" s="6"/>
      <c r="T180" s="6"/>
    </row>
    <row r="181" ht="12.75" customHeight="1">
      <c r="B181" s="2" t="s">
        <v>859</v>
      </c>
      <c r="C181" s="7"/>
      <c r="S181" s="6">
        <f>7000*0.65</f>
        <v>4550</v>
      </c>
      <c r="T181" s="6" t="s">
        <v>860</v>
      </c>
    </row>
    <row r="182" ht="12.75" customHeight="1">
      <c r="B182" s="14" t="s">
        <v>861</v>
      </c>
      <c r="C182" s="7"/>
      <c r="S182" s="6">
        <f>S181+S172+S173+500*2*3</f>
        <v>-2344.89</v>
      </c>
      <c r="T182" s="6" t="s">
        <v>862</v>
      </c>
    </row>
    <row r="183" ht="20.25" customHeight="1">
      <c r="B183" s="2" t="s">
        <v>863</v>
      </c>
      <c r="C183" s="7"/>
      <c r="S183" s="6">
        <v>-7000.0</v>
      </c>
      <c r="T183" s="6" t="s">
        <v>864</v>
      </c>
    </row>
    <row r="184" ht="12.75" customHeight="1">
      <c r="B184" s="2" t="s">
        <v>865</v>
      </c>
      <c r="C184" s="7"/>
      <c r="S184" s="6">
        <v>-7500.0</v>
      </c>
      <c r="T184" s="6" t="s">
        <v>866</v>
      </c>
    </row>
    <row r="185" ht="12.75" customHeight="1">
      <c r="B185" s="2" t="s">
        <v>867</v>
      </c>
      <c r="C185" s="7"/>
      <c r="S185" s="6">
        <f>SUM(S182:S184)</f>
        <v>-16844.89</v>
      </c>
      <c r="T185" s="6"/>
    </row>
    <row r="186" ht="12.75" customHeight="1">
      <c r="B186" s="2" t="s">
        <v>868</v>
      </c>
      <c r="C186" s="7"/>
      <c r="S186" s="6"/>
      <c r="T186" s="6"/>
    </row>
    <row r="187" ht="12.75" customHeight="1">
      <c r="B187" s="2" t="s">
        <v>869</v>
      </c>
      <c r="C187" s="7"/>
      <c r="S187" s="6"/>
      <c r="T187" s="6"/>
    </row>
    <row r="188" ht="12.75" customHeight="1">
      <c r="B188" s="2" t="s">
        <v>870</v>
      </c>
      <c r="C188" s="7"/>
      <c r="S188" s="6"/>
      <c r="T188" s="6"/>
    </row>
    <row r="189" ht="12.75" customHeight="1">
      <c r="B189" s="2" t="s">
        <v>871</v>
      </c>
      <c r="C189" s="7"/>
      <c r="S189" s="6"/>
      <c r="T189" s="6"/>
    </row>
    <row r="190" ht="12.75" customHeight="1">
      <c r="B190" s="2" t="s">
        <v>872</v>
      </c>
      <c r="C190" s="7" t="s">
        <v>800</v>
      </c>
      <c r="D190" s="2" t="s">
        <v>873</v>
      </c>
      <c r="F190" s="2" t="s">
        <v>874</v>
      </c>
      <c r="S190" s="6"/>
      <c r="T190" s="6"/>
    </row>
    <row r="191" ht="12.75" customHeight="1">
      <c r="B191" s="2" t="s">
        <v>875</v>
      </c>
      <c r="C191" s="7"/>
      <c r="S191" s="6"/>
      <c r="T191" s="6"/>
    </row>
    <row r="192" ht="12.75" customHeight="1">
      <c r="B192" s="2" t="s">
        <v>872</v>
      </c>
      <c r="C192" s="7" t="s">
        <v>810</v>
      </c>
      <c r="D192" s="2" t="s">
        <v>873</v>
      </c>
      <c r="F192" s="2" t="s">
        <v>876</v>
      </c>
      <c r="S192" s="6"/>
      <c r="T192" s="6"/>
    </row>
    <row r="193" ht="12.75" customHeight="1">
      <c r="B193" s="2" t="s">
        <v>877</v>
      </c>
      <c r="C193" s="7"/>
      <c r="S193" s="6"/>
      <c r="T193" s="6"/>
    </row>
    <row r="194" ht="12.75" customHeight="1">
      <c r="B194" s="2" t="s">
        <v>878</v>
      </c>
      <c r="C194" s="7"/>
      <c r="S194" s="6"/>
      <c r="T194" s="6"/>
    </row>
    <row r="195" ht="12.75" customHeight="1">
      <c r="C195" s="7"/>
      <c r="S195" s="6"/>
      <c r="T195" s="6"/>
    </row>
    <row r="196" ht="12.75" customHeight="1">
      <c r="C196" s="7"/>
      <c r="S196" s="6"/>
      <c r="T196" s="6"/>
    </row>
    <row r="197" ht="12.75" customHeight="1">
      <c r="C197" s="7"/>
      <c r="S197" s="6"/>
      <c r="T197" s="6"/>
    </row>
    <row r="198" ht="12.75" customHeight="1">
      <c r="C198" s="7"/>
      <c r="S198" s="6"/>
      <c r="T198" s="6"/>
    </row>
    <row r="199" ht="12.75" customHeight="1">
      <c r="C199" s="7"/>
      <c r="S199" s="6"/>
      <c r="T199" s="6"/>
    </row>
    <row r="200" ht="12.75" customHeight="1">
      <c r="C200" s="7"/>
      <c r="S200" s="6"/>
      <c r="T200" s="6"/>
    </row>
    <row r="201" ht="12.75" customHeight="1">
      <c r="C201" s="7"/>
      <c r="S201" s="6"/>
      <c r="T201" s="6"/>
    </row>
    <row r="202" ht="12.75" customHeight="1">
      <c r="C202" s="7"/>
      <c r="S202" s="6"/>
      <c r="T202" s="6"/>
    </row>
    <row r="203" ht="12.75" customHeight="1">
      <c r="C203" s="7"/>
      <c r="S203" s="6"/>
      <c r="T203" s="6"/>
    </row>
    <row r="204" ht="12.75" customHeight="1">
      <c r="C204" s="7"/>
      <c r="S204" s="6"/>
      <c r="T204" s="6"/>
    </row>
    <row r="205" ht="12.75" customHeight="1">
      <c r="C205" s="7"/>
      <c r="S205" s="6"/>
      <c r="T205" s="6"/>
    </row>
    <row r="206" ht="12.75" customHeight="1">
      <c r="C206" s="7"/>
      <c r="S206" s="6"/>
      <c r="T206" s="6"/>
    </row>
    <row r="207" ht="12.75" customHeight="1">
      <c r="C207" s="7"/>
      <c r="S207" s="6"/>
      <c r="T207" s="6"/>
    </row>
    <row r="208" ht="12.75" customHeight="1">
      <c r="C208" s="7"/>
      <c r="S208" s="6"/>
      <c r="T208" s="6"/>
    </row>
    <row r="209" ht="12.75" customHeight="1">
      <c r="C209" s="7"/>
      <c r="S209" s="6"/>
      <c r="T209" s="6"/>
    </row>
    <row r="210" ht="12.75" customHeight="1">
      <c r="C210" s="7"/>
      <c r="S210" s="6"/>
      <c r="T210" s="6"/>
    </row>
    <row r="211" ht="12.75" customHeight="1">
      <c r="C211" s="7"/>
      <c r="S211" s="6"/>
      <c r="T211" s="6"/>
    </row>
    <row r="212" ht="12.75" customHeight="1">
      <c r="C212" s="7"/>
      <c r="S212" s="6"/>
      <c r="T212" s="6"/>
    </row>
    <row r="213" ht="12.75" customHeight="1">
      <c r="C213" s="7"/>
      <c r="S213" s="6"/>
      <c r="T213" s="6"/>
    </row>
    <row r="214" ht="12.75" customHeight="1">
      <c r="C214" s="7"/>
      <c r="S214" s="6"/>
      <c r="T214" s="6"/>
    </row>
    <row r="215" ht="12.75" customHeight="1">
      <c r="C215" s="7"/>
      <c r="S215" s="6"/>
      <c r="T215" s="6"/>
    </row>
    <row r="216" ht="12.75" customHeight="1">
      <c r="C216" s="7"/>
      <c r="S216" s="6"/>
      <c r="T216" s="6"/>
    </row>
    <row r="217" ht="12.75" customHeight="1">
      <c r="C217" s="7"/>
      <c r="S217" s="6"/>
      <c r="T217" s="6"/>
    </row>
    <row r="218" ht="12.75" customHeight="1">
      <c r="C218" s="7"/>
      <c r="S218" s="6"/>
      <c r="T218" s="6"/>
    </row>
    <row r="219" ht="12.75" customHeight="1">
      <c r="C219" s="7"/>
      <c r="S219" s="6"/>
      <c r="T219" s="6"/>
    </row>
    <row r="220" ht="12.75" customHeight="1">
      <c r="C220" s="7"/>
      <c r="S220" s="6"/>
      <c r="T220" s="6"/>
    </row>
    <row r="221" ht="12.75" customHeight="1">
      <c r="C221" s="7"/>
      <c r="S221" s="6"/>
      <c r="T221" s="6"/>
    </row>
    <row r="222" ht="12.75" customHeight="1">
      <c r="C222" s="7"/>
      <c r="S222" s="6"/>
      <c r="T222" s="6"/>
    </row>
    <row r="223" ht="12.75" customHeight="1">
      <c r="C223" s="7"/>
      <c r="S223" s="6"/>
      <c r="T223" s="6"/>
    </row>
    <row r="224" ht="12.75" customHeight="1">
      <c r="C224" s="7"/>
      <c r="S224" s="6"/>
      <c r="T224" s="6"/>
    </row>
    <row r="225" ht="12.75" customHeight="1">
      <c r="C225" s="7"/>
      <c r="S225" s="6"/>
      <c r="T225" s="6"/>
    </row>
    <row r="226" ht="12.75" customHeight="1">
      <c r="C226" s="7"/>
      <c r="S226" s="6"/>
      <c r="T226" s="6"/>
    </row>
    <row r="227" ht="12.75" customHeight="1">
      <c r="C227" s="7"/>
      <c r="S227" s="6"/>
      <c r="T227" s="6"/>
    </row>
    <row r="228" ht="12.75" customHeight="1">
      <c r="C228" s="7"/>
      <c r="S228" s="6"/>
      <c r="T228" s="6"/>
    </row>
    <row r="229" ht="12.75" customHeight="1">
      <c r="C229" s="7"/>
      <c r="S229" s="6"/>
      <c r="T229" s="6"/>
    </row>
    <row r="230" ht="12.75" customHeight="1">
      <c r="C230" s="7"/>
      <c r="S230" s="6"/>
      <c r="T230" s="6"/>
    </row>
    <row r="231" ht="12.75" customHeight="1">
      <c r="C231" s="7"/>
      <c r="S231" s="6"/>
      <c r="T231" s="6"/>
    </row>
    <row r="232" ht="12.75" customHeight="1">
      <c r="C232" s="7"/>
      <c r="S232" s="6"/>
      <c r="T232" s="6"/>
    </row>
    <row r="233" ht="12.75" customHeight="1">
      <c r="C233" s="7"/>
      <c r="S233" s="6"/>
      <c r="T233" s="6"/>
    </row>
    <row r="234" ht="12.75" customHeight="1">
      <c r="C234" s="7"/>
      <c r="S234" s="6"/>
      <c r="T234" s="6"/>
    </row>
    <row r="235" ht="12.75" customHeight="1">
      <c r="C235" s="7"/>
      <c r="S235" s="6"/>
      <c r="T235" s="6"/>
    </row>
    <row r="236" ht="12.75" customHeight="1">
      <c r="C236" s="7"/>
      <c r="S236" s="6"/>
      <c r="T236" s="6"/>
    </row>
    <row r="237" ht="12.75" customHeight="1">
      <c r="C237" s="7"/>
      <c r="S237" s="6"/>
      <c r="T237" s="6"/>
    </row>
    <row r="238" ht="12.75" customHeight="1">
      <c r="C238" s="7"/>
      <c r="S238" s="6"/>
      <c r="T238" s="6"/>
    </row>
    <row r="239" ht="12.75" customHeight="1">
      <c r="C239" s="7"/>
      <c r="S239" s="6"/>
      <c r="T239" s="6"/>
    </row>
    <row r="240" ht="12.75" customHeight="1">
      <c r="C240" s="7"/>
      <c r="S240" s="6"/>
      <c r="T240" s="6"/>
    </row>
    <row r="241" ht="12.75" customHeight="1">
      <c r="C241" s="7"/>
      <c r="S241" s="6"/>
      <c r="T241" s="6"/>
    </row>
    <row r="242" ht="12.75" customHeight="1">
      <c r="C242" s="7"/>
      <c r="S242" s="6"/>
      <c r="T242" s="6"/>
    </row>
    <row r="243" ht="12.75" customHeight="1">
      <c r="C243" s="7"/>
      <c r="S243" s="6"/>
      <c r="T243" s="6"/>
    </row>
    <row r="244" ht="12.75" customHeight="1">
      <c r="C244" s="7"/>
      <c r="S244" s="6"/>
      <c r="T244" s="6"/>
    </row>
    <row r="245" ht="12.75" customHeight="1">
      <c r="C245" s="7"/>
      <c r="S245" s="6"/>
      <c r="T245" s="6"/>
    </row>
    <row r="246" ht="12.75" customHeight="1">
      <c r="C246" s="7"/>
      <c r="S246" s="6"/>
      <c r="T246" s="6"/>
    </row>
    <row r="247" ht="12.75" customHeight="1">
      <c r="C247" s="7"/>
      <c r="S247" s="6"/>
      <c r="T247" s="6"/>
    </row>
    <row r="248" ht="12.75" customHeight="1">
      <c r="C248" s="7"/>
      <c r="S248" s="6"/>
      <c r="T248" s="6"/>
    </row>
    <row r="249" ht="12.75" customHeight="1">
      <c r="C249" s="7"/>
      <c r="S249" s="6"/>
      <c r="T249" s="6"/>
    </row>
    <row r="250" ht="12.75" customHeight="1">
      <c r="C250" s="7"/>
      <c r="S250" s="6"/>
      <c r="T250" s="6"/>
    </row>
    <row r="251" ht="12.75" customHeight="1">
      <c r="C251" s="7"/>
      <c r="S251" s="6"/>
      <c r="T251" s="6"/>
    </row>
    <row r="252" ht="12.75" customHeight="1">
      <c r="C252" s="7"/>
      <c r="S252" s="6"/>
      <c r="T252" s="6"/>
    </row>
    <row r="253" ht="12.75" customHeight="1">
      <c r="C253" s="7"/>
      <c r="S253" s="6"/>
      <c r="T253" s="6"/>
    </row>
    <row r="254" ht="12.75" customHeight="1">
      <c r="C254" s="7"/>
      <c r="S254" s="6"/>
      <c r="T254" s="6"/>
    </row>
    <row r="255" ht="12.75" customHeight="1">
      <c r="C255" s="7"/>
      <c r="S255" s="6"/>
      <c r="T255" s="6"/>
    </row>
    <row r="256" ht="12.75" customHeight="1">
      <c r="C256" s="7"/>
      <c r="S256" s="6"/>
      <c r="T256" s="6"/>
    </row>
    <row r="257" ht="12.75" customHeight="1">
      <c r="C257" s="7"/>
      <c r="S257" s="6"/>
      <c r="T257" s="6"/>
    </row>
    <row r="258" ht="12.75" customHeight="1">
      <c r="C258" s="7"/>
      <c r="S258" s="6"/>
      <c r="T258" s="6"/>
    </row>
    <row r="259" ht="12.75" customHeight="1">
      <c r="C259" s="7"/>
      <c r="S259" s="6"/>
      <c r="T259" s="6"/>
    </row>
    <row r="260" ht="12.75" customHeight="1">
      <c r="C260" s="7"/>
      <c r="S260" s="6"/>
      <c r="T260" s="6"/>
    </row>
    <row r="261" ht="12.75" customHeight="1">
      <c r="C261" s="7"/>
      <c r="S261" s="6"/>
      <c r="T261" s="6"/>
    </row>
    <row r="262" ht="12.75" customHeight="1">
      <c r="C262" s="7"/>
      <c r="S262" s="6"/>
      <c r="T262" s="6"/>
    </row>
    <row r="263" ht="12.75" customHeight="1">
      <c r="C263" s="7"/>
      <c r="S263" s="6"/>
      <c r="T263" s="6"/>
    </row>
    <row r="264" ht="12.75" customHeight="1">
      <c r="C264" s="7"/>
      <c r="S264" s="6"/>
      <c r="T264" s="6"/>
    </row>
    <row r="265" ht="12.75" customHeight="1">
      <c r="C265" s="7"/>
      <c r="S265" s="6"/>
      <c r="T265" s="6"/>
    </row>
    <row r="266" ht="12.75" customHeight="1">
      <c r="C266" s="7"/>
      <c r="S266" s="6"/>
      <c r="T266" s="6"/>
    </row>
    <row r="267" ht="12.75" customHeight="1">
      <c r="C267" s="7"/>
      <c r="S267" s="6"/>
      <c r="T267" s="6"/>
    </row>
    <row r="268" ht="12.75" customHeight="1">
      <c r="C268" s="7"/>
      <c r="S268" s="6"/>
      <c r="T268" s="6"/>
    </row>
    <row r="269" ht="12.75" customHeight="1">
      <c r="C269" s="7"/>
      <c r="S269" s="6"/>
      <c r="T269" s="6"/>
    </row>
    <row r="270" ht="12.75" customHeight="1">
      <c r="C270" s="7"/>
      <c r="S270" s="6"/>
      <c r="T270" s="6"/>
    </row>
    <row r="271" ht="12.75" customHeight="1">
      <c r="C271" s="7"/>
      <c r="S271" s="6"/>
      <c r="T271" s="6"/>
    </row>
    <row r="272" ht="12.75" customHeight="1">
      <c r="C272" s="7"/>
      <c r="S272" s="6"/>
      <c r="T272" s="6"/>
    </row>
    <row r="273" ht="12.75" customHeight="1">
      <c r="C273" s="7"/>
      <c r="S273" s="6"/>
      <c r="T273" s="6"/>
    </row>
    <row r="274" ht="12.75" customHeight="1">
      <c r="C274" s="7"/>
      <c r="S274" s="6"/>
      <c r="T274" s="6"/>
    </row>
    <row r="275" ht="12.75" customHeight="1">
      <c r="C275" s="7"/>
      <c r="S275" s="6"/>
      <c r="T275" s="6"/>
    </row>
    <row r="276" ht="12.75" customHeight="1">
      <c r="C276" s="7"/>
      <c r="S276" s="6"/>
      <c r="T276" s="6"/>
    </row>
    <row r="277" ht="12.75" customHeight="1">
      <c r="C277" s="7"/>
      <c r="S277" s="6"/>
      <c r="T277" s="6"/>
    </row>
    <row r="278" ht="12.75" customHeight="1">
      <c r="C278" s="7"/>
      <c r="S278" s="6"/>
      <c r="T278" s="6"/>
    </row>
    <row r="279" ht="12.75" customHeight="1">
      <c r="C279" s="7"/>
      <c r="S279" s="6"/>
      <c r="T279" s="6"/>
    </row>
    <row r="280" ht="12.75" customHeight="1">
      <c r="C280" s="7"/>
      <c r="S280" s="6"/>
      <c r="T280" s="6"/>
    </row>
    <row r="281" ht="12.75" customHeight="1">
      <c r="C281" s="7"/>
      <c r="S281" s="6"/>
      <c r="T281" s="6"/>
    </row>
    <row r="282" ht="12.75" customHeight="1">
      <c r="C282" s="7"/>
      <c r="S282" s="6"/>
      <c r="T282" s="6"/>
    </row>
    <row r="283" ht="12.75" customHeight="1">
      <c r="C283" s="7"/>
      <c r="S283" s="6"/>
      <c r="T283" s="6"/>
    </row>
    <row r="284" ht="12.75" customHeight="1">
      <c r="C284" s="7"/>
      <c r="S284" s="6"/>
      <c r="T284" s="6"/>
    </row>
    <row r="285" ht="12.75" customHeight="1">
      <c r="C285" s="7"/>
      <c r="S285" s="6"/>
      <c r="T285" s="6"/>
    </row>
    <row r="286" ht="12.75" customHeight="1">
      <c r="C286" s="7"/>
      <c r="S286" s="6"/>
      <c r="T286" s="6"/>
    </row>
    <row r="287" ht="12.75" customHeight="1">
      <c r="C287" s="7"/>
      <c r="S287" s="6"/>
      <c r="T287" s="6"/>
    </row>
    <row r="288" ht="12.75" customHeight="1">
      <c r="C288" s="7"/>
      <c r="S288" s="6"/>
      <c r="T288" s="6"/>
    </row>
    <row r="289" ht="12.75" customHeight="1">
      <c r="C289" s="7"/>
      <c r="S289" s="6"/>
      <c r="T289" s="6"/>
    </row>
    <row r="290" ht="12.75" customHeight="1">
      <c r="C290" s="7"/>
      <c r="S290" s="6"/>
      <c r="T290" s="6"/>
    </row>
    <row r="291" ht="12.75" customHeight="1">
      <c r="C291" s="7"/>
      <c r="S291" s="6"/>
      <c r="T291" s="6"/>
    </row>
    <row r="292" ht="12.75" customHeight="1">
      <c r="C292" s="7"/>
      <c r="S292" s="6"/>
      <c r="T292" s="6"/>
    </row>
    <row r="293" ht="12.75" customHeight="1">
      <c r="C293" s="7"/>
      <c r="S293" s="6"/>
      <c r="T293" s="6"/>
    </row>
    <row r="294" ht="12.75" customHeight="1">
      <c r="C294" s="7"/>
      <c r="S294" s="6"/>
      <c r="T294" s="6"/>
    </row>
    <row r="295" ht="12.75" customHeight="1">
      <c r="C295" s="7"/>
      <c r="S295" s="6"/>
      <c r="T295" s="6"/>
    </row>
    <row r="296" ht="12.75" customHeight="1">
      <c r="C296" s="7"/>
      <c r="S296" s="6"/>
      <c r="T296" s="6"/>
    </row>
    <row r="297" ht="12.75" customHeight="1">
      <c r="C297" s="7"/>
      <c r="S297" s="6"/>
      <c r="T297" s="6"/>
    </row>
    <row r="298" ht="12.75" customHeight="1">
      <c r="C298" s="7"/>
      <c r="S298" s="6"/>
      <c r="T298" s="6"/>
    </row>
    <row r="299" ht="12.75" customHeight="1">
      <c r="C299" s="7"/>
      <c r="S299" s="6"/>
      <c r="T299" s="6"/>
    </row>
    <row r="300" ht="12.75" customHeight="1">
      <c r="C300" s="7"/>
      <c r="S300" s="6"/>
      <c r="T300" s="6"/>
    </row>
    <row r="301" ht="12.75" customHeight="1">
      <c r="C301" s="7"/>
      <c r="S301" s="6"/>
      <c r="T301" s="6"/>
    </row>
    <row r="302" ht="12.75" customHeight="1">
      <c r="C302" s="7"/>
      <c r="S302" s="6"/>
      <c r="T302" s="6"/>
    </row>
    <row r="303" ht="12.75" customHeight="1">
      <c r="C303" s="7"/>
      <c r="S303" s="6"/>
      <c r="T303" s="6"/>
    </row>
    <row r="304" ht="12.75" customHeight="1">
      <c r="C304" s="7"/>
      <c r="S304" s="6"/>
      <c r="T304" s="6"/>
    </row>
    <row r="305" ht="12.75" customHeight="1">
      <c r="C305" s="7"/>
      <c r="S305" s="6"/>
      <c r="T305" s="6"/>
    </row>
    <row r="306" ht="12.75" customHeight="1">
      <c r="C306" s="7"/>
      <c r="S306" s="6"/>
      <c r="T306" s="6"/>
    </row>
    <row r="307" ht="12.75" customHeight="1">
      <c r="C307" s="7"/>
      <c r="S307" s="6"/>
      <c r="T307" s="6"/>
    </row>
    <row r="308" ht="12.75" customHeight="1">
      <c r="C308" s="7"/>
      <c r="S308" s="6"/>
      <c r="T308" s="6"/>
    </row>
    <row r="309" ht="12.75" customHeight="1">
      <c r="C309" s="7"/>
      <c r="S309" s="6"/>
      <c r="T309" s="6"/>
    </row>
    <row r="310" ht="12.75" customHeight="1">
      <c r="C310" s="7"/>
      <c r="S310" s="6"/>
      <c r="T310" s="6"/>
    </row>
    <row r="311" ht="12.75" customHeight="1">
      <c r="C311" s="7"/>
      <c r="S311" s="6"/>
      <c r="T311" s="6"/>
    </row>
    <row r="312" ht="12.75" customHeight="1">
      <c r="C312" s="7"/>
      <c r="S312" s="6"/>
      <c r="T312" s="6"/>
    </row>
    <row r="313" ht="12.75" customHeight="1">
      <c r="C313" s="7"/>
      <c r="S313" s="6"/>
      <c r="T313" s="6"/>
    </row>
    <row r="314" ht="12.75" customHeight="1">
      <c r="C314" s="7"/>
      <c r="S314" s="6"/>
      <c r="T314" s="6"/>
    </row>
    <row r="315" ht="12.75" customHeight="1">
      <c r="C315" s="7"/>
      <c r="S315" s="6"/>
      <c r="T315" s="6"/>
    </row>
    <row r="316" ht="12.75" customHeight="1">
      <c r="C316" s="7"/>
      <c r="S316" s="6"/>
      <c r="T316" s="6"/>
    </row>
    <row r="317" ht="12.75" customHeight="1">
      <c r="C317" s="7"/>
      <c r="S317" s="6"/>
      <c r="T317" s="6"/>
    </row>
    <row r="318" ht="12.75" customHeight="1">
      <c r="C318" s="7"/>
      <c r="S318" s="6"/>
      <c r="T318" s="6"/>
    </row>
    <row r="319" ht="12.75" customHeight="1">
      <c r="C319" s="7"/>
      <c r="S319" s="6"/>
      <c r="T319" s="6"/>
    </row>
    <row r="320" ht="12.75" customHeight="1">
      <c r="C320" s="7"/>
      <c r="S320" s="6"/>
      <c r="T320" s="6"/>
    </row>
    <row r="321" ht="12.75" customHeight="1">
      <c r="C321" s="7"/>
      <c r="S321" s="6"/>
      <c r="T321" s="6"/>
    </row>
    <row r="322" ht="12.75" customHeight="1">
      <c r="C322" s="7"/>
      <c r="S322" s="6"/>
      <c r="T322" s="6"/>
    </row>
    <row r="323" ht="12.75" customHeight="1">
      <c r="C323" s="7"/>
      <c r="S323" s="6"/>
      <c r="T323" s="6"/>
    </row>
    <row r="324" ht="12.75" customHeight="1">
      <c r="C324" s="7"/>
      <c r="S324" s="6"/>
      <c r="T324" s="6"/>
    </row>
    <row r="325" ht="12.75" customHeight="1">
      <c r="C325" s="7"/>
      <c r="S325" s="6"/>
      <c r="T325" s="6"/>
    </row>
    <row r="326" ht="12.75" customHeight="1">
      <c r="C326" s="7"/>
      <c r="S326" s="6"/>
      <c r="T326" s="6"/>
    </row>
    <row r="327" ht="12.75" customHeight="1">
      <c r="C327" s="7"/>
      <c r="S327" s="6"/>
      <c r="T327" s="6"/>
    </row>
    <row r="328" ht="12.75" customHeight="1">
      <c r="C328" s="7"/>
      <c r="S328" s="6"/>
      <c r="T328" s="6"/>
    </row>
    <row r="329" ht="12.75" customHeight="1">
      <c r="C329" s="7"/>
      <c r="S329" s="6"/>
      <c r="T329" s="6"/>
    </row>
    <row r="330" ht="12.75" customHeight="1">
      <c r="C330" s="7"/>
      <c r="S330" s="6"/>
      <c r="T330" s="6"/>
    </row>
    <row r="331" ht="12.75" customHeight="1">
      <c r="C331" s="7"/>
      <c r="S331" s="6"/>
      <c r="T331" s="6"/>
    </row>
    <row r="332" ht="12.75" customHeight="1">
      <c r="C332" s="7"/>
      <c r="S332" s="6"/>
      <c r="T332" s="6"/>
    </row>
    <row r="333" ht="12.75" customHeight="1">
      <c r="C333" s="7"/>
      <c r="S333" s="6"/>
      <c r="T333" s="6"/>
    </row>
    <row r="334" ht="12.75" customHeight="1">
      <c r="C334" s="7"/>
      <c r="S334" s="6"/>
      <c r="T334" s="6"/>
    </row>
    <row r="335" ht="12.75" customHeight="1">
      <c r="C335" s="7"/>
      <c r="S335" s="6"/>
      <c r="T335" s="6"/>
    </row>
    <row r="336" ht="12.75" customHeight="1">
      <c r="C336" s="7"/>
      <c r="S336" s="6"/>
      <c r="T336" s="6"/>
    </row>
    <row r="337" ht="12.75" customHeight="1">
      <c r="C337" s="7"/>
      <c r="S337" s="6"/>
      <c r="T337" s="6"/>
    </row>
    <row r="338" ht="12.75" customHeight="1">
      <c r="C338" s="7"/>
      <c r="S338" s="6"/>
      <c r="T338" s="6"/>
    </row>
    <row r="339" ht="12.75" customHeight="1">
      <c r="C339" s="7"/>
      <c r="S339" s="6"/>
      <c r="T339" s="6"/>
    </row>
    <row r="340" ht="12.75" customHeight="1">
      <c r="C340" s="7"/>
      <c r="S340" s="6"/>
      <c r="T340" s="6"/>
    </row>
    <row r="341" ht="12.75" customHeight="1">
      <c r="C341" s="7"/>
      <c r="S341" s="6"/>
      <c r="T341" s="6"/>
    </row>
    <row r="342" ht="12.75" customHeight="1">
      <c r="C342" s="7"/>
      <c r="S342" s="6"/>
      <c r="T342" s="6"/>
    </row>
    <row r="343" ht="12.75" customHeight="1">
      <c r="C343" s="7"/>
      <c r="S343" s="6"/>
      <c r="T343" s="6"/>
    </row>
    <row r="344" ht="12.75" customHeight="1">
      <c r="C344" s="7"/>
      <c r="S344" s="6"/>
      <c r="T344" s="6"/>
    </row>
    <row r="345" ht="12.75" customHeight="1">
      <c r="C345" s="7"/>
      <c r="S345" s="6"/>
      <c r="T345" s="6"/>
    </row>
    <row r="346" ht="12.75" customHeight="1">
      <c r="C346" s="7"/>
      <c r="S346" s="6"/>
      <c r="T346" s="6"/>
    </row>
    <row r="347" ht="12.75" customHeight="1">
      <c r="C347" s="7"/>
      <c r="S347" s="6"/>
      <c r="T347" s="6"/>
    </row>
    <row r="348" ht="12.75" customHeight="1">
      <c r="C348" s="7"/>
      <c r="S348" s="6"/>
      <c r="T348" s="6"/>
    </row>
    <row r="349" ht="12.75" customHeight="1">
      <c r="C349" s="7"/>
      <c r="S349" s="6"/>
      <c r="T349" s="6"/>
    </row>
    <row r="350" ht="12.75" customHeight="1">
      <c r="C350" s="7"/>
      <c r="S350" s="6"/>
      <c r="T350" s="6"/>
    </row>
    <row r="351" ht="12.75" customHeight="1">
      <c r="C351" s="7"/>
      <c r="S351" s="6"/>
      <c r="T351" s="6"/>
    </row>
    <row r="352" ht="12.75" customHeight="1">
      <c r="C352" s="7"/>
      <c r="S352" s="6"/>
      <c r="T352" s="6"/>
    </row>
    <row r="353" ht="12.75" customHeight="1">
      <c r="C353" s="7"/>
      <c r="S353" s="6"/>
      <c r="T353" s="6"/>
    </row>
    <row r="354" ht="12.75" customHeight="1">
      <c r="C354" s="7"/>
      <c r="S354" s="6"/>
      <c r="T354" s="6"/>
    </row>
    <row r="355" ht="12.75" customHeight="1">
      <c r="C355" s="7"/>
      <c r="S355" s="6"/>
      <c r="T355" s="6"/>
    </row>
    <row r="356" ht="12.75" customHeight="1">
      <c r="C356" s="7"/>
      <c r="S356" s="6"/>
      <c r="T356" s="6"/>
    </row>
    <row r="357" ht="12.75" customHeight="1">
      <c r="C357" s="7"/>
      <c r="S357" s="6"/>
      <c r="T357" s="6"/>
    </row>
    <row r="358" ht="12.75" customHeight="1">
      <c r="C358" s="7"/>
      <c r="S358" s="6"/>
      <c r="T358" s="6"/>
    </row>
    <row r="359" ht="12.75" customHeight="1">
      <c r="C359" s="7"/>
      <c r="S359" s="6"/>
      <c r="T359" s="6"/>
    </row>
    <row r="360" ht="12.75" customHeight="1">
      <c r="C360" s="7"/>
      <c r="S360" s="6"/>
      <c r="T360" s="6"/>
    </row>
    <row r="361" ht="12.75" customHeight="1">
      <c r="C361" s="7"/>
      <c r="S361" s="6"/>
      <c r="T361" s="6"/>
    </row>
    <row r="362" ht="12.75" customHeight="1">
      <c r="C362" s="7"/>
      <c r="S362" s="6"/>
      <c r="T362" s="6"/>
    </row>
    <row r="363" ht="12.75" customHeight="1">
      <c r="C363" s="7"/>
      <c r="S363" s="6"/>
      <c r="T363" s="6"/>
    </row>
    <row r="364" ht="12.75" customHeight="1">
      <c r="C364" s="7"/>
      <c r="S364" s="6"/>
      <c r="T364" s="6"/>
    </row>
    <row r="365" ht="12.75" customHeight="1">
      <c r="C365" s="7"/>
      <c r="S365" s="6"/>
      <c r="T365" s="6"/>
    </row>
    <row r="366" ht="12.75" customHeight="1">
      <c r="C366" s="7"/>
      <c r="S366" s="6"/>
      <c r="T366" s="6"/>
    </row>
    <row r="367" ht="12.75" customHeight="1">
      <c r="C367" s="7"/>
      <c r="S367" s="6"/>
      <c r="T367" s="6"/>
    </row>
    <row r="368" ht="12.75" customHeight="1">
      <c r="C368" s="7"/>
      <c r="S368" s="6"/>
      <c r="T368" s="6"/>
    </row>
    <row r="369" ht="12.75" customHeight="1">
      <c r="C369" s="7"/>
      <c r="S369" s="6"/>
      <c r="T369" s="6"/>
    </row>
    <row r="370" ht="12.75" customHeight="1">
      <c r="C370" s="7"/>
      <c r="S370" s="6"/>
      <c r="T370" s="6"/>
    </row>
    <row r="371" ht="12.75" customHeight="1">
      <c r="C371" s="7"/>
      <c r="S371" s="6"/>
      <c r="T371" s="6"/>
    </row>
    <row r="372" ht="12.75" customHeight="1">
      <c r="C372" s="7"/>
      <c r="S372" s="6"/>
      <c r="T372" s="6"/>
    </row>
    <row r="373" ht="12.75" customHeight="1">
      <c r="C373" s="7"/>
      <c r="S373" s="6"/>
      <c r="T373" s="6"/>
    </row>
    <row r="374" ht="12.75" customHeight="1">
      <c r="C374" s="7"/>
      <c r="S374" s="6"/>
      <c r="T374" s="6"/>
    </row>
    <row r="375" ht="12.75" customHeight="1">
      <c r="C375" s="7"/>
      <c r="S375" s="6"/>
      <c r="T375" s="6"/>
    </row>
    <row r="376" ht="12.75" customHeight="1">
      <c r="C376" s="7"/>
      <c r="S376" s="6"/>
      <c r="T376" s="6"/>
    </row>
    <row r="377" ht="12.75" customHeight="1">
      <c r="C377" s="7"/>
      <c r="S377" s="6"/>
      <c r="T377" s="6"/>
    </row>
    <row r="378" ht="12.75" customHeight="1">
      <c r="C378" s="7"/>
      <c r="S378" s="6"/>
      <c r="T378" s="6"/>
    </row>
    <row r="379" ht="12.75" customHeight="1">
      <c r="C379" s="7"/>
      <c r="S379" s="6"/>
      <c r="T379" s="6"/>
    </row>
    <row r="380" ht="12.75" customHeight="1">
      <c r="C380" s="7"/>
      <c r="S380" s="6"/>
      <c r="T380" s="6"/>
    </row>
    <row r="381" ht="12.75" customHeight="1">
      <c r="C381" s="7"/>
      <c r="S381" s="6"/>
      <c r="T381" s="6"/>
    </row>
    <row r="382" ht="12.75" customHeight="1">
      <c r="C382" s="7"/>
      <c r="S382" s="6"/>
      <c r="T382" s="6"/>
    </row>
    <row r="383" ht="12.75" customHeight="1">
      <c r="C383" s="7"/>
      <c r="S383" s="6"/>
      <c r="T383" s="6"/>
    </row>
    <row r="384" ht="12.75" customHeight="1">
      <c r="C384" s="7"/>
      <c r="S384" s="6"/>
      <c r="T384" s="6"/>
    </row>
    <row r="385" ht="12.75" customHeight="1">
      <c r="C385" s="7"/>
      <c r="S385" s="6"/>
      <c r="T385" s="6"/>
    </row>
    <row r="386" ht="12.75" customHeight="1">
      <c r="C386" s="7"/>
      <c r="S386" s="6"/>
      <c r="T386" s="6"/>
    </row>
    <row r="387" ht="12.75" customHeight="1">
      <c r="C387" s="7"/>
      <c r="S387" s="6"/>
      <c r="T387" s="6"/>
    </row>
    <row r="388" ht="12.75" customHeight="1">
      <c r="C388" s="7"/>
      <c r="S388" s="6"/>
      <c r="T388" s="6"/>
    </row>
    <row r="389" ht="12.75" customHeight="1">
      <c r="C389" s="7"/>
      <c r="S389" s="6"/>
      <c r="T389" s="6"/>
    </row>
    <row r="390" ht="12.75" customHeight="1">
      <c r="C390" s="7"/>
      <c r="S390" s="6"/>
      <c r="T390" s="6"/>
    </row>
    <row r="391" ht="12.75" customHeight="1">
      <c r="C391" s="7"/>
      <c r="S391" s="6"/>
      <c r="T391" s="6"/>
    </row>
    <row r="392" ht="12.75" customHeight="1">
      <c r="C392" s="7"/>
      <c r="S392" s="6"/>
      <c r="T392" s="6"/>
    </row>
    <row r="393" ht="12.75" customHeight="1">
      <c r="C393" s="7"/>
      <c r="S393" s="6"/>
      <c r="T393" s="6"/>
    </row>
    <row r="394" ht="12.75" customHeight="1">
      <c r="C394" s="7"/>
      <c r="S394" s="6"/>
      <c r="T394" s="6"/>
    </row>
    <row r="395" ht="12.75" customHeight="1">
      <c r="C395" s="7"/>
      <c r="S395" s="6"/>
      <c r="T395" s="6"/>
    </row>
    <row r="396" ht="12.75" customHeight="1">
      <c r="C396" s="7"/>
      <c r="S396" s="6"/>
      <c r="T396" s="6"/>
    </row>
    <row r="397" ht="12.75" customHeight="1">
      <c r="C397" s="7"/>
      <c r="S397" s="6"/>
      <c r="T397" s="6"/>
    </row>
    <row r="398" ht="12.75" customHeight="1">
      <c r="C398" s="7"/>
      <c r="S398" s="6"/>
      <c r="T398" s="6"/>
    </row>
    <row r="399" ht="12.75" customHeight="1">
      <c r="C399" s="7"/>
      <c r="S399" s="6"/>
      <c r="T399" s="6"/>
    </row>
    <row r="400" ht="12.75" customHeight="1">
      <c r="C400" s="7"/>
      <c r="S400" s="6"/>
      <c r="T400" s="6"/>
    </row>
    <row r="401" ht="12.75" customHeight="1">
      <c r="C401" s="7"/>
      <c r="S401" s="6"/>
      <c r="T401" s="6"/>
    </row>
    <row r="402" ht="12.75" customHeight="1">
      <c r="C402" s="7"/>
      <c r="S402" s="6"/>
      <c r="T402" s="6"/>
    </row>
    <row r="403" ht="12.75" customHeight="1">
      <c r="C403" s="7"/>
      <c r="S403" s="6"/>
      <c r="T403" s="6"/>
    </row>
    <row r="404" ht="12.75" customHeight="1">
      <c r="C404" s="7"/>
      <c r="S404" s="6"/>
      <c r="T404" s="6"/>
    </row>
    <row r="405" ht="12.75" customHeight="1">
      <c r="C405" s="7"/>
      <c r="S405" s="6"/>
      <c r="T405" s="6"/>
    </row>
    <row r="406" ht="12.75" customHeight="1">
      <c r="C406" s="7"/>
      <c r="S406" s="6"/>
      <c r="T406" s="6"/>
    </row>
    <row r="407" ht="12.75" customHeight="1">
      <c r="C407" s="7"/>
      <c r="S407" s="6"/>
      <c r="T407" s="6"/>
    </row>
    <row r="408" ht="12.75" customHeight="1">
      <c r="C408" s="7"/>
      <c r="S408" s="6"/>
      <c r="T408" s="6"/>
    </row>
    <row r="409" ht="12.75" customHeight="1">
      <c r="C409" s="7"/>
      <c r="S409" s="6"/>
      <c r="T409" s="6"/>
    </row>
    <row r="410" ht="12.75" customHeight="1">
      <c r="C410" s="7"/>
      <c r="S410" s="6"/>
      <c r="T410" s="6"/>
    </row>
    <row r="411" ht="12.75" customHeight="1">
      <c r="C411" s="7"/>
      <c r="S411" s="6"/>
      <c r="T411" s="6"/>
    </row>
    <row r="412" ht="12.75" customHeight="1">
      <c r="C412" s="7"/>
      <c r="S412" s="6"/>
      <c r="T412" s="6"/>
    </row>
    <row r="413" ht="12.75" customHeight="1">
      <c r="C413" s="7"/>
      <c r="S413" s="6"/>
      <c r="T413" s="6"/>
    </row>
    <row r="414" ht="12.75" customHeight="1">
      <c r="C414" s="7"/>
      <c r="S414" s="6"/>
      <c r="T414" s="6"/>
    </row>
    <row r="415" ht="12.75" customHeight="1">
      <c r="C415" s="7"/>
      <c r="S415" s="6"/>
      <c r="T415" s="6"/>
    </row>
    <row r="416" ht="12.75" customHeight="1">
      <c r="C416" s="7"/>
      <c r="S416" s="6"/>
      <c r="T416" s="6"/>
    </row>
    <row r="417" ht="12.75" customHeight="1">
      <c r="C417" s="7"/>
      <c r="S417" s="6"/>
      <c r="T417" s="6"/>
    </row>
    <row r="418" ht="12.75" customHeight="1">
      <c r="C418" s="7"/>
      <c r="S418" s="6"/>
      <c r="T418" s="6"/>
    </row>
    <row r="419" ht="12.75" customHeight="1">
      <c r="C419" s="7"/>
      <c r="S419" s="6"/>
      <c r="T419" s="6"/>
    </row>
    <row r="420" ht="12.75" customHeight="1">
      <c r="C420" s="7"/>
      <c r="S420" s="6"/>
      <c r="T420" s="6"/>
    </row>
    <row r="421" ht="12.75" customHeight="1">
      <c r="C421" s="7"/>
      <c r="S421" s="6"/>
      <c r="T421" s="6"/>
    </row>
    <row r="422" ht="12.75" customHeight="1">
      <c r="C422" s="7"/>
      <c r="S422" s="6"/>
      <c r="T422" s="6"/>
    </row>
    <row r="423" ht="12.75" customHeight="1">
      <c r="C423" s="7"/>
      <c r="S423" s="6"/>
      <c r="T423" s="6"/>
    </row>
    <row r="424" ht="12.75" customHeight="1">
      <c r="C424" s="7"/>
      <c r="S424" s="6"/>
      <c r="T424" s="6"/>
    </row>
    <row r="425" ht="12.75" customHeight="1">
      <c r="C425" s="7"/>
      <c r="S425" s="6"/>
      <c r="T425" s="6"/>
    </row>
    <row r="426" ht="12.75" customHeight="1">
      <c r="C426" s="7"/>
      <c r="S426" s="6"/>
      <c r="T426" s="6"/>
    </row>
    <row r="427" ht="12.75" customHeight="1">
      <c r="C427" s="7"/>
      <c r="S427" s="6"/>
      <c r="T427" s="6"/>
    </row>
    <row r="428" ht="12.75" customHeight="1">
      <c r="C428" s="7"/>
      <c r="S428" s="6"/>
      <c r="T428" s="6"/>
    </row>
    <row r="429" ht="12.75" customHeight="1">
      <c r="C429" s="7"/>
      <c r="S429" s="6"/>
      <c r="T429" s="6"/>
    </row>
    <row r="430" ht="12.75" customHeight="1">
      <c r="C430" s="7"/>
      <c r="S430" s="6"/>
      <c r="T430" s="6"/>
    </row>
    <row r="431" ht="12.75" customHeight="1">
      <c r="C431" s="7"/>
      <c r="S431" s="6"/>
      <c r="T431" s="6"/>
    </row>
    <row r="432" ht="12.75" customHeight="1">
      <c r="C432" s="7"/>
      <c r="S432" s="6"/>
      <c r="T432" s="6"/>
    </row>
    <row r="433" ht="12.75" customHeight="1">
      <c r="C433" s="7"/>
      <c r="S433" s="6"/>
      <c r="T433" s="6"/>
    </row>
    <row r="434" ht="12.75" customHeight="1">
      <c r="C434" s="7"/>
      <c r="S434" s="6"/>
      <c r="T434" s="6"/>
    </row>
    <row r="435" ht="12.75" customHeight="1">
      <c r="C435" s="7"/>
      <c r="S435" s="6"/>
      <c r="T435" s="6"/>
    </row>
    <row r="436" ht="12.75" customHeight="1">
      <c r="C436" s="7"/>
      <c r="S436" s="6"/>
      <c r="T436" s="6"/>
    </row>
    <row r="437" ht="12.75" customHeight="1">
      <c r="C437" s="7"/>
      <c r="S437" s="6"/>
      <c r="T437" s="6"/>
    </row>
    <row r="438" ht="12.75" customHeight="1">
      <c r="C438" s="7"/>
      <c r="S438" s="6"/>
      <c r="T438" s="6"/>
    </row>
    <row r="439" ht="12.75" customHeight="1">
      <c r="C439" s="7"/>
      <c r="S439" s="6"/>
      <c r="T439" s="6"/>
    </row>
    <row r="440" ht="12.75" customHeight="1">
      <c r="C440" s="7"/>
      <c r="S440" s="6"/>
      <c r="T440" s="6"/>
    </row>
    <row r="441" ht="12.75" customHeight="1">
      <c r="C441" s="7"/>
      <c r="S441" s="6"/>
      <c r="T441" s="6"/>
    </row>
    <row r="442" ht="12.75" customHeight="1">
      <c r="C442" s="7"/>
      <c r="S442" s="6"/>
      <c r="T442" s="6"/>
    </row>
    <row r="443" ht="12.75" customHeight="1">
      <c r="C443" s="7"/>
      <c r="S443" s="6"/>
      <c r="T443" s="6"/>
    </row>
    <row r="444" ht="12.75" customHeight="1">
      <c r="C444" s="7"/>
      <c r="S444" s="6"/>
      <c r="T444" s="6"/>
    </row>
    <row r="445" ht="12.75" customHeight="1">
      <c r="C445" s="7"/>
      <c r="S445" s="6"/>
      <c r="T445" s="6"/>
    </row>
    <row r="446" ht="12.75" customHeight="1">
      <c r="C446" s="7"/>
      <c r="S446" s="6"/>
      <c r="T446" s="6"/>
    </row>
    <row r="447" ht="12.75" customHeight="1">
      <c r="C447" s="7"/>
      <c r="S447" s="6"/>
      <c r="T447" s="6"/>
    </row>
    <row r="448" ht="12.75" customHeight="1">
      <c r="C448" s="7"/>
      <c r="S448" s="6"/>
      <c r="T448" s="6"/>
    </row>
    <row r="449" ht="12.75" customHeight="1">
      <c r="C449" s="7"/>
      <c r="S449" s="6"/>
      <c r="T449" s="6"/>
    </row>
    <row r="450" ht="12.75" customHeight="1">
      <c r="C450" s="7"/>
      <c r="S450" s="6"/>
      <c r="T450" s="6"/>
    </row>
    <row r="451" ht="12.75" customHeight="1">
      <c r="C451" s="7"/>
      <c r="S451" s="6"/>
      <c r="T451" s="6"/>
    </row>
    <row r="452" ht="12.75" customHeight="1">
      <c r="C452" s="7"/>
      <c r="S452" s="6"/>
      <c r="T452" s="6"/>
    </row>
    <row r="453" ht="12.75" customHeight="1">
      <c r="C453" s="7"/>
      <c r="S453" s="6"/>
      <c r="T453" s="6"/>
    </row>
    <row r="454" ht="12.75" customHeight="1">
      <c r="C454" s="7"/>
      <c r="S454" s="6"/>
      <c r="T454" s="6"/>
    </row>
    <row r="455" ht="12.75" customHeight="1">
      <c r="C455" s="7"/>
      <c r="S455" s="6"/>
      <c r="T455" s="6"/>
    </row>
    <row r="456" ht="12.75" customHeight="1">
      <c r="C456" s="7"/>
      <c r="S456" s="6"/>
      <c r="T456" s="6"/>
    </row>
    <row r="457" ht="12.75" customHeight="1">
      <c r="C457" s="7"/>
      <c r="S457" s="6"/>
      <c r="T457" s="6"/>
    </row>
    <row r="458" ht="12.75" customHeight="1">
      <c r="C458" s="7"/>
      <c r="S458" s="6"/>
      <c r="T458" s="6"/>
    </row>
    <row r="459" ht="12.75" customHeight="1">
      <c r="C459" s="7"/>
      <c r="S459" s="6"/>
      <c r="T459" s="6"/>
    </row>
    <row r="460" ht="12.75" customHeight="1">
      <c r="C460" s="7"/>
      <c r="S460" s="6"/>
      <c r="T460" s="6"/>
    </row>
    <row r="461" ht="12.75" customHeight="1">
      <c r="C461" s="7"/>
      <c r="S461" s="6"/>
      <c r="T461" s="6"/>
    </row>
    <row r="462" ht="12.75" customHeight="1">
      <c r="C462" s="7"/>
      <c r="S462" s="6"/>
      <c r="T462" s="6"/>
    </row>
    <row r="463" ht="12.75" customHeight="1">
      <c r="C463" s="7"/>
      <c r="S463" s="6"/>
      <c r="T463" s="6"/>
    </row>
    <row r="464" ht="12.75" customHeight="1">
      <c r="C464" s="7"/>
      <c r="S464" s="6"/>
      <c r="T464" s="6"/>
    </row>
    <row r="465" ht="12.75" customHeight="1">
      <c r="C465" s="7"/>
      <c r="S465" s="6"/>
      <c r="T465" s="6"/>
    </row>
    <row r="466" ht="12.75" customHeight="1">
      <c r="C466" s="7"/>
      <c r="S466" s="6"/>
      <c r="T466" s="6"/>
    </row>
    <row r="467" ht="12.75" customHeight="1">
      <c r="C467" s="7"/>
      <c r="S467" s="6"/>
      <c r="T467" s="6"/>
    </row>
    <row r="468" ht="12.75" customHeight="1">
      <c r="C468" s="7"/>
      <c r="S468" s="6"/>
      <c r="T468" s="6"/>
    </row>
    <row r="469" ht="12.75" customHeight="1">
      <c r="C469" s="7"/>
      <c r="S469" s="6"/>
      <c r="T469" s="6"/>
    </row>
    <row r="470" ht="12.75" customHeight="1">
      <c r="C470" s="7"/>
      <c r="S470" s="6"/>
      <c r="T470" s="6"/>
    </row>
    <row r="471" ht="12.75" customHeight="1">
      <c r="C471" s="7"/>
      <c r="S471" s="6"/>
      <c r="T471" s="6"/>
    </row>
    <row r="472" ht="12.75" customHeight="1">
      <c r="C472" s="7"/>
      <c r="S472" s="6"/>
      <c r="T472" s="6"/>
    </row>
    <row r="473" ht="12.75" customHeight="1">
      <c r="C473" s="7"/>
      <c r="S473" s="6"/>
      <c r="T473" s="6"/>
    </row>
    <row r="474" ht="12.75" customHeight="1">
      <c r="C474" s="7"/>
      <c r="S474" s="6"/>
      <c r="T474" s="6"/>
    </row>
    <row r="475" ht="12.75" customHeight="1">
      <c r="C475" s="7"/>
      <c r="S475" s="6"/>
      <c r="T475" s="6"/>
    </row>
    <row r="476" ht="12.75" customHeight="1">
      <c r="C476" s="7"/>
      <c r="S476" s="6"/>
      <c r="T476" s="6"/>
    </row>
    <row r="477" ht="12.75" customHeight="1">
      <c r="C477" s="7"/>
      <c r="S477" s="6"/>
      <c r="T477" s="6"/>
    </row>
    <row r="478" ht="12.75" customHeight="1">
      <c r="C478" s="7"/>
      <c r="S478" s="6"/>
      <c r="T478" s="6"/>
    </row>
    <row r="479" ht="12.75" customHeight="1">
      <c r="C479" s="7"/>
      <c r="S479" s="6"/>
      <c r="T479" s="6"/>
    </row>
    <row r="480" ht="12.75" customHeight="1">
      <c r="C480" s="7"/>
      <c r="S480" s="6"/>
      <c r="T480" s="6"/>
    </row>
    <row r="481" ht="12.75" customHeight="1">
      <c r="C481" s="7"/>
      <c r="S481" s="6"/>
      <c r="T481" s="6"/>
    </row>
    <row r="482" ht="12.75" customHeight="1">
      <c r="C482" s="7"/>
      <c r="S482" s="6"/>
      <c r="T482" s="6"/>
    </row>
    <row r="483" ht="12.75" customHeight="1">
      <c r="C483" s="7"/>
      <c r="S483" s="6"/>
      <c r="T483" s="6"/>
    </row>
    <row r="484" ht="12.75" customHeight="1">
      <c r="C484" s="7"/>
      <c r="S484" s="6"/>
      <c r="T484" s="6"/>
    </row>
    <row r="485" ht="12.75" customHeight="1">
      <c r="C485" s="7"/>
      <c r="S485" s="6"/>
      <c r="T485" s="6"/>
    </row>
    <row r="486" ht="12.75" customHeight="1">
      <c r="C486" s="7"/>
      <c r="S486" s="6"/>
      <c r="T486" s="6"/>
    </row>
    <row r="487" ht="12.75" customHeight="1">
      <c r="C487" s="7"/>
      <c r="S487" s="6"/>
      <c r="T487" s="6"/>
    </row>
    <row r="488" ht="12.75" customHeight="1">
      <c r="C488" s="7"/>
      <c r="S488" s="6"/>
      <c r="T488" s="6"/>
    </row>
    <row r="489" ht="12.75" customHeight="1">
      <c r="C489" s="7"/>
      <c r="S489" s="6"/>
      <c r="T489" s="6"/>
    </row>
    <row r="490" ht="12.75" customHeight="1">
      <c r="C490" s="7"/>
      <c r="S490" s="6"/>
      <c r="T490" s="6"/>
    </row>
    <row r="491" ht="12.75" customHeight="1">
      <c r="C491" s="7"/>
      <c r="S491" s="6"/>
      <c r="T491" s="6"/>
    </row>
    <row r="492" ht="12.75" customHeight="1">
      <c r="C492" s="7"/>
      <c r="S492" s="6"/>
      <c r="T492" s="6"/>
    </row>
    <row r="493" ht="12.75" customHeight="1">
      <c r="C493" s="7"/>
      <c r="S493" s="6"/>
      <c r="T493" s="6"/>
    </row>
    <row r="494" ht="12.75" customHeight="1">
      <c r="C494" s="7"/>
      <c r="S494" s="6"/>
      <c r="T494" s="6"/>
    </row>
    <row r="495" ht="12.75" customHeight="1">
      <c r="C495" s="7"/>
      <c r="S495" s="6"/>
      <c r="T495" s="6"/>
    </row>
    <row r="496" ht="12.75" customHeight="1">
      <c r="C496" s="7"/>
      <c r="S496" s="6"/>
      <c r="T496" s="6"/>
    </row>
    <row r="497" ht="12.75" customHeight="1">
      <c r="C497" s="7"/>
      <c r="S497" s="6"/>
      <c r="T497" s="6"/>
    </row>
    <row r="498" ht="12.75" customHeight="1">
      <c r="C498" s="7"/>
      <c r="S498" s="6"/>
      <c r="T498" s="6"/>
    </row>
    <row r="499" ht="12.75" customHeight="1">
      <c r="C499" s="7"/>
      <c r="S499" s="6"/>
      <c r="T499" s="6"/>
    </row>
    <row r="500" ht="12.75" customHeight="1">
      <c r="C500" s="7"/>
      <c r="S500" s="6"/>
      <c r="T500" s="6"/>
    </row>
    <row r="501" ht="12.75" customHeight="1">
      <c r="C501" s="7"/>
      <c r="S501" s="6"/>
      <c r="T501" s="6"/>
    </row>
    <row r="502" ht="12.75" customHeight="1">
      <c r="C502" s="7"/>
      <c r="S502" s="6"/>
      <c r="T502" s="6"/>
    </row>
    <row r="503" ht="12.75" customHeight="1">
      <c r="C503" s="7"/>
      <c r="S503" s="6"/>
      <c r="T503" s="6"/>
    </row>
    <row r="504" ht="12.75" customHeight="1">
      <c r="C504" s="7"/>
      <c r="S504" s="6"/>
      <c r="T504" s="6"/>
    </row>
    <row r="505" ht="12.75" customHeight="1">
      <c r="C505" s="7"/>
      <c r="S505" s="6"/>
      <c r="T505" s="6"/>
    </row>
    <row r="506" ht="12.75" customHeight="1">
      <c r="C506" s="7"/>
      <c r="S506" s="6"/>
      <c r="T506" s="6"/>
    </row>
    <row r="507" ht="12.75" customHeight="1">
      <c r="C507" s="7"/>
      <c r="S507" s="6"/>
      <c r="T507" s="6"/>
    </row>
    <row r="508" ht="12.75" customHeight="1">
      <c r="C508" s="7"/>
      <c r="S508" s="6"/>
      <c r="T508" s="6"/>
    </row>
    <row r="509" ht="12.75" customHeight="1">
      <c r="C509" s="7"/>
      <c r="S509" s="6"/>
      <c r="T509" s="6"/>
    </row>
    <row r="510" ht="12.75" customHeight="1">
      <c r="C510" s="7"/>
      <c r="S510" s="6"/>
      <c r="T510" s="6"/>
    </row>
    <row r="511" ht="12.75" customHeight="1">
      <c r="C511" s="7"/>
      <c r="S511" s="6"/>
      <c r="T511" s="6"/>
    </row>
    <row r="512" ht="12.75" customHeight="1">
      <c r="C512" s="7"/>
      <c r="S512" s="6"/>
      <c r="T512" s="6"/>
    </row>
    <row r="513" ht="12.75" customHeight="1">
      <c r="C513" s="7"/>
      <c r="S513" s="6"/>
      <c r="T513" s="6"/>
    </row>
    <row r="514" ht="12.75" customHeight="1">
      <c r="C514" s="7"/>
      <c r="S514" s="6"/>
      <c r="T514" s="6"/>
    </row>
    <row r="515" ht="12.75" customHeight="1">
      <c r="C515" s="7"/>
      <c r="S515" s="6"/>
      <c r="T515" s="6"/>
    </row>
    <row r="516" ht="12.75" customHeight="1">
      <c r="C516" s="7"/>
      <c r="S516" s="6"/>
      <c r="T516" s="6"/>
    </row>
    <row r="517" ht="12.75" customHeight="1">
      <c r="C517" s="7"/>
      <c r="S517" s="6"/>
      <c r="T517" s="6"/>
    </row>
    <row r="518" ht="12.75" customHeight="1">
      <c r="C518" s="7"/>
      <c r="S518" s="6"/>
      <c r="T518" s="6"/>
    </row>
    <row r="519" ht="12.75" customHeight="1">
      <c r="C519" s="7"/>
      <c r="S519" s="6"/>
      <c r="T519" s="6"/>
    </row>
    <row r="520" ht="12.75" customHeight="1">
      <c r="C520" s="7"/>
      <c r="S520" s="6"/>
      <c r="T520" s="6"/>
    </row>
    <row r="521" ht="12.75" customHeight="1">
      <c r="C521" s="7"/>
      <c r="S521" s="6"/>
      <c r="T521" s="6"/>
    </row>
    <row r="522" ht="12.75" customHeight="1">
      <c r="C522" s="7"/>
      <c r="S522" s="6"/>
      <c r="T522" s="6"/>
    </row>
    <row r="523" ht="12.75" customHeight="1">
      <c r="C523" s="7"/>
      <c r="S523" s="6"/>
      <c r="T523" s="6"/>
    </row>
    <row r="524" ht="12.75" customHeight="1">
      <c r="C524" s="7"/>
      <c r="S524" s="6"/>
      <c r="T524" s="6"/>
    </row>
    <row r="525" ht="12.75" customHeight="1">
      <c r="C525" s="7"/>
      <c r="S525" s="6"/>
      <c r="T525" s="6"/>
    </row>
    <row r="526" ht="12.75" customHeight="1">
      <c r="C526" s="7"/>
      <c r="S526" s="6"/>
      <c r="T526" s="6"/>
    </row>
    <row r="527" ht="12.75" customHeight="1">
      <c r="C527" s="7"/>
      <c r="S527" s="6"/>
      <c r="T527" s="6"/>
    </row>
    <row r="528" ht="12.75" customHeight="1">
      <c r="C528" s="7"/>
      <c r="S528" s="6"/>
      <c r="T528" s="6"/>
    </row>
    <row r="529" ht="12.75" customHeight="1">
      <c r="C529" s="7"/>
      <c r="S529" s="6"/>
      <c r="T529" s="6"/>
    </row>
    <row r="530" ht="12.75" customHeight="1">
      <c r="C530" s="7"/>
      <c r="S530" s="6"/>
      <c r="T530" s="6"/>
    </row>
    <row r="531" ht="12.75" customHeight="1">
      <c r="C531" s="7"/>
      <c r="S531" s="6"/>
      <c r="T531" s="6"/>
    </row>
    <row r="532" ht="12.75" customHeight="1">
      <c r="C532" s="7"/>
      <c r="S532" s="6"/>
      <c r="T532" s="6"/>
    </row>
    <row r="533" ht="12.75" customHeight="1">
      <c r="C533" s="7"/>
      <c r="S533" s="6"/>
      <c r="T533" s="6"/>
    </row>
    <row r="534" ht="12.75" customHeight="1">
      <c r="C534" s="7"/>
      <c r="S534" s="6"/>
      <c r="T534" s="6"/>
    </row>
    <row r="535" ht="12.75" customHeight="1">
      <c r="C535" s="7"/>
      <c r="S535" s="6"/>
      <c r="T535" s="6"/>
    </row>
    <row r="536" ht="12.75" customHeight="1">
      <c r="C536" s="7"/>
      <c r="S536" s="6"/>
      <c r="T536" s="6"/>
    </row>
    <row r="537" ht="12.75" customHeight="1">
      <c r="C537" s="7"/>
      <c r="S537" s="6"/>
      <c r="T537" s="6"/>
    </row>
    <row r="538" ht="12.75" customHeight="1">
      <c r="C538" s="7"/>
      <c r="S538" s="6"/>
      <c r="T538" s="6"/>
    </row>
    <row r="539" ht="12.75" customHeight="1">
      <c r="C539" s="7"/>
      <c r="S539" s="6"/>
      <c r="T539" s="6"/>
    </row>
    <row r="540" ht="12.75" customHeight="1">
      <c r="C540" s="7"/>
      <c r="S540" s="6"/>
      <c r="T540" s="6"/>
    </row>
    <row r="541" ht="12.75" customHeight="1">
      <c r="C541" s="7"/>
      <c r="S541" s="6"/>
      <c r="T541" s="6"/>
    </row>
    <row r="542" ht="12.75" customHeight="1">
      <c r="C542" s="7"/>
      <c r="S542" s="6"/>
      <c r="T542" s="6"/>
    </row>
    <row r="543" ht="12.75" customHeight="1">
      <c r="C543" s="7"/>
      <c r="S543" s="6"/>
      <c r="T543" s="6"/>
    </row>
    <row r="544" ht="12.75" customHeight="1">
      <c r="C544" s="7"/>
      <c r="S544" s="6"/>
      <c r="T544" s="6"/>
    </row>
    <row r="545" ht="12.75" customHeight="1">
      <c r="C545" s="7"/>
      <c r="S545" s="6"/>
      <c r="T545" s="6"/>
    </row>
    <row r="546" ht="12.75" customHeight="1">
      <c r="C546" s="7"/>
      <c r="S546" s="6"/>
      <c r="T546" s="6"/>
    </row>
    <row r="547" ht="12.75" customHeight="1">
      <c r="C547" s="7"/>
      <c r="S547" s="6"/>
      <c r="T547" s="6"/>
    </row>
    <row r="548" ht="12.75" customHeight="1">
      <c r="C548" s="7"/>
      <c r="S548" s="6"/>
      <c r="T548" s="6"/>
    </row>
    <row r="549" ht="12.75" customHeight="1">
      <c r="C549" s="7"/>
      <c r="S549" s="6"/>
      <c r="T549" s="6"/>
    </row>
    <row r="550" ht="12.75" customHeight="1">
      <c r="C550" s="7"/>
      <c r="S550" s="6"/>
      <c r="T550" s="6"/>
    </row>
    <row r="551" ht="12.75" customHeight="1">
      <c r="C551" s="7"/>
      <c r="S551" s="6"/>
      <c r="T551" s="6"/>
    </row>
    <row r="552" ht="12.75" customHeight="1">
      <c r="C552" s="7"/>
      <c r="S552" s="6"/>
      <c r="T552" s="6"/>
    </row>
    <row r="553" ht="12.75" customHeight="1">
      <c r="C553" s="7"/>
      <c r="S553" s="6"/>
      <c r="T553" s="6"/>
    </row>
    <row r="554" ht="12.75" customHeight="1">
      <c r="C554" s="7"/>
      <c r="S554" s="6"/>
      <c r="T554" s="6"/>
    </row>
    <row r="555" ht="12.75" customHeight="1">
      <c r="C555" s="7"/>
      <c r="S555" s="6"/>
      <c r="T555" s="6"/>
    </row>
    <row r="556" ht="12.75" customHeight="1">
      <c r="C556" s="7"/>
      <c r="S556" s="6"/>
      <c r="T556" s="6"/>
    </row>
    <row r="557" ht="12.75" customHeight="1">
      <c r="C557" s="7"/>
      <c r="S557" s="6"/>
      <c r="T557" s="6"/>
    </row>
    <row r="558" ht="12.75" customHeight="1">
      <c r="C558" s="7"/>
      <c r="S558" s="6"/>
      <c r="T558" s="6"/>
    </row>
    <row r="559" ht="12.75" customHeight="1">
      <c r="C559" s="7"/>
      <c r="S559" s="6"/>
      <c r="T559" s="6"/>
    </row>
    <row r="560" ht="12.75" customHeight="1">
      <c r="C560" s="7"/>
      <c r="S560" s="6"/>
      <c r="T560" s="6"/>
    </row>
    <row r="561" ht="12.75" customHeight="1">
      <c r="C561" s="7"/>
      <c r="S561" s="6"/>
      <c r="T561" s="6"/>
    </row>
    <row r="562" ht="12.75" customHeight="1">
      <c r="C562" s="7"/>
      <c r="S562" s="6"/>
      <c r="T562" s="6"/>
    </row>
    <row r="563" ht="12.75" customHeight="1">
      <c r="C563" s="7"/>
      <c r="S563" s="6"/>
      <c r="T563" s="6"/>
    </row>
    <row r="564" ht="12.75" customHeight="1">
      <c r="C564" s="7"/>
      <c r="S564" s="6"/>
      <c r="T564" s="6"/>
    </row>
    <row r="565" ht="12.75" customHeight="1">
      <c r="C565" s="7"/>
      <c r="S565" s="6"/>
      <c r="T565" s="6"/>
    </row>
    <row r="566" ht="12.75" customHeight="1">
      <c r="C566" s="7"/>
      <c r="S566" s="6"/>
      <c r="T566" s="6"/>
    </row>
    <row r="567" ht="12.75" customHeight="1">
      <c r="C567" s="7"/>
      <c r="S567" s="6"/>
      <c r="T567" s="6"/>
    </row>
    <row r="568" ht="12.75" customHeight="1">
      <c r="C568" s="7"/>
      <c r="S568" s="6"/>
      <c r="T568" s="6"/>
    </row>
    <row r="569" ht="12.75" customHeight="1">
      <c r="C569" s="7"/>
      <c r="S569" s="6"/>
      <c r="T569" s="6"/>
    </row>
    <row r="570" ht="12.75" customHeight="1">
      <c r="C570" s="7"/>
      <c r="S570" s="6"/>
      <c r="T570" s="6"/>
    </row>
    <row r="571" ht="12.75" customHeight="1">
      <c r="C571" s="7"/>
      <c r="S571" s="6"/>
      <c r="T571" s="6"/>
    </row>
    <row r="572" ht="12.75" customHeight="1">
      <c r="C572" s="7"/>
      <c r="S572" s="6"/>
      <c r="T572" s="6"/>
    </row>
    <row r="573" ht="12.75" customHeight="1">
      <c r="C573" s="7"/>
      <c r="S573" s="6"/>
      <c r="T573" s="6"/>
    </row>
    <row r="574" ht="12.75" customHeight="1">
      <c r="C574" s="7"/>
      <c r="S574" s="6"/>
      <c r="T574" s="6"/>
    </row>
    <row r="575" ht="12.75" customHeight="1">
      <c r="C575" s="7"/>
      <c r="S575" s="6"/>
      <c r="T575" s="6"/>
    </row>
    <row r="576" ht="12.75" customHeight="1">
      <c r="C576" s="7"/>
      <c r="S576" s="6"/>
      <c r="T576" s="6"/>
    </row>
    <row r="577" ht="12.75" customHeight="1">
      <c r="C577" s="7"/>
      <c r="S577" s="6"/>
      <c r="T577" s="6"/>
    </row>
    <row r="578" ht="12.75" customHeight="1">
      <c r="C578" s="7"/>
      <c r="S578" s="6"/>
      <c r="T578" s="6"/>
    </row>
    <row r="579" ht="12.75" customHeight="1">
      <c r="C579" s="7"/>
      <c r="S579" s="6"/>
      <c r="T579" s="6"/>
    </row>
    <row r="580" ht="12.75" customHeight="1">
      <c r="C580" s="7"/>
      <c r="S580" s="6"/>
      <c r="T580" s="6"/>
    </row>
    <row r="581" ht="12.75" customHeight="1">
      <c r="C581" s="7"/>
      <c r="S581" s="6"/>
      <c r="T581" s="6"/>
    </row>
    <row r="582" ht="12.75" customHeight="1">
      <c r="C582" s="7"/>
      <c r="S582" s="6"/>
      <c r="T582" s="6"/>
    </row>
    <row r="583" ht="12.75" customHeight="1">
      <c r="C583" s="7"/>
      <c r="S583" s="6"/>
      <c r="T583" s="6"/>
    </row>
    <row r="584" ht="12.75" customHeight="1">
      <c r="C584" s="7"/>
      <c r="S584" s="6"/>
      <c r="T584" s="6"/>
    </row>
    <row r="585" ht="12.75" customHeight="1">
      <c r="C585" s="7"/>
      <c r="S585" s="6"/>
      <c r="T585" s="6"/>
    </row>
    <row r="586" ht="12.75" customHeight="1">
      <c r="C586" s="7"/>
      <c r="S586" s="6"/>
      <c r="T586" s="6"/>
    </row>
    <row r="587" ht="12.75" customHeight="1">
      <c r="C587" s="7"/>
      <c r="S587" s="6"/>
      <c r="T587" s="6"/>
    </row>
    <row r="588" ht="12.75" customHeight="1">
      <c r="C588" s="7"/>
      <c r="S588" s="6"/>
      <c r="T588" s="6"/>
    </row>
    <row r="589" ht="12.75" customHeight="1">
      <c r="C589" s="7"/>
      <c r="S589" s="6"/>
      <c r="T589" s="6"/>
    </row>
    <row r="590" ht="12.75" customHeight="1">
      <c r="C590" s="7"/>
      <c r="S590" s="6"/>
      <c r="T590" s="6"/>
    </row>
    <row r="591" ht="12.75" customHeight="1">
      <c r="C591" s="7"/>
      <c r="S591" s="6"/>
      <c r="T591" s="6"/>
    </row>
    <row r="592" ht="12.75" customHeight="1">
      <c r="C592" s="7"/>
      <c r="S592" s="6"/>
      <c r="T592" s="6"/>
    </row>
    <row r="593" ht="12.75" customHeight="1">
      <c r="C593" s="7"/>
      <c r="S593" s="6"/>
      <c r="T593" s="6"/>
    </row>
    <row r="594" ht="12.75" customHeight="1">
      <c r="C594" s="7"/>
      <c r="S594" s="6"/>
      <c r="T594" s="6"/>
    </row>
    <row r="595" ht="12.75" customHeight="1">
      <c r="C595" s="7"/>
      <c r="S595" s="6"/>
      <c r="T595" s="6"/>
    </row>
    <row r="596" ht="12.75" customHeight="1">
      <c r="C596" s="7"/>
      <c r="S596" s="6"/>
      <c r="T596" s="6"/>
    </row>
    <row r="597" ht="12.75" customHeight="1">
      <c r="C597" s="7"/>
      <c r="S597" s="6"/>
      <c r="T597" s="6"/>
    </row>
    <row r="598" ht="12.75" customHeight="1">
      <c r="C598" s="7"/>
      <c r="S598" s="6"/>
      <c r="T598" s="6"/>
    </row>
    <row r="599" ht="12.75" customHeight="1">
      <c r="C599" s="7"/>
      <c r="S599" s="6"/>
      <c r="T599" s="6"/>
    </row>
    <row r="600" ht="12.75" customHeight="1">
      <c r="C600" s="7"/>
      <c r="S600" s="6"/>
      <c r="T600" s="6"/>
    </row>
    <row r="601" ht="12.75" customHeight="1">
      <c r="C601" s="7"/>
      <c r="S601" s="6"/>
      <c r="T601" s="6"/>
    </row>
    <row r="602" ht="12.75" customHeight="1">
      <c r="C602" s="7"/>
      <c r="S602" s="6"/>
      <c r="T602" s="6"/>
    </row>
    <row r="603" ht="12.75" customHeight="1">
      <c r="C603" s="7"/>
      <c r="S603" s="6"/>
      <c r="T603" s="6"/>
    </row>
    <row r="604" ht="12.75" customHeight="1">
      <c r="C604" s="7"/>
      <c r="S604" s="6"/>
      <c r="T604" s="6"/>
    </row>
    <row r="605" ht="12.75" customHeight="1">
      <c r="C605" s="7"/>
      <c r="S605" s="6"/>
      <c r="T605" s="6"/>
    </row>
    <row r="606" ht="12.75" customHeight="1">
      <c r="C606" s="7"/>
      <c r="S606" s="6"/>
      <c r="T606" s="6"/>
    </row>
    <row r="607" ht="12.75" customHeight="1">
      <c r="C607" s="7"/>
      <c r="S607" s="6"/>
      <c r="T607" s="6"/>
    </row>
    <row r="608" ht="12.75" customHeight="1">
      <c r="C608" s="7"/>
      <c r="S608" s="6"/>
      <c r="T608" s="6"/>
    </row>
    <row r="609" ht="12.75" customHeight="1">
      <c r="C609" s="7"/>
      <c r="S609" s="6"/>
      <c r="T609" s="6"/>
    </row>
    <row r="610" ht="12.75" customHeight="1">
      <c r="C610" s="7"/>
      <c r="S610" s="6"/>
      <c r="T610" s="6"/>
    </row>
    <row r="611" ht="12.75" customHeight="1">
      <c r="C611" s="7"/>
      <c r="S611" s="6"/>
      <c r="T611" s="6"/>
    </row>
    <row r="612" ht="12.75" customHeight="1">
      <c r="C612" s="7"/>
      <c r="S612" s="6"/>
      <c r="T612" s="6"/>
    </row>
    <row r="613" ht="12.75" customHeight="1">
      <c r="C613" s="7"/>
      <c r="S613" s="6"/>
      <c r="T613" s="6"/>
    </row>
    <row r="614" ht="12.75" customHeight="1">
      <c r="C614" s="7"/>
      <c r="S614" s="6"/>
      <c r="T614" s="6"/>
    </row>
    <row r="615" ht="12.75" customHeight="1">
      <c r="C615" s="7"/>
      <c r="S615" s="6"/>
      <c r="T615" s="6"/>
    </row>
    <row r="616" ht="12.75" customHeight="1">
      <c r="C616" s="7"/>
      <c r="S616" s="6"/>
      <c r="T616" s="6"/>
    </row>
    <row r="617" ht="12.75" customHeight="1">
      <c r="C617" s="7"/>
      <c r="S617" s="6"/>
      <c r="T617" s="6"/>
    </row>
    <row r="618" ht="12.75" customHeight="1">
      <c r="C618" s="7"/>
      <c r="S618" s="6"/>
      <c r="T618" s="6"/>
    </row>
    <row r="619" ht="12.75" customHeight="1">
      <c r="C619" s="7"/>
      <c r="S619" s="6"/>
      <c r="T619" s="6"/>
    </row>
    <row r="620" ht="12.75" customHeight="1">
      <c r="C620" s="7"/>
      <c r="S620" s="6"/>
      <c r="T620" s="6"/>
    </row>
    <row r="621" ht="12.75" customHeight="1">
      <c r="C621" s="7"/>
      <c r="S621" s="6"/>
      <c r="T621" s="6"/>
    </row>
    <row r="622" ht="12.75" customHeight="1">
      <c r="C622" s="7"/>
      <c r="S622" s="6"/>
      <c r="T622" s="6"/>
    </row>
    <row r="623" ht="12.75" customHeight="1">
      <c r="C623" s="7"/>
      <c r="S623" s="6"/>
      <c r="T623" s="6"/>
    </row>
    <row r="624" ht="12.75" customHeight="1">
      <c r="C624" s="7"/>
      <c r="S624" s="6"/>
      <c r="T624" s="6"/>
    </row>
    <row r="625" ht="12.75" customHeight="1">
      <c r="C625" s="7"/>
      <c r="S625" s="6"/>
      <c r="T625" s="6"/>
    </row>
    <row r="626" ht="12.75" customHeight="1">
      <c r="C626" s="7"/>
      <c r="S626" s="6"/>
      <c r="T626" s="6"/>
    </row>
    <row r="627" ht="12.75" customHeight="1">
      <c r="C627" s="7"/>
      <c r="S627" s="6"/>
      <c r="T627" s="6"/>
    </row>
    <row r="628" ht="12.75" customHeight="1">
      <c r="C628" s="7"/>
      <c r="S628" s="6"/>
      <c r="T628" s="6"/>
    </row>
    <row r="629" ht="12.75" customHeight="1">
      <c r="C629" s="7"/>
      <c r="S629" s="6"/>
      <c r="T629" s="6"/>
    </row>
    <row r="630" ht="12.75" customHeight="1">
      <c r="C630" s="7"/>
      <c r="S630" s="6"/>
      <c r="T630" s="6"/>
    </row>
    <row r="631" ht="12.75" customHeight="1">
      <c r="C631" s="7"/>
      <c r="S631" s="6"/>
      <c r="T631" s="6"/>
    </row>
    <row r="632" ht="12.75" customHeight="1">
      <c r="C632" s="7"/>
      <c r="S632" s="6"/>
      <c r="T632" s="6"/>
    </row>
    <row r="633" ht="12.75" customHeight="1">
      <c r="C633" s="7"/>
      <c r="S633" s="6"/>
      <c r="T633" s="6"/>
    </row>
    <row r="634" ht="12.75" customHeight="1">
      <c r="C634" s="7"/>
      <c r="S634" s="6"/>
      <c r="T634" s="6"/>
    </row>
    <row r="635" ht="12.75" customHeight="1">
      <c r="C635" s="7"/>
      <c r="S635" s="6"/>
      <c r="T635" s="6"/>
    </row>
    <row r="636" ht="12.75" customHeight="1">
      <c r="C636" s="7"/>
      <c r="S636" s="6"/>
      <c r="T636" s="6"/>
    </row>
    <row r="637" ht="12.75" customHeight="1">
      <c r="C637" s="7"/>
      <c r="S637" s="6"/>
      <c r="T637" s="6"/>
    </row>
    <row r="638" ht="12.75" customHeight="1">
      <c r="C638" s="7"/>
      <c r="S638" s="6"/>
      <c r="T638" s="6"/>
    </row>
    <row r="639" ht="12.75" customHeight="1">
      <c r="C639" s="7"/>
      <c r="S639" s="6"/>
      <c r="T639" s="6"/>
    </row>
    <row r="640" ht="12.75" customHeight="1">
      <c r="C640" s="7"/>
      <c r="S640" s="6"/>
      <c r="T640" s="6"/>
    </row>
    <row r="641" ht="12.75" customHeight="1">
      <c r="C641" s="7"/>
      <c r="S641" s="6"/>
      <c r="T641" s="6"/>
    </row>
    <row r="642" ht="12.75" customHeight="1">
      <c r="C642" s="7"/>
      <c r="S642" s="6"/>
      <c r="T642" s="6"/>
    </row>
    <row r="643" ht="12.75" customHeight="1">
      <c r="C643" s="7"/>
      <c r="S643" s="6"/>
      <c r="T643" s="6"/>
    </row>
    <row r="644" ht="12.75" customHeight="1">
      <c r="C644" s="7"/>
      <c r="S644" s="6"/>
      <c r="T644" s="6"/>
    </row>
    <row r="645" ht="12.75" customHeight="1">
      <c r="C645" s="7"/>
      <c r="S645" s="6"/>
      <c r="T645" s="6"/>
    </row>
    <row r="646" ht="12.75" customHeight="1">
      <c r="C646" s="7"/>
      <c r="S646" s="6"/>
      <c r="T646" s="6"/>
    </row>
    <row r="647" ht="12.75" customHeight="1">
      <c r="C647" s="7"/>
      <c r="S647" s="6"/>
      <c r="T647" s="6"/>
    </row>
    <row r="648" ht="12.75" customHeight="1">
      <c r="C648" s="7"/>
      <c r="S648" s="6"/>
      <c r="T648" s="6"/>
    </row>
    <row r="649" ht="12.75" customHeight="1">
      <c r="C649" s="7"/>
      <c r="S649" s="6"/>
      <c r="T649" s="6"/>
    </row>
    <row r="650" ht="12.75" customHeight="1">
      <c r="C650" s="7"/>
      <c r="S650" s="6"/>
      <c r="T650" s="6"/>
    </row>
    <row r="651" ht="12.75" customHeight="1">
      <c r="C651" s="7"/>
      <c r="S651" s="6"/>
      <c r="T651" s="6"/>
    </row>
    <row r="652" ht="12.75" customHeight="1">
      <c r="C652" s="7"/>
      <c r="S652" s="6"/>
      <c r="T652" s="6"/>
    </row>
    <row r="653" ht="12.75" customHeight="1">
      <c r="C653" s="7"/>
      <c r="S653" s="6"/>
      <c r="T653" s="6"/>
    </row>
    <row r="654" ht="12.75" customHeight="1">
      <c r="C654" s="7"/>
      <c r="S654" s="6"/>
      <c r="T654" s="6"/>
    </row>
    <row r="655" ht="12.75" customHeight="1">
      <c r="C655" s="7"/>
      <c r="S655" s="6"/>
      <c r="T655" s="6"/>
    </row>
    <row r="656" ht="12.75" customHeight="1">
      <c r="C656" s="7"/>
      <c r="S656" s="6"/>
      <c r="T656" s="6"/>
    </row>
    <row r="657" ht="12.75" customHeight="1">
      <c r="C657" s="7"/>
      <c r="S657" s="6"/>
      <c r="T657" s="6"/>
    </row>
    <row r="658" ht="12.75" customHeight="1">
      <c r="C658" s="7"/>
      <c r="S658" s="6"/>
      <c r="T658" s="6"/>
    </row>
    <row r="659" ht="12.75" customHeight="1">
      <c r="C659" s="7"/>
      <c r="S659" s="6"/>
      <c r="T659" s="6"/>
    </row>
    <row r="660" ht="12.75" customHeight="1">
      <c r="C660" s="7"/>
      <c r="S660" s="6"/>
      <c r="T660" s="6"/>
    </row>
    <row r="661" ht="12.75" customHeight="1">
      <c r="C661" s="7"/>
      <c r="S661" s="6"/>
      <c r="T661" s="6"/>
    </row>
    <row r="662" ht="12.75" customHeight="1">
      <c r="C662" s="7"/>
      <c r="S662" s="6"/>
      <c r="T662" s="6"/>
    </row>
    <row r="663" ht="12.75" customHeight="1">
      <c r="C663" s="7"/>
      <c r="S663" s="6"/>
      <c r="T663" s="6"/>
    </row>
    <row r="664" ht="12.75" customHeight="1">
      <c r="C664" s="7"/>
      <c r="S664" s="6"/>
      <c r="T664" s="6"/>
    </row>
    <row r="665" ht="12.75" customHeight="1">
      <c r="C665" s="7"/>
      <c r="S665" s="6"/>
      <c r="T665" s="6"/>
    </row>
    <row r="666" ht="12.75" customHeight="1">
      <c r="C666" s="7"/>
      <c r="S666" s="6"/>
      <c r="T666" s="6"/>
    </row>
    <row r="667" ht="12.75" customHeight="1">
      <c r="C667" s="7"/>
      <c r="S667" s="6"/>
      <c r="T667" s="6"/>
    </row>
    <row r="668" ht="12.75" customHeight="1">
      <c r="C668" s="7"/>
      <c r="S668" s="6"/>
      <c r="T668" s="6"/>
    </row>
    <row r="669" ht="12.75" customHeight="1">
      <c r="C669" s="7"/>
      <c r="S669" s="6"/>
      <c r="T669" s="6"/>
    </row>
    <row r="670" ht="12.75" customHeight="1">
      <c r="C670" s="7"/>
      <c r="S670" s="6"/>
      <c r="T670" s="6"/>
    </row>
    <row r="671" ht="12.75" customHeight="1">
      <c r="C671" s="7"/>
      <c r="S671" s="6"/>
      <c r="T671" s="6"/>
    </row>
    <row r="672" ht="12.75" customHeight="1">
      <c r="C672" s="7"/>
      <c r="S672" s="6"/>
      <c r="T672" s="6"/>
    </row>
    <row r="673" ht="12.75" customHeight="1">
      <c r="C673" s="7"/>
      <c r="S673" s="6"/>
      <c r="T673" s="6"/>
    </row>
    <row r="674" ht="12.75" customHeight="1">
      <c r="C674" s="7"/>
      <c r="S674" s="6"/>
      <c r="T674" s="6"/>
    </row>
    <row r="675" ht="12.75" customHeight="1">
      <c r="C675" s="7"/>
      <c r="S675" s="6"/>
      <c r="T675" s="6"/>
    </row>
    <row r="676" ht="12.75" customHeight="1">
      <c r="C676" s="7"/>
      <c r="S676" s="6"/>
      <c r="T676" s="6"/>
    </row>
    <row r="677" ht="12.75" customHeight="1">
      <c r="C677" s="7"/>
      <c r="S677" s="6"/>
      <c r="T677" s="6"/>
    </row>
    <row r="678" ht="12.75" customHeight="1">
      <c r="C678" s="7"/>
      <c r="S678" s="6"/>
      <c r="T678" s="6"/>
    </row>
    <row r="679" ht="12.75" customHeight="1">
      <c r="C679" s="7"/>
      <c r="S679" s="6"/>
      <c r="T679" s="6"/>
    </row>
    <row r="680" ht="12.75" customHeight="1">
      <c r="C680" s="7"/>
      <c r="S680" s="6"/>
      <c r="T680" s="6"/>
    </row>
    <row r="681" ht="12.75" customHeight="1">
      <c r="C681" s="7"/>
      <c r="S681" s="6"/>
      <c r="T681" s="6"/>
    </row>
    <row r="682" ht="12.75" customHeight="1">
      <c r="C682" s="7"/>
      <c r="S682" s="6"/>
      <c r="T682" s="6"/>
    </row>
    <row r="683" ht="12.75" customHeight="1">
      <c r="C683" s="7"/>
      <c r="S683" s="6"/>
      <c r="T683" s="6"/>
    </row>
    <row r="684" ht="12.75" customHeight="1">
      <c r="C684" s="7"/>
      <c r="S684" s="6"/>
      <c r="T684" s="6"/>
    </row>
    <row r="685" ht="12.75" customHeight="1">
      <c r="C685" s="7"/>
      <c r="S685" s="6"/>
      <c r="T685" s="6"/>
    </row>
    <row r="686" ht="12.75" customHeight="1">
      <c r="C686" s="7"/>
      <c r="S686" s="6"/>
      <c r="T686" s="6"/>
    </row>
    <row r="687" ht="12.75" customHeight="1">
      <c r="C687" s="7"/>
      <c r="S687" s="6"/>
      <c r="T687" s="6"/>
    </row>
    <row r="688" ht="12.75" customHeight="1">
      <c r="C688" s="7"/>
      <c r="S688" s="6"/>
      <c r="T688" s="6"/>
    </row>
    <row r="689" ht="12.75" customHeight="1">
      <c r="C689" s="7"/>
      <c r="S689" s="6"/>
      <c r="T689" s="6"/>
    </row>
    <row r="690" ht="12.75" customHeight="1">
      <c r="C690" s="7"/>
      <c r="S690" s="6"/>
      <c r="T690" s="6"/>
    </row>
    <row r="691" ht="12.75" customHeight="1">
      <c r="C691" s="7"/>
      <c r="S691" s="6"/>
      <c r="T691" s="6"/>
    </row>
    <row r="692" ht="12.75" customHeight="1">
      <c r="C692" s="7"/>
      <c r="S692" s="6"/>
      <c r="T692" s="6"/>
    </row>
    <row r="693" ht="12.75" customHeight="1">
      <c r="C693" s="7"/>
      <c r="S693" s="6"/>
      <c r="T693" s="6"/>
    </row>
    <row r="694" ht="12.75" customHeight="1">
      <c r="C694" s="7"/>
      <c r="S694" s="6"/>
      <c r="T694" s="6"/>
    </row>
    <row r="695" ht="12.75" customHeight="1">
      <c r="C695" s="7"/>
      <c r="S695" s="6"/>
      <c r="T695" s="6"/>
    </row>
    <row r="696" ht="12.75" customHeight="1">
      <c r="C696" s="7"/>
      <c r="S696" s="6"/>
      <c r="T696" s="6"/>
    </row>
    <row r="697" ht="12.75" customHeight="1">
      <c r="C697" s="7"/>
      <c r="S697" s="6"/>
      <c r="T697" s="6"/>
    </row>
    <row r="698" ht="12.75" customHeight="1">
      <c r="C698" s="7"/>
      <c r="S698" s="6"/>
      <c r="T698" s="6"/>
    </row>
    <row r="699" ht="12.75" customHeight="1">
      <c r="C699" s="7"/>
      <c r="S699" s="6"/>
      <c r="T699" s="6"/>
    </row>
    <row r="700" ht="12.75" customHeight="1">
      <c r="C700" s="7"/>
      <c r="S700" s="6"/>
      <c r="T700" s="6"/>
    </row>
    <row r="701" ht="12.75" customHeight="1">
      <c r="C701" s="7"/>
      <c r="S701" s="6"/>
      <c r="T701" s="6"/>
    </row>
    <row r="702" ht="12.75" customHeight="1">
      <c r="C702" s="7"/>
      <c r="S702" s="6"/>
      <c r="T702" s="6"/>
    </row>
    <row r="703" ht="12.75" customHeight="1">
      <c r="C703" s="7"/>
      <c r="S703" s="6"/>
      <c r="T703" s="6"/>
    </row>
    <row r="704" ht="12.75" customHeight="1">
      <c r="C704" s="7"/>
      <c r="S704" s="6"/>
      <c r="T704" s="6"/>
    </row>
    <row r="705" ht="12.75" customHeight="1">
      <c r="C705" s="7"/>
      <c r="S705" s="6"/>
      <c r="T705" s="6"/>
    </row>
    <row r="706" ht="12.75" customHeight="1">
      <c r="C706" s="7"/>
      <c r="S706" s="6"/>
      <c r="T706" s="6"/>
    </row>
    <row r="707" ht="12.75" customHeight="1">
      <c r="C707" s="7"/>
      <c r="S707" s="6"/>
      <c r="T707" s="6"/>
    </row>
    <row r="708" ht="12.75" customHeight="1">
      <c r="C708" s="7"/>
      <c r="S708" s="6"/>
      <c r="T708" s="6"/>
    </row>
    <row r="709" ht="12.75" customHeight="1">
      <c r="C709" s="7"/>
      <c r="S709" s="6"/>
      <c r="T709" s="6"/>
    </row>
    <row r="710" ht="12.75" customHeight="1">
      <c r="C710" s="7"/>
      <c r="S710" s="6"/>
      <c r="T710" s="6"/>
    </row>
    <row r="711" ht="12.75" customHeight="1">
      <c r="C711" s="7"/>
      <c r="S711" s="6"/>
      <c r="T711" s="6"/>
    </row>
    <row r="712" ht="12.75" customHeight="1">
      <c r="C712" s="7"/>
      <c r="S712" s="6"/>
      <c r="T712" s="6"/>
    </row>
    <row r="713" ht="12.75" customHeight="1">
      <c r="C713" s="7"/>
      <c r="S713" s="6"/>
      <c r="T713" s="6"/>
    </row>
    <row r="714" ht="12.75" customHeight="1">
      <c r="C714" s="7"/>
      <c r="S714" s="6"/>
      <c r="T714" s="6"/>
    </row>
    <row r="715" ht="12.75" customHeight="1">
      <c r="C715" s="7"/>
      <c r="S715" s="6"/>
      <c r="T715" s="6"/>
    </row>
    <row r="716" ht="12.75" customHeight="1">
      <c r="C716" s="7"/>
      <c r="S716" s="6"/>
      <c r="T716" s="6"/>
    </row>
    <row r="717" ht="12.75" customHeight="1">
      <c r="C717" s="7"/>
      <c r="S717" s="6"/>
      <c r="T717" s="6"/>
    </row>
    <row r="718" ht="12.75" customHeight="1">
      <c r="C718" s="7"/>
      <c r="S718" s="6"/>
      <c r="T718" s="6"/>
    </row>
    <row r="719" ht="12.75" customHeight="1">
      <c r="C719" s="7"/>
      <c r="S719" s="6"/>
      <c r="T719" s="6"/>
    </row>
    <row r="720" ht="12.75" customHeight="1">
      <c r="C720" s="7"/>
      <c r="S720" s="6"/>
      <c r="T720" s="6"/>
    </row>
    <row r="721" ht="12.75" customHeight="1">
      <c r="C721" s="7"/>
      <c r="S721" s="6"/>
      <c r="T721" s="6"/>
    </row>
    <row r="722" ht="12.75" customHeight="1">
      <c r="C722" s="7"/>
      <c r="S722" s="6"/>
      <c r="T722" s="6"/>
    </row>
    <row r="723" ht="12.75" customHeight="1">
      <c r="C723" s="7"/>
      <c r="S723" s="6"/>
      <c r="T723" s="6"/>
    </row>
    <row r="724" ht="12.75" customHeight="1">
      <c r="C724" s="7"/>
      <c r="S724" s="6"/>
      <c r="T724" s="6"/>
    </row>
    <row r="725" ht="12.75" customHeight="1">
      <c r="C725" s="7"/>
      <c r="S725" s="6"/>
      <c r="T725" s="6"/>
    </row>
    <row r="726" ht="12.75" customHeight="1">
      <c r="C726" s="7"/>
      <c r="S726" s="6"/>
      <c r="T726" s="6"/>
    </row>
    <row r="727" ht="12.75" customHeight="1">
      <c r="C727" s="7"/>
      <c r="S727" s="6"/>
      <c r="T727" s="6"/>
    </row>
    <row r="728" ht="12.75" customHeight="1">
      <c r="C728" s="7"/>
      <c r="S728" s="6"/>
      <c r="T728" s="6"/>
    </row>
    <row r="729" ht="12.75" customHeight="1">
      <c r="C729" s="7"/>
      <c r="S729" s="6"/>
      <c r="T729" s="6"/>
    </row>
    <row r="730" ht="12.75" customHeight="1">
      <c r="C730" s="7"/>
      <c r="S730" s="6"/>
      <c r="T730" s="6"/>
    </row>
    <row r="731" ht="12.75" customHeight="1">
      <c r="C731" s="7"/>
      <c r="S731" s="6"/>
      <c r="T731" s="6"/>
    </row>
    <row r="732" ht="12.75" customHeight="1">
      <c r="C732" s="7"/>
      <c r="S732" s="6"/>
      <c r="T732" s="6"/>
    </row>
    <row r="733" ht="12.75" customHeight="1">
      <c r="C733" s="7"/>
      <c r="S733" s="6"/>
      <c r="T733" s="6"/>
    </row>
    <row r="734" ht="12.75" customHeight="1">
      <c r="C734" s="7"/>
      <c r="S734" s="6"/>
      <c r="T734" s="6"/>
    </row>
    <row r="735" ht="12.75" customHeight="1">
      <c r="C735" s="7"/>
      <c r="S735" s="6"/>
      <c r="T735" s="6"/>
    </row>
    <row r="736" ht="12.75" customHeight="1">
      <c r="C736" s="7"/>
      <c r="S736" s="6"/>
      <c r="T736" s="6"/>
    </row>
    <row r="737" ht="12.75" customHeight="1">
      <c r="C737" s="7"/>
      <c r="S737" s="6"/>
      <c r="T737" s="6"/>
    </row>
    <row r="738" ht="12.75" customHeight="1">
      <c r="C738" s="7"/>
      <c r="S738" s="6"/>
      <c r="T738" s="6"/>
    </row>
    <row r="739" ht="12.75" customHeight="1">
      <c r="C739" s="7"/>
      <c r="S739" s="6"/>
      <c r="T739" s="6"/>
    </row>
    <row r="740" ht="12.75" customHeight="1">
      <c r="C740" s="7"/>
      <c r="S740" s="6"/>
      <c r="T740" s="6"/>
    </row>
    <row r="741" ht="12.75" customHeight="1">
      <c r="C741" s="7"/>
      <c r="S741" s="6"/>
      <c r="T741" s="6"/>
    </row>
    <row r="742" ht="12.75" customHeight="1">
      <c r="C742" s="7"/>
      <c r="S742" s="6"/>
      <c r="T742" s="6"/>
    </row>
    <row r="743" ht="12.75" customHeight="1">
      <c r="C743" s="7"/>
      <c r="S743" s="6"/>
      <c r="T743" s="6"/>
    </row>
    <row r="744" ht="12.75" customHeight="1">
      <c r="C744" s="7"/>
      <c r="S744" s="6"/>
      <c r="T744" s="6"/>
    </row>
    <row r="745" ht="12.75" customHeight="1">
      <c r="C745" s="7"/>
      <c r="S745" s="6"/>
      <c r="T745" s="6"/>
    </row>
    <row r="746" ht="12.75" customHeight="1">
      <c r="C746" s="7"/>
      <c r="S746" s="6"/>
      <c r="T746" s="6"/>
    </row>
    <row r="747" ht="12.75" customHeight="1">
      <c r="C747" s="7"/>
      <c r="S747" s="6"/>
      <c r="T747" s="6"/>
    </row>
    <row r="748" ht="12.75" customHeight="1">
      <c r="C748" s="7"/>
      <c r="S748" s="6"/>
      <c r="T748" s="6"/>
    </row>
    <row r="749" ht="12.75" customHeight="1">
      <c r="C749" s="7"/>
      <c r="S749" s="6"/>
      <c r="T749" s="6"/>
    </row>
    <row r="750" ht="12.75" customHeight="1">
      <c r="C750" s="7"/>
      <c r="S750" s="6"/>
      <c r="T750" s="6"/>
    </row>
    <row r="751" ht="12.75" customHeight="1">
      <c r="C751" s="7"/>
      <c r="S751" s="6"/>
      <c r="T751" s="6"/>
    </row>
    <row r="752" ht="12.75" customHeight="1">
      <c r="C752" s="7"/>
      <c r="S752" s="6"/>
      <c r="T752" s="6"/>
    </row>
    <row r="753" ht="12.75" customHeight="1">
      <c r="C753" s="7"/>
      <c r="S753" s="6"/>
      <c r="T753" s="6"/>
    </row>
    <row r="754" ht="12.75" customHeight="1">
      <c r="C754" s="7"/>
      <c r="S754" s="6"/>
      <c r="T754" s="6"/>
    </row>
    <row r="755" ht="12.75" customHeight="1">
      <c r="C755" s="7"/>
      <c r="S755" s="6"/>
      <c r="T755" s="6"/>
    </row>
    <row r="756" ht="12.75" customHeight="1">
      <c r="C756" s="7"/>
      <c r="S756" s="6"/>
      <c r="T756" s="6"/>
    </row>
    <row r="757" ht="12.75" customHeight="1">
      <c r="C757" s="7"/>
      <c r="S757" s="6"/>
      <c r="T757" s="6"/>
    </row>
    <row r="758" ht="12.75" customHeight="1">
      <c r="C758" s="7"/>
      <c r="S758" s="6"/>
      <c r="T758" s="6"/>
    </row>
    <row r="759" ht="12.75" customHeight="1">
      <c r="C759" s="7"/>
      <c r="S759" s="6"/>
      <c r="T759" s="6"/>
    </row>
    <row r="760" ht="12.75" customHeight="1">
      <c r="C760" s="7"/>
      <c r="S760" s="6"/>
      <c r="T760" s="6"/>
    </row>
    <row r="761" ht="12.75" customHeight="1">
      <c r="C761" s="7"/>
      <c r="S761" s="6"/>
      <c r="T761" s="6"/>
    </row>
    <row r="762" ht="12.75" customHeight="1">
      <c r="C762" s="7"/>
      <c r="S762" s="6"/>
      <c r="T762" s="6"/>
    </row>
    <row r="763" ht="12.75" customHeight="1">
      <c r="C763" s="7"/>
      <c r="S763" s="6"/>
      <c r="T763" s="6"/>
    </row>
    <row r="764" ht="12.75" customHeight="1">
      <c r="C764" s="7"/>
      <c r="S764" s="6"/>
      <c r="T764" s="6"/>
    </row>
    <row r="765" ht="12.75" customHeight="1">
      <c r="C765" s="7"/>
      <c r="S765" s="6"/>
      <c r="T765" s="6"/>
    </row>
    <row r="766" ht="12.75" customHeight="1">
      <c r="C766" s="7"/>
      <c r="S766" s="6"/>
      <c r="T766" s="6"/>
    </row>
    <row r="767" ht="12.75" customHeight="1">
      <c r="C767" s="7"/>
      <c r="S767" s="6"/>
      <c r="T767" s="6"/>
    </row>
    <row r="768" ht="12.75" customHeight="1">
      <c r="C768" s="7"/>
      <c r="S768" s="6"/>
      <c r="T768" s="6"/>
    </row>
    <row r="769" ht="12.75" customHeight="1">
      <c r="C769" s="7"/>
      <c r="S769" s="6"/>
      <c r="T769" s="6"/>
    </row>
    <row r="770" ht="12.75" customHeight="1">
      <c r="C770" s="7"/>
      <c r="S770" s="6"/>
      <c r="T770" s="6"/>
    </row>
    <row r="771" ht="12.75" customHeight="1">
      <c r="C771" s="7"/>
      <c r="S771" s="6"/>
      <c r="T771" s="6"/>
    </row>
    <row r="772" ht="12.75" customHeight="1">
      <c r="C772" s="7"/>
      <c r="S772" s="6"/>
      <c r="T772" s="6"/>
    </row>
    <row r="773" ht="12.75" customHeight="1">
      <c r="C773" s="7"/>
      <c r="S773" s="6"/>
      <c r="T773" s="6"/>
    </row>
    <row r="774" ht="12.75" customHeight="1">
      <c r="C774" s="7"/>
      <c r="S774" s="6"/>
      <c r="T774" s="6"/>
    </row>
    <row r="775" ht="12.75" customHeight="1">
      <c r="C775" s="7"/>
      <c r="S775" s="6"/>
      <c r="T775" s="6"/>
    </row>
    <row r="776" ht="12.75" customHeight="1">
      <c r="C776" s="7"/>
      <c r="S776" s="6"/>
      <c r="T776" s="6"/>
    </row>
    <row r="777" ht="12.75" customHeight="1">
      <c r="C777" s="7"/>
      <c r="S777" s="6"/>
      <c r="T777" s="6"/>
    </row>
    <row r="778" ht="12.75" customHeight="1">
      <c r="C778" s="7"/>
      <c r="S778" s="6"/>
      <c r="T778" s="6"/>
    </row>
    <row r="779" ht="12.75" customHeight="1">
      <c r="C779" s="7"/>
      <c r="S779" s="6"/>
      <c r="T779" s="6"/>
    </row>
    <row r="780" ht="12.75" customHeight="1">
      <c r="C780" s="7"/>
      <c r="S780" s="6"/>
      <c r="T780" s="6"/>
    </row>
    <row r="781" ht="12.75" customHeight="1">
      <c r="C781" s="7"/>
      <c r="S781" s="6"/>
      <c r="T781" s="6"/>
    </row>
    <row r="782" ht="12.75" customHeight="1">
      <c r="C782" s="7"/>
      <c r="S782" s="6"/>
      <c r="T782" s="6"/>
    </row>
    <row r="783" ht="12.75" customHeight="1">
      <c r="C783" s="7"/>
      <c r="S783" s="6"/>
      <c r="T783" s="6"/>
    </row>
    <row r="784" ht="12.75" customHeight="1">
      <c r="C784" s="7"/>
      <c r="S784" s="6"/>
      <c r="T784" s="6"/>
    </row>
    <row r="785" ht="12.75" customHeight="1">
      <c r="C785" s="7"/>
      <c r="S785" s="6"/>
      <c r="T785" s="6"/>
    </row>
    <row r="786" ht="12.75" customHeight="1">
      <c r="C786" s="7"/>
      <c r="S786" s="6"/>
      <c r="T786" s="6"/>
    </row>
    <row r="787" ht="12.75" customHeight="1">
      <c r="C787" s="7"/>
      <c r="S787" s="6"/>
      <c r="T787" s="6"/>
    </row>
    <row r="788" ht="12.75" customHeight="1">
      <c r="C788" s="7"/>
      <c r="S788" s="6"/>
      <c r="T788" s="6"/>
    </row>
    <row r="789" ht="12.75" customHeight="1">
      <c r="C789" s="7"/>
      <c r="S789" s="6"/>
      <c r="T789" s="6"/>
    </row>
    <row r="790" ht="12.75" customHeight="1">
      <c r="C790" s="7"/>
      <c r="S790" s="6"/>
      <c r="T790" s="6"/>
    </row>
    <row r="791" ht="12.75" customHeight="1">
      <c r="C791" s="7"/>
      <c r="S791" s="6"/>
      <c r="T791" s="6"/>
    </row>
    <row r="792" ht="12.75" customHeight="1">
      <c r="C792" s="7"/>
      <c r="S792" s="6"/>
      <c r="T792" s="6"/>
    </row>
    <row r="793" ht="12.75" customHeight="1">
      <c r="C793" s="7"/>
      <c r="S793" s="6"/>
      <c r="T793" s="6"/>
    </row>
    <row r="794" ht="12.75" customHeight="1">
      <c r="C794" s="7"/>
      <c r="S794" s="6"/>
      <c r="T794" s="6"/>
    </row>
    <row r="795" ht="12.75" customHeight="1">
      <c r="C795" s="7"/>
      <c r="S795" s="6"/>
      <c r="T795" s="6"/>
    </row>
    <row r="796" ht="12.75" customHeight="1">
      <c r="C796" s="7"/>
      <c r="S796" s="6"/>
      <c r="T796" s="6"/>
    </row>
    <row r="797" ht="12.75" customHeight="1">
      <c r="C797" s="7"/>
      <c r="S797" s="6"/>
      <c r="T797" s="6"/>
    </row>
    <row r="798" ht="12.75" customHeight="1">
      <c r="C798" s="7"/>
      <c r="S798" s="6"/>
      <c r="T798" s="6"/>
    </row>
    <row r="799" ht="12.75" customHeight="1">
      <c r="C799" s="7"/>
      <c r="S799" s="6"/>
      <c r="T799" s="6"/>
    </row>
    <row r="800" ht="12.75" customHeight="1">
      <c r="C800" s="7"/>
      <c r="S800" s="6"/>
      <c r="T800" s="6"/>
    </row>
    <row r="801" ht="12.75" customHeight="1">
      <c r="C801" s="7"/>
      <c r="S801" s="6"/>
      <c r="T801" s="6"/>
    </row>
    <row r="802" ht="12.75" customHeight="1">
      <c r="C802" s="7"/>
      <c r="S802" s="6"/>
      <c r="T802" s="6"/>
    </row>
    <row r="803" ht="12.75" customHeight="1">
      <c r="C803" s="7"/>
      <c r="S803" s="6"/>
      <c r="T803" s="6"/>
    </row>
    <row r="804" ht="12.75" customHeight="1">
      <c r="C804" s="7"/>
      <c r="S804" s="6"/>
      <c r="T804" s="6"/>
    </row>
    <row r="805" ht="12.75" customHeight="1">
      <c r="C805" s="7"/>
      <c r="S805" s="6"/>
      <c r="T805" s="6"/>
    </row>
    <row r="806" ht="12.75" customHeight="1">
      <c r="C806" s="7"/>
      <c r="S806" s="6"/>
      <c r="T806" s="6"/>
    </row>
    <row r="807" ht="12.75" customHeight="1">
      <c r="C807" s="7"/>
      <c r="S807" s="6"/>
      <c r="T807" s="6"/>
    </row>
    <row r="808" ht="12.75" customHeight="1">
      <c r="C808" s="7"/>
      <c r="S808" s="6"/>
      <c r="T808" s="6"/>
    </row>
    <row r="809" ht="12.75" customHeight="1">
      <c r="C809" s="7"/>
      <c r="S809" s="6"/>
      <c r="T809" s="6"/>
    </row>
    <row r="810" ht="12.75" customHeight="1">
      <c r="C810" s="7"/>
      <c r="S810" s="6"/>
      <c r="T810" s="6"/>
    </row>
    <row r="811" ht="12.75" customHeight="1">
      <c r="C811" s="7"/>
      <c r="S811" s="6"/>
      <c r="T811" s="6"/>
    </row>
    <row r="812" ht="12.75" customHeight="1">
      <c r="C812" s="7"/>
      <c r="S812" s="6"/>
      <c r="T812" s="6"/>
    </row>
    <row r="813" ht="12.75" customHeight="1">
      <c r="C813" s="7"/>
      <c r="S813" s="6"/>
      <c r="T813" s="6"/>
    </row>
    <row r="814" ht="12.75" customHeight="1">
      <c r="C814" s="7"/>
      <c r="S814" s="6"/>
      <c r="T814" s="6"/>
    </row>
    <row r="815" ht="12.75" customHeight="1">
      <c r="C815" s="7"/>
      <c r="S815" s="6"/>
      <c r="T815" s="6"/>
    </row>
    <row r="816" ht="12.75" customHeight="1">
      <c r="C816" s="7"/>
      <c r="S816" s="6"/>
      <c r="T816" s="6"/>
    </row>
    <row r="817" ht="12.75" customHeight="1">
      <c r="C817" s="7"/>
      <c r="S817" s="6"/>
      <c r="T817" s="6"/>
    </row>
    <row r="818" ht="12.75" customHeight="1">
      <c r="C818" s="7"/>
      <c r="S818" s="6"/>
      <c r="T818" s="6"/>
    </row>
    <row r="819" ht="12.75" customHeight="1">
      <c r="C819" s="7"/>
      <c r="S819" s="6"/>
      <c r="T819" s="6"/>
    </row>
    <row r="820" ht="12.75" customHeight="1">
      <c r="C820" s="7"/>
      <c r="S820" s="6"/>
      <c r="T820" s="6"/>
    </row>
    <row r="821" ht="12.75" customHeight="1">
      <c r="C821" s="7"/>
      <c r="S821" s="6"/>
      <c r="T821" s="6"/>
    </row>
    <row r="822" ht="12.75" customHeight="1">
      <c r="C822" s="7"/>
      <c r="S822" s="6"/>
      <c r="T822" s="6"/>
    </row>
    <row r="823" ht="12.75" customHeight="1">
      <c r="C823" s="7"/>
      <c r="S823" s="6"/>
      <c r="T823" s="6"/>
    </row>
    <row r="824" ht="12.75" customHeight="1">
      <c r="C824" s="7"/>
      <c r="S824" s="6"/>
      <c r="T824" s="6"/>
    </row>
    <row r="825" ht="12.75" customHeight="1">
      <c r="C825" s="7"/>
      <c r="S825" s="6"/>
      <c r="T825" s="6"/>
    </row>
    <row r="826" ht="12.75" customHeight="1">
      <c r="C826" s="7"/>
      <c r="S826" s="6"/>
      <c r="T826" s="6"/>
    </row>
    <row r="827" ht="12.75" customHeight="1">
      <c r="C827" s="7"/>
      <c r="S827" s="6"/>
      <c r="T827" s="6"/>
    </row>
    <row r="828" ht="12.75" customHeight="1">
      <c r="C828" s="7"/>
      <c r="S828" s="6"/>
      <c r="T828" s="6"/>
    </row>
    <row r="829" ht="12.75" customHeight="1">
      <c r="C829" s="7"/>
      <c r="S829" s="6"/>
      <c r="T829" s="6"/>
    </row>
    <row r="830" ht="12.75" customHeight="1">
      <c r="C830" s="7"/>
      <c r="S830" s="6"/>
      <c r="T830" s="6"/>
    </row>
    <row r="831" ht="12.75" customHeight="1">
      <c r="C831" s="7"/>
      <c r="S831" s="6"/>
      <c r="T831" s="6"/>
    </row>
    <row r="832" ht="12.75" customHeight="1">
      <c r="C832" s="7"/>
      <c r="S832" s="6"/>
      <c r="T832" s="6"/>
    </row>
    <row r="833" ht="12.75" customHeight="1">
      <c r="C833" s="7"/>
      <c r="S833" s="6"/>
      <c r="T833" s="6"/>
    </row>
    <row r="834" ht="12.75" customHeight="1">
      <c r="C834" s="7"/>
      <c r="S834" s="6"/>
      <c r="T834" s="6"/>
    </row>
    <row r="835" ht="12.75" customHeight="1">
      <c r="C835" s="7"/>
      <c r="S835" s="6"/>
      <c r="T835" s="6"/>
    </row>
    <row r="836" ht="12.75" customHeight="1">
      <c r="C836" s="7"/>
      <c r="S836" s="6"/>
      <c r="T836" s="6"/>
    </row>
    <row r="837" ht="12.75" customHeight="1">
      <c r="C837" s="7"/>
      <c r="S837" s="6"/>
      <c r="T837" s="6"/>
    </row>
    <row r="838" ht="12.75" customHeight="1">
      <c r="C838" s="7"/>
      <c r="S838" s="6"/>
      <c r="T838" s="6"/>
    </row>
    <row r="839" ht="12.75" customHeight="1">
      <c r="C839" s="7"/>
      <c r="S839" s="6"/>
      <c r="T839" s="6"/>
    </row>
    <row r="840" ht="12.75" customHeight="1">
      <c r="C840" s="7"/>
      <c r="S840" s="6"/>
      <c r="T840" s="6"/>
    </row>
    <row r="841" ht="12.75" customHeight="1">
      <c r="C841" s="7"/>
      <c r="S841" s="6"/>
      <c r="T841" s="6"/>
    </row>
    <row r="842" ht="12.75" customHeight="1">
      <c r="C842" s="7"/>
      <c r="S842" s="6"/>
      <c r="T842" s="6"/>
    </row>
    <row r="843" ht="12.75" customHeight="1">
      <c r="C843" s="7"/>
      <c r="S843" s="6"/>
      <c r="T843" s="6"/>
    </row>
    <row r="844" ht="12.75" customHeight="1">
      <c r="C844" s="7"/>
      <c r="S844" s="6"/>
      <c r="T844" s="6"/>
    </row>
    <row r="845" ht="12.75" customHeight="1">
      <c r="C845" s="7"/>
      <c r="S845" s="6"/>
      <c r="T845" s="6"/>
    </row>
    <row r="846" ht="12.75" customHeight="1">
      <c r="C846" s="7"/>
      <c r="S846" s="6"/>
      <c r="T846" s="6"/>
    </row>
    <row r="847" ht="12.75" customHeight="1">
      <c r="C847" s="7"/>
      <c r="S847" s="6"/>
      <c r="T847" s="6"/>
    </row>
    <row r="848" ht="12.75" customHeight="1">
      <c r="C848" s="7"/>
      <c r="S848" s="6"/>
      <c r="T848" s="6"/>
    </row>
    <row r="849" ht="12.75" customHeight="1">
      <c r="C849" s="7"/>
      <c r="S849" s="6"/>
      <c r="T849" s="6"/>
    </row>
    <row r="850" ht="12.75" customHeight="1">
      <c r="C850" s="7"/>
      <c r="S850" s="6"/>
      <c r="T850" s="6"/>
    </row>
    <row r="851" ht="12.75" customHeight="1">
      <c r="C851" s="7"/>
      <c r="S851" s="6"/>
      <c r="T851" s="6"/>
    </row>
    <row r="852" ht="12.75" customHeight="1">
      <c r="C852" s="7"/>
      <c r="S852" s="6"/>
      <c r="T852" s="6"/>
    </row>
    <row r="853" ht="12.75" customHeight="1">
      <c r="C853" s="7"/>
      <c r="S853" s="6"/>
      <c r="T853" s="6"/>
    </row>
    <row r="854" ht="12.75" customHeight="1">
      <c r="C854" s="7"/>
      <c r="S854" s="6"/>
      <c r="T854" s="6"/>
    </row>
    <row r="855" ht="12.75" customHeight="1">
      <c r="C855" s="7"/>
      <c r="S855" s="6"/>
      <c r="T855" s="6"/>
    </row>
    <row r="856" ht="12.75" customHeight="1">
      <c r="C856" s="7"/>
      <c r="S856" s="6"/>
      <c r="T856" s="6"/>
    </row>
    <row r="857" ht="12.75" customHeight="1">
      <c r="C857" s="7"/>
      <c r="S857" s="6"/>
      <c r="T857" s="6"/>
    </row>
    <row r="858" ht="12.75" customHeight="1">
      <c r="C858" s="7"/>
      <c r="S858" s="6"/>
      <c r="T858" s="6"/>
    </row>
    <row r="859" ht="12.75" customHeight="1">
      <c r="C859" s="7"/>
      <c r="S859" s="6"/>
      <c r="T859" s="6"/>
    </row>
    <row r="860" ht="12.75" customHeight="1">
      <c r="C860" s="7"/>
      <c r="S860" s="6"/>
      <c r="T860" s="6"/>
    </row>
    <row r="861" ht="12.75" customHeight="1">
      <c r="C861" s="7"/>
      <c r="S861" s="6"/>
      <c r="T861" s="6"/>
    </row>
    <row r="862" ht="12.75" customHeight="1">
      <c r="C862" s="7"/>
      <c r="S862" s="6"/>
      <c r="T862" s="6"/>
    </row>
    <row r="863" ht="12.75" customHeight="1">
      <c r="C863" s="7"/>
      <c r="S863" s="6"/>
      <c r="T863" s="6"/>
    </row>
    <row r="864" ht="12.75" customHeight="1">
      <c r="C864" s="7"/>
      <c r="S864" s="6"/>
      <c r="T864" s="6"/>
    </row>
    <row r="865" ht="12.75" customHeight="1">
      <c r="C865" s="7"/>
      <c r="S865" s="6"/>
      <c r="T865" s="6"/>
    </row>
    <row r="866" ht="12.75" customHeight="1">
      <c r="C866" s="7"/>
      <c r="S866" s="6"/>
      <c r="T866" s="6"/>
    </row>
    <row r="867" ht="12.75" customHeight="1">
      <c r="C867" s="7"/>
      <c r="S867" s="6"/>
      <c r="T867" s="6"/>
    </row>
    <row r="868" ht="12.75" customHeight="1">
      <c r="C868" s="7"/>
      <c r="S868" s="6"/>
      <c r="T868" s="6"/>
    </row>
    <row r="869" ht="12.75" customHeight="1">
      <c r="C869" s="7"/>
      <c r="S869" s="6"/>
      <c r="T869" s="6"/>
    </row>
    <row r="870" ht="12.75" customHeight="1">
      <c r="C870" s="7"/>
      <c r="S870" s="6"/>
      <c r="T870" s="6"/>
    </row>
    <row r="871" ht="12.75" customHeight="1">
      <c r="C871" s="7"/>
      <c r="S871" s="6"/>
      <c r="T871" s="6"/>
    </row>
    <row r="872" ht="12.75" customHeight="1">
      <c r="C872" s="7"/>
      <c r="S872" s="6"/>
      <c r="T872" s="6"/>
    </row>
    <row r="873" ht="12.75" customHeight="1">
      <c r="C873" s="7"/>
      <c r="S873" s="6"/>
      <c r="T873" s="6"/>
    </row>
    <row r="874" ht="12.75" customHeight="1">
      <c r="C874" s="7"/>
      <c r="S874" s="6"/>
      <c r="T874" s="6"/>
    </row>
    <row r="875" ht="12.75" customHeight="1">
      <c r="C875" s="7"/>
      <c r="S875" s="6"/>
      <c r="T875" s="6"/>
    </row>
    <row r="876" ht="12.75" customHeight="1">
      <c r="C876" s="7"/>
      <c r="S876" s="6"/>
      <c r="T876" s="6"/>
    </row>
    <row r="877" ht="12.75" customHeight="1">
      <c r="C877" s="7"/>
      <c r="S877" s="6"/>
      <c r="T877" s="6"/>
    </row>
    <row r="878" ht="12.75" customHeight="1">
      <c r="C878" s="7"/>
      <c r="S878" s="6"/>
      <c r="T878" s="6"/>
    </row>
    <row r="879" ht="12.75" customHeight="1">
      <c r="C879" s="7"/>
      <c r="S879" s="6"/>
      <c r="T879" s="6"/>
    </row>
    <row r="880" ht="12.75" customHeight="1">
      <c r="C880" s="7"/>
      <c r="S880" s="6"/>
      <c r="T880" s="6"/>
    </row>
    <row r="881" ht="12.75" customHeight="1">
      <c r="C881" s="7"/>
      <c r="S881" s="6"/>
      <c r="T881" s="6"/>
    </row>
    <row r="882" ht="12.75" customHeight="1">
      <c r="C882" s="7"/>
      <c r="S882" s="6"/>
      <c r="T882" s="6"/>
    </row>
    <row r="883" ht="12.75" customHeight="1">
      <c r="C883" s="7"/>
      <c r="S883" s="6"/>
      <c r="T883" s="6"/>
    </row>
    <row r="884" ht="12.75" customHeight="1">
      <c r="C884" s="7"/>
      <c r="S884" s="6"/>
      <c r="T884" s="6"/>
    </row>
    <row r="885" ht="12.75" customHeight="1">
      <c r="C885" s="7"/>
      <c r="S885" s="6"/>
      <c r="T885" s="6"/>
    </row>
    <row r="886" ht="12.75" customHeight="1">
      <c r="C886" s="7"/>
      <c r="S886" s="6"/>
      <c r="T886" s="6"/>
    </row>
    <row r="887" ht="12.75" customHeight="1">
      <c r="C887" s="7"/>
      <c r="S887" s="6"/>
      <c r="T887" s="6"/>
    </row>
    <row r="888" ht="12.75" customHeight="1">
      <c r="C888" s="7"/>
      <c r="S888" s="6"/>
      <c r="T888" s="6"/>
    </row>
    <row r="889" ht="12.75" customHeight="1">
      <c r="C889" s="7"/>
      <c r="S889" s="6"/>
      <c r="T889" s="6"/>
    </row>
    <row r="890" ht="12.75" customHeight="1">
      <c r="C890" s="7"/>
      <c r="S890" s="6"/>
      <c r="T890" s="6"/>
    </row>
    <row r="891" ht="12.75" customHeight="1">
      <c r="C891" s="7"/>
      <c r="S891" s="6"/>
      <c r="T891" s="6"/>
    </row>
    <row r="892" ht="12.75" customHeight="1">
      <c r="C892" s="7"/>
      <c r="S892" s="6"/>
      <c r="T892" s="6"/>
    </row>
    <row r="893" ht="12.75" customHeight="1">
      <c r="C893" s="7"/>
      <c r="S893" s="6"/>
      <c r="T893" s="6"/>
    </row>
    <row r="894" ht="12.75" customHeight="1">
      <c r="C894" s="7"/>
      <c r="S894" s="6"/>
      <c r="T894" s="6"/>
    </row>
    <row r="895" ht="12.75" customHeight="1">
      <c r="C895" s="7"/>
      <c r="S895" s="6"/>
      <c r="T895" s="6"/>
    </row>
    <row r="896" ht="12.75" customHeight="1">
      <c r="C896" s="7"/>
      <c r="S896" s="6"/>
      <c r="T896" s="6"/>
    </row>
    <row r="897" ht="12.75" customHeight="1">
      <c r="C897" s="7"/>
      <c r="S897" s="6"/>
      <c r="T897" s="6"/>
    </row>
    <row r="898" ht="12.75" customHeight="1">
      <c r="C898" s="7"/>
      <c r="S898" s="6"/>
      <c r="T898" s="6"/>
    </row>
    <row r="899" ht="12.75" customHeight="1">
      <c r="C899" s="7"/>
      <c r="S899" s="6"/>
      <c r="T899" s="6"/>
    </row>
    <row r="900" ht="12.75" customHeight="1">
      <c r="C900" s="7"/>
      <c r="S900" s="6"/>
      <c r="T900" s="6"/>
    </row>
    <row r="901" ht="12.75" customHeight="1">
      <c r="C901" s="7"/>
      <c r="S901" s="6"/>
      <c r="T901" s="6"/>
    </row>
    <row r="902" ht="12.75" customHeight="1">
      <c r="C902" s="7"/>
      <c r="S902" s="6"/>
      <c r="T902" s="6"/>
    </row>
    <row r="903" ht="12.75" customHeight="1">
      <c r="C903" s="7"/>
      <c r="S903" s="6"/>
      <c r="T903" s="6"/>
    </row>
    <row r="904" ht="12.75" customHeight="1">
      <c r="C904" s="7"/>
      <c r="S904" s="6"/>
      <c r="T904" s="6"/>
    </row>
    <row r="905" ht="12.75" customHeight="1">
      <c r="C905" s="7"/>
      <c r="S905" s="6"/>
      <c r="T905" s="6"/>
    </row>
    <row r="906" ht="12.75" customHeight="1">
      <c r="C906" s="7"/>
      <c r="S906" s="6"/>
      <c r="T906" s="6"/>
    </row>
    <row r="907" ht="12.75" customHeight="1">
      <c r="C907" s="7"/>
      <c r="S907" s="6"/>
      <c r="T907" s="6"/>
    </row>
    <row r="908" ht="12.75" customHeight="1">
      <c r="C908" s="7"/>
      <c r="S908" s="6"/>
      <c r="T908" s="6"/>
    </row>
    <row r="909" ht="12.75" customHeight="1">
      <c r="C909" s="7"/>
      <c r="S909" s="6"/>
      <c r="T909" s="6"/>
    </row>
    <row r="910" ht="12.75" customHeight="1">
      <c r="C910" s="7"/>
      <c r="S910" s="6"/>
      <c r="T910" s="6"/>
    </row>
    <row r="911" ht="12.75" customHeight="1">
      <c r="C911" s="7"/>
      <c r="S911" s="6"/>
      <c r="T911" s="6"/>
    </row>
    <row r="912" ht="12.75" customHeight="1">
      <c r="C912" s="7"/>
      <c r="S912" s="6"/>
      <c r="T912" s="6"/>
    </row>
    <row r="913" ht="12.75" customHeight="1">
      <c r="C913" s="7"/>
      <c r="S913" s="6"/>
      <c r="T913" s="6"/>
    </row>
    <row r="914" ht="12.75" customHeight="1">
      <c r="C914" s="7"/>
      <c r="S914" s="6"/>
      <c r="T914" s="6"/>
    </row>
    <row r="915" ht="12.75" customHeight="1">
      <c r="C915" s="7"/>
      <c r="S915" s="6"/>
      <c r="T915" s="6"/>
    </row>
    <row r="916" ht="12.75" customHeight="1">
      <c r="C916" s="7"/>
      <c r="S916" s="6"/>
      <c r="T916" s="6"/>
    </row>
    <row r="917" ht="12.75" customHeight="1">
      <c r="C917" s="7"/>
      <c r="S917" s="6"/>
      <c r="T917" s="6"/>
    </row>
    <row r="918" ht="12.75" customHeight="1">
      <c r="C918" s="7"/>
      <c r="S918" s="6"/>
      <c r="T918" s="6"/>
    </row>
    <row r="919" ht="12.75" customHeight="1">
      <c r="C919" s="7"/>
      <c r="S919" s="6"/>
      <c r="T919" s="6"/>
    </row>
    <row r="920" ht="12.75" customHeight="1">
      <c r="C920" s="7"/>
      <c r="S920" s="6"/>
      <c r="T920" s="6"/>
    </row>
    <row r="921" ht="12.75" customHeight="1">
      <c r="C921" s="7"/>
      <c r="S921" s="6"/>
      <c r="T921" s="6"/>
    </row>
    <row r="922" ht="12.75" customHeight="1">
      <c r="C922" s="7"/>
      <c r="S922" s="6"/>
      <c r="T922" s="6"/>
    </row>
    <row r="923" ht="12.75" customHeight="1">
      <c r="C923" s="7"/>
      <c r="S923" s="6"/>
      <c r="T923" s="6"/>
    </row>
    <row r="924" ht="12.75" customHeight="1">
      <c r="C924" s="7"/>
      <c r="S924" s="6"/>
      <c r="T924" s="6"/>
    </row>
    <row r="925" ht="12.75" customHeight="1">
      <c r="C925" s="7"/>
      <c r="S925" s="6"/>
      <c r="T925" s="6"/>
    </row>
    <row r="926" ht="12.75" customHeight="1">
      <c r="C926" s="7"/>
      <c r="S926" s="6"/>
      <c r="T926" s="6"/>
    </row>
    <row r="927" ht="12.75" customHeight="1">
      <c r="C927" s="7"/>
      <c r="S927" s="6"/>
      <c r="T927" s="6"/>
    </row>
    <row r="928" ht="12.75" customHeight="1">
      <c r="C928" s="7"/>
      <c r="S928" s="6"/>
      <c r="T928" s="6"/>
    </row>
    <row r="929" ht="12.75" customHeight="1">
      <c r="C929" s="7"/>
      <c r="S929" s="6"/>
      <c r="T929" s="6"/>
    </row>
    <row r="930" ht="12.75" customHeight="1">
      <c r="C930" s="7"/>
      <c r="S930" s="6"/>
      <c r="T930" s="6"/>
    </row>
    <row r="931" ht="12.75" customHeight="1">
      <c r="C931" s="7"/>
      <c r="S931" s="6"/>
      <c r="T931" s="6"/>
    </row>
    <row r="932" ht="12.75" customHeight="1">
      <c r="C932" s="7"/>
      <c r="S932" s="6"/>
      <c r="T932" s="6"/>
    </row>
    <row r="933" ht="12.75" customHeight="1">
      <c r="C933" s="7"/>
      <c r="S933" s="6"/>
      <c r="T933" s="6"/>
    </row>
    <row r="934" ht="12.75" customHeight="1">
      <c r="C934" s="7"/>
      <c r="S934" s="6"/>
      <c r="T934" s="6"/>
    </row>
    <row r="935" ht="12.75" customHeight="1">
      <c r="C935" s="7"/>
      <c r="S935" s="6"/>
      <c r="T935" s="6"/>
    </row>
    <row r="936" ht="12.75" customHeight="1">
      <c r="C936" s="7"/>
      <c r="S936" s="6"/>
      <c r="T936" s="6"/>
    </row>
    <row r="937" ht="12.75" customHeight="1">
      <c r="C937" s="7"/>
      <c r="S937" s="6"/>
      <c r="T937" s="6"/>
    </row>
    <row r="938" ht="12.75" customHeight="1">
      <c r="C938" s="7"/>
      <c r="S938" s="6"/>
      <c r="T938" s="6"/>
    </row>
    <row r="939" ht="12.75" customHeight="1">
      <c r="C939" s="7"/>
      <c r="S939" s="6"/>
      <c r="T939" s="6"/>
    </row>
    <row r="940" ht="12.75" customHeight="1">
      <c r="C940" s="7"/>
      <c r="S940" s="6"/>
      <c r="T940" s="6"/>
    </row>
    <row r="941" ht="12.75" customHeight="1">
      <c r="C941" s="7"/>
      <c r="S941" s="6"/>
      <c r="T941" s="6"/>
    </row>
    <row r="942" ht="12.75" customHeight="1">
      <c r="C942" s="7"/>
      <c r="S942" s="6"/>
      <c r="T942" s="6"/>
    </row>
    <row r="943" ht="12.75" customHeight="1">
      <c r="C943" s="7"/>
      <c r="S943" s="6"/>
      <c r="T943" s="6"/>
    </row>
    <row r="944" ht="12.75" customHeight="1">
      <c r="C944" s="7"/>
      <c r="S944" s="6"/>
      <c r="T944" s="6"/>
    </row>
    <row r="945" ht="12.75" customHeight="1">
      <c r="C945" s="7"/>
      <c r="S945" s="6"/>
      <c r="T945" s="6"/>
    </row>
    <row r="946" ht="12.75" customHeight="1">
      <c r="C946" s="7"/>
      <c r="S946" s="6"/>
      <c r="T946" s="6"/>
    </row>
    <row r="947" ht="12.75" customHeight="1">
      <c r="C947" s="7"/>
      <c r="S947" s="6"/>
      <c r="T947" s="6"/>
    </row>
    <row r="948" ht="12.75" customHeight="1">
      <c r="C948" s="7"/>
      <c r="S948" s="6"/>
      <c r="T948" s="6"/>
    </row>
    <row r="949" ht="12.75" customHeight="1">
      <c r="C949" s="7"/>
      <c r="S949" s="6"/>
      <c r="T949" s="6"/>
    </row>
    <row r="950" ht="12.75" customHeight="1">
      <c r="C950" s="7"/>
      <c r="S950" s="6"/>
      <c r="T950" s="6"/>
    </row>
    <row r="951" ht="12.75" customHeight="1">
      <c r="C951" s="7"/>
      <c r="S951" s="6"/>
      <c r="T951" s="6"/>
    </row>
    <row r="952" ht="12.75" customHeight="1">
      <c r="C952" s="7"/>
      <c r="S952" s="6"/>
      <c r="T952" s="6"/>
    </row>
    <row r="953" ht="12.75" customHeight="1">
      <c r="C953" s="7"/>
      <c r="S953" s="6"/>
      <c r="T953" s="6"/>
    </row>
    <row r="954" ht="12.75" customHeight="1">
      <c r="C954" s="7"/>
      <c r="S954" s="6"/>
      <c r="T954" s="6"/>
    </row>
    <row r="955" ht="12.75" customHeight="1">
      <c r="C955" s="7"/>
      <c r="S955" s="6"/>
      <c r="T955" s="6"/>
    </row>
    <row r="956" ht="12.75" customHeight="1">
      <c r="C956" s="7"/>
      <c r="S956" s="6"/>
      <c r="T956" s="6"/>
    </row>
    <row r="957" ht="12.75" customHeight="1">
      <c r="C957" s="7"/>
      <c r="S957" s="6"/>
      <c r="T957" s="6"/>
    </row>
    <row r="958" ht="12.75" customHeight="1">
      <c r="C958" s="7"/>
      <c r="S958" s="6"/>
      <c r="T958" s="6"/>
    </row>
    <row r="959" ht="12.75" customHeight="1">
      <c r="C959" s="7"/>
      <c r="S959" s="6"/>
      <c r="T959" s="6"/>
    </row>
    <row r="960" ht="12.75" customHeight="1">
      <c r="C960" s="7"/>
      <c r="S960" s="6"/>
      <c r="T960" s="6"/>
    </row>
    <row r="961" ht="12.75" customHeight="1">
      <c r="C961" s="7"/>
      <c r="S961" s="6"/>
      <c r="T961" s="6"/>
    </row>
    <row r="962" ht="12.75" customHeight="1">
      <c r="C962" s="7"/>
      <c r="S962" s="6"/>
      <c r="T962" s="6"/>
    </row>
    <row r="963" ht="12.75" customHeight="1">
      <c r="C963" s="7"/>
      <c r="S963" s="6"/>
      <c r="T963" s="6"/>
    </row>
    <row r="964" ht="12.75" customHeight="1">
      <c r="C964" s="7"/>
      <c r="S964" s="6"/>
      <c r="T964" s="6"/>
    </row>
    <row r="965" ht="12.75" customHeight="1">
      <c r="C965" s="7"/>
      <c r="S965" s="6"/>
      <c r="T965" s="6"/>
    </row>
    <row r="966" ht="12.75" customHeight="1">
      <c r="C966" s="7"/>
      <c r="S966" s="6"/>
      <c r="T966" s="6"/>
    </row>
    <row r="967" ht="12.75" customHeight="1">
      <c r="C967" s="7"/>
      <c r="S967" s="6"/>
      <c r="T967" s="6"/>
    </row>
    <row r="968" ht="12.75" customHeight="1">
      <c r="C968" s="7"/>
      <c r="S968" s="6"/>
      <c r="T968" s="6"/>
    </row>
    <row r="969" ht="12.75" customHeight="1">
      <c r="C969" s="7"/>
      <c r="S969" s="6"/>
      <c r="T969" s="6"/>
    </row>
    <row r="970" ht="12.75" customHeight="1">
      <c r="C970" s="7"/>
      <c r="S970" s="6"/>
      <c r="T970" s="6"/>
    </row>
    <row r="971" ht="12.75" customHeight="1">
      <c r="C971" s="7"/>
      <c r="S971" s="6"/>
      <c r="T971" s="6"/>
    </row>
    <row r="972" ht="12.75" customHeight="1">
      <c r="C972" s="7"/>
      <c r="S972" s="6"/>
      <c r="T972" s="6"/>
    </row>
    <row r="973" ht="12.75" customHeight="1">
      <c r="C973" s="7"/>
      <c r="S973" s="6"/>
      <c r="T973" s="6"/>
    </row>
    <row r="974" ht="12.75" customHeight="1">
      <c r="C974" s="7"/>
      <c r="S974" s="6"/>
      <c r="T974" s="6"/>
    </row>
    <row r="975" ht="12.75" customHeight="1">
      <c r="C975" s="7"/>
      <c r="S975" s="6"/>
      <c r="T975" s="6"/>
    </row>
    <row r="976" ht="12.75" customHeight="1">
      <c r="C976" s="7"/>
      <c r="S976" s="6"/>
      <c r="T976" s="6"/>
    </row>
    <row r="977" ht="12.75" customHeight="1">
      <c r="C977" s="7"/>
      <c r="S977" s="6"/>
      <c r="T977" s="6"/>
    </row>
    <row r="978" ht="12.75" customHeight="1">
      <c r="C978" s="7"/>
      <c r="S978" s="6"/>
      <c r="T978" s="6"/>
    </row>
    <row r="979" ht="12.75" customHeight="1">
      <c r="C979" s="7"/>
      <c r="S979" s="6"/>
      <c r="T979" s="6"/>
    </row>
    <row r="980" ht="12.75" customHeight="1">
      <c r="C980" s="7"/>
      <c r="S980" s="6"/>
      <c r="T980" s="6"/>
    </row>
    <row r="981" ht="12.75" customHeight="1">
      <c r="C981" s="7"/>
      <c r="S981" s="6"/>
      <c r="T981" s="6"/>
    </row>
    <row r="982" ht="12.75" customHeight="1">
      <c r="C982" s="7"/>
      <c r="S982" s="6"/>
      <c r="T982" s="6"/>
    </row>
    <row r="983" ht="12.75" customHeight="1">
      <c r="C983" s="7"/>
      <c r="S983" s="6"/>
      <c r="T983" s="6"/>
    </row>
    <row r="984" ht="12.75" customHeight="1">
      <c r="C984" s="7"/>
      <c r="S984" s="6"/>
      <c r="T984" s="6"/>
    </row>
    <row r="985" ht="12.75" customHeight="1">
      <c r="C985" s="7"/>
      <c r="S985" s="6"/>
      <c r="T985" s="6"/>
    </row>
    <row r="986" ht="12.75" customHeight="1">
      <c r="C986" s="7"/>
      <c r="S986" s="6"/>
      <c r="T986" s="6"/>
    </row>
    <row r="987" ht="12.75" customHeight="1">
      <c r="C987" s="7"/>
      <c r="S987" s="6"/>
      <c r="T987" s="6"/>
    </row>
    <row r="988" ht="12.75" customHeight="1">
      <c r="C988" s="7"/>
      <c r="S988" s="6"/>
      <c r="T988" s="6"/>
    </row>
    <row r="989" ht="12.75" customHeight="1">
      <c r="C989" s="7"/>
      <c r="S989" s="6"/>
      <c r="T989" s="6"/>
    </row>
    <row r="990" ht="12.75" customHeight="1">
      <c r="C990" s="7"/>
      <c r="S990" s="6"/>
      <c r="T990" s="6"/>
    </row>
    <row r="991" ht="12.75" customHeight="1">
      <c r="C991" s="7"/>
      <c r="S991" s="6"/>
      <c r="T991" s="6"/>
    </row>
    <row r="992" ht="12.75" customHeight="1">
      <c r="C992" s="7"/>
      <c r="S992" s="6"/>
      <c r="T992" s="6"/>
    </row>
    <row r="993" ht="12.75" customHeight="1">
      <c r="C993" s="7"/>
      <c r="S993" s="6"/>
      <c r="T993" s="6"/>
    </row>
    <row r="994" ht="12.75" customHeight="1">
      <c r="C994" s="7"/>
      <c r="S994" s="6"/>
      <c r="T994" s="6"/>
    </row>
    <row r="995" ht="12.75" customHeight="1">
      <c r="C995" s="7"/>
      <c r="S995" s="6"/>
      <c r="T995" s="6"/>
    </row>
    <row r="996" ht="12.75" customHeight="1">
      <c r="C996" s="7"/>
      <c r="S996" s="6"/>
      <c r="T996" s="6"/>
    </row>
    <row r="997" ht="12.75" customHeight="1">
      <c r="C997" s="7"/>
      <c r="S997" s="6"/>
      <c r="T997" s="6"/>
    </row>
    <row r="998" ht="12.75" customHeight="1">
      <c r="C998" s="7"/>
      <c r="S998" s="6"/>
      <c r="T998" s="6"/>
    </row>
    <row r="999" ht="12.75" customHeight="1">
      <c r="C999" s="7"/>
      <c r="S999" s="6"/>
      <c r="T999" s="6"/>
    </row>
    <row r="1000" ht="12.75" customHeight="1">
      <c r="C1000" s="7"/>
      <c r="S1000" s="6"/>
      <c r="T1000" s="6"/>
    </row>
  </sheetData>
  <conditionalFormatting sqref="C58:C70 C72:S108 C144:E144 D25:D39 D57:D70 D110:E140 E25:F70 F110:S144 G58:L70 M58:M61 M63:M70 N58:P70 Q59:Q70 R58:R70 S25:S70 T58:T70 T72 T106:T108 T110 T144 U111 U124 V58">
    <cfRule type="cellIs" dxfId="0" priority="1" stopIfTrue="1" operator="equal">
      <formula>0</formula>
    </cfRule>
  </conditionalFormatting>
  <conditionalFormatting sqref="F111:S143">
    <cfRule type="cellIs" dxfId="1" priority="2" stopIfTrue="1" operator="lessThan">
      <formula>0</formula>
    </cfRule>
  </conditionalFormatting>
  <conditionalFormatting sqref="V73:V105">
    <cfRule type="colorScale" priority="3">
      <colorScale>
        <cfvo type="min"/>
        <cfvo type="max"/>
        <color rgb="FF63BE7B"/>
        <color rgb="FFFCFCFF"/>
      </colorScale>
    </cfRule>
  </conditionalFormatting>
  <conditionalFormatting sqref="Y73:Y106">
    <cfRule type="colorScale" priority="4">
      <colorScale>
        <cfvo type="min"/>
        <cfvo type="percentile" val="50"/>
        <cfvo type="max"/>
        <color rgb="FFF8696B"/>
        <color rgb="FFFFEB84"/>
        <color rgb="FF63BE7B"/>
      </colorScale>
    </cfRule>
  </conditionalFormatting>
  <conditionalFormatting sqref="AC129:AC143">
    <cfRule type="cellIs" dxfId="0" priority="5" stopIfTrue="1" operator="equal">
      <formula>0</formula>
    </cfRule>
  </conditionalFormatting>
  <conditionalFormatting sqref="Q58">
    <cfRule type="cellIs" dxfId="0" priority="6" stopIfTrue="1" operator="equal">
      <formula>0</formula>
    </cfRule>
  </conditionalFormatting>
  <conditionalFormatting sqref="C38">
    <cfRule type="cellIs" dxfId="0" priority="7" stopIfTrue="1" operator="equal">
      <formula>0</formula>
    </cfRule>
  </conditionalFormatting>
  <conditionalFormatting sqref="C37">
    <cfRule type="cellIs" dxfId="0" priority="8" stopIfTrue="1" operator="equal">
      <formula>0</formula>
    </cfRule>
  </conditionalFormatting>
  <conditionalFormatting sqref="C25:C35">
    <cfRule type="cellIs" dxfId="0" priority="9" stopIfTrue="1" operator="equal">
      <formula>0</formula>
    </cfRule>
  </conditionalFormatting>
  <conditionalFormatting sqref="C46">
    <cfRule type="cellIs" dxfId="0" priority="10" stopIfTrue="1" operator="equal">
      <formula>0</formula>
    </cfRule>
  </conditionalFormatting>
  <conditionalFormatting sqref="C49">
    <cfRule type="cellIs" dxfId="0" priority="11" stopIfTrue="1" operator="equal">
      <formula>0</formula>
    </cfRule>
  </conditionalFormatting>
  <conditionalFormatting sqref="C51">
    <cfRule type="cellIs" dxfId="0" priority="12" stopIfTrue="1" operator="equal">
      <formula>0</formula>
    </cfRule>
  </conditionalFormatting>
  <conditionalFormatting sqref="C53">
    <cfRule type="cellIs" dxfId="0" priority="13" stopIfTrue="1" operator="equal">
      <formula>0</formula>
    </cfRule>
  </conditionalFormatting>
  <conditionalFormatting sqref="C57">
    <cfRule type="cellIs" dxfId="0" priority="14" stopIfTrue="1" operator="equal">
      <formula>0</formula>
    </cfRule>
  </conditionalFormatting>
  <conditionalFormatting sqref="W144">
    <cfRule type="cellIs" dxfId="0" priority="15" stopIfTrue="1" operator="equal">
      <formula>0</formula>
    </cfRule>
  </conditionalFormatting>
  <conditionalFormatting sqref="D40">
    <cfRule type="cellIs" dxfId="0" priority="16" stopIfTrue="1" operator="equal">
      <formula>0</formula>
    </cfRule>
  </conditionalFormatting>
  <conditionalFormatting sqref="D50">
    <cfRule type="cellIs" dxfId="0" priority="17" stopIfTrue="1" operator="equal">
      <formula>0</formula>
    </cfRule>
  </conditionalFormatting>
  <conditionalFormatting sqref="D55:D56">
    <cfRule type="cellIs" dxfId="0" priority="18" stopIfTrue="1" operator="equal">
      <formula>0</formula>
    </cfRule>
  </conditionalFormatting>
  <conditionalFormatting sqref="N38">
    <cfRule type="cellIs" dxfId="0" priority="19" stopIfTrue="1" operator="equal">
      <formula>0</formula>
    </cfRule>
  </conditionalFormatting>
  <conditionalFormatting sqref="N37">
    <cfRule type="cellIs" dxfId="0" priority="20" stopIfTrue="1" operator="equal">
      <formula>0</formula>
    </cfRule>
  </conditionalFormatting>
  <conditionalFormatting sqref="N25:N35">
    <cfRule type="cellIs" dxfId="0" priority="21" stopIfTrue="1" operator="equal">
      <formula>0</formula>
    </cfRule>
  </conditionalFormatting>
  <conditionalFormatting sqref="N46">
    <cfRule type="cellIs" dxfId="0" priority="22" stopIfTrue="1" operator="equal">
      <formula>0</formula>
    </cfRule>
  </conditionalFormatting>
  <conditionalFormatting sqref="N49">
    <cfRule type="cellIs" dxfId="0" priority="23" stopIfTrue="1" operator="equal">
      <formula>0</formula>
    </cfRule>
  </conditionalFormatting>
  <conditionalFormatting sqref="N51">
    <cfRule type="cellIs" dxfId="0" priority="24" stopIfTrue="1" operator="equal">
      <formula>0</formula>
    </cfRule>
  </conditionalFormatting>
  <conditionalFormatting sqref="N53">
    <cfRule type="cellIs" dxfId="0" priority="25" stopIfTrue="1" operator="equal">
      <formula>0</formula>
    </cfRule>
  </conditionalFormatting>
  <conditionalFormatting sqref="N57">
    <cfRule type="cellIs" dxfId="0" priority="26" stopIfTrue="1" operator="equal">
      <formula>0</formula>
    </cfRule>
  </conditionalFormatting>
  <conditionalFormatting sqref="P38">
    <cfRule type="cellIs" dxfId="0" priority="27" stopIfTrue="1" operator="equal">
      <formula>0</formula>
    </cfRule>
  </conditionalFormatting>
  <conditionalFormatting sqref="P37">
    <cfRule type="cellIs" dxfId="0" priority="28" stopIfTrue="1" operator="equal">
      <formula>0</formula>
    </cfRule>
  </conditionalFormatting>
  <conditionalFormatting sqref="P25:P35">
    <cfRule type="cellIs" dxfId="0" priority="29" stopIfTrue="1" operator="equal">
      <formula>0</formula>
    </cfRule>
  </conditionalFormatting>
  <conditionalFormatting sqref="P46">
    <cfRule type="cellIs" dxfId="0" priority="30" stopIfTrue="1" operator="equal">
      <formula>0</formula>
    </cfRule>
  </conditionalFormatting>
  <conditionalFormatting sqref="P49">
    <cfRule type="cellIs" dxfId="0" priority="31" stopIfTrue="1" operator="equal">
      <formula>0</formula>
    </cfRule>
  </conditionalFormatting>
  <conditionalFormatting sqref="P51">
    <cfRule type="cellIs" dxfId="0" priority="32" stopIfTrue="1" operator="equal">
      <formula>0</formula>
    </cfRule>
  </conditionalFormatting>
  <conditionalFormatting sqref="P53">
    <cfRule type="cellIs" dxfId="0" priority="33" stopIfTrue="1" operator="equal">
      <formula>0</formula>
    </cfRule>
  </conditionalFormatting>
  <conditionalFormatting sqref="P57">
    <cfRule type="cellIs" dxfId="0" priority="34" stopIfTrue="1" operator="equal">
      <formula>0</formula>
    </cfRule>
  </conditionalFormatting>
  <conditionalFormatting sqref="R38">
    <cfRule type="cellIs" dxfId="0" priority="35" stopIfTrue="1" operator="equal">
      <formula>0</formula>
    </cfRule>
  </conditionalFormatting>
  <conditionalFormatting sqref="R37">
    <cfRule type="cellIs" dxfId="0" priority="36" stopIfTrue="1" operator="equal">
      <formula>0</formula>
    </cfRule>
  </conditionalFormatting>
  <conditionalFormatting sqref="R25:R35">
    <cfRule type="cellIs" dxfId="0" priority="37" stopIfTrue="1" operator="equal">
      <formula>0</formula>
    </cfRule>
  </conditionalFormatting>
  <conditionalFormatting sqref="R46">
    <cfRule type="cellIs" dxfId="0" priority="38" stopIfTrue="1" operator="equal">
      <formula>0</formula>
    </cfRule>
  </conditionalFormatting>
  <conditionalFormatting sqref="R49">
    <cfRule type="cellIs" dxfId="0" priority="39" stopIfTrue="1" operator="equal">
      <formula>0</formula>
    </cfRule>
  </conditionalFormatting>
  <conditionalFormatting sqref="R51">
    <cfRule type="cellIs" dxfId="0" priority="40" stopIfTrue="1" operator="equal">
      <formula>0</formula>
    </cfRule>
  </conditionalFormatting>
  <conditionalFormatting sqref="R53">
    <cfRule type="cellIs" dxfId="0" priority="41" stopIfTrue="1" operator="equal">
      <formula>0</formula>
    </cfRule>
  </conditionalFormatting>
  <conditionalFormatting sqref="R57">
    <cfRule type="cellIs" dxfId="0" priority="42" stopIfTrue="1" operator="equal">
      <formula>0</formula>
    </cfRule>
  </conditionalFormatting>
  <conditionalFormatting sqref="G38">
    <cfRule type="cellIs" dxfId="0" priority="43" stopIfTrue="1" operator="equal">
      <formula>0</formula>
    </cfRule>
  </conditionalFormatting>
  <conditionalFormatting sqref="G37">
    <cfRule type="cellIs" dxfId="0" priority="44" stopIfTrue="1" operator="equal">
      <formula>0</formula>
    </cfRule>
  </conditionalFormatting>
  <conditionalFormatting sqref="G25:G35">
    <cfRule type="cellIs" dxfId="0" priority="45" stopIfTrue="1" operator="equal">
      <formula>0</formula>
    </cfRule>
  </conditionalFormatting>
  <conditionalFormatting sqref="G46">
    <cfRule type="cellIs" dxfId="0" priority="46" stopIfTrue="1" operator="equal">
      <formula>0</formula>
    </cfRule>
  </conditionalFormatting>
  <conditionalFormatting sqref="G49">
    <cfRule type="cellIs" dxfId="0" priority="47" stopIfTrue="1" operator="equal">
      <formula>0</formula>
    </cfRule>
  </conditionalFormatting>
  <conditionalFormatting sqref="G51">
    <cfRule type="cellIs" dxfId="0" priority="48" stopIfTrue="1" operator="equal">
      <formula>0</formula>
    </cfRule>
  </conditionalFormatting>
  <conditionalFormatting sqref="G53">
    <cfRule type="cellIs" dxfId="0" priority="49" stopIfTrue="1" operator="equal">
      <formula>0</formula>
    </cfRule>
  </conditionalFormatting>
  <conditionalFormatting sqref="G57">
    <cfRule type="cellIs" dxfId="0" priority="50" stopIfTrue="1" operator="equal">
      <formula>0</formula>
    </cfRule>
  </conditionalFormatting>
  <conditionalFormatting sqref="H38">
    <cfRule type="cellIs" dxfId="0" priority="51" stopIfTrue="1" operator="equal">
      <formula>0</formula>
    </cfRule>
  </conditionalFormatting>
  <conditionalFormatting sqref="H37">
    <cfRule type="cellIs" dxfId="0" priority="52" stopIfTrue="1" operator="equal">
      <formula>0</formula>
    </cfRule>
  </conditionalFormatting>
  <conditionalFormatting sqref="H25:H35">
    <cfRule type="cellIs" dxfId="0" priority="53" stopIfTrue="1" operator="equal">
      <formula>0</formula>
    </cfRule>
  </conditionalFormatting>
  <conditionalFormatting sqref="H46">
    <cfRule type="cellIs" dxfId="0" priority="54" stopIfTrue="1" operator="equal">
      <formula>0</formula>
    </cfRule>
  </conditionalFormatting>
  <conditionalFormatting sqref="H49">
    <cfRule type="cellIs" dxfId="0" priority="55" stopIfTrue="1" operator="equal">
      <formula>0</formula>
    </cfRule>
  </conditionalFormatting>
  <conditionalFormatting sqref="H51">
    <cfRule type="cellIs" dxfId="0" priority="56" stopIfTrue="1" operator="equal">
      <formula>0</formula>
    </cfRule>
  </conditionalFormatting>
  <conditionalFormatting sqref="H53">
    <cfRule type="cellIs" dxfId="0" priority="57" stopIfTrue="1" operator="equal">
      <formula>0</formula>
    </cfRule>
  </conditionalFormatting>
  <conditionalFormatting sqref="H57">
    <cfRule type="cellIs" dxfId="0" priority="58" stopIfTrue="1" operator="equal">
      <formula>0</formula>
    </cfRule>
  </conditionalFormatting>
  <conditionalFormatting sqref="I38">
    <cfRule type="cellIs" dxfId="0" priority="59" stopIfTrue="1" operator="equal">
      <formula>0</formula>
    </cfRule>
  </conditionalFormatting>
  <conditionalFormatting sqref="I37">
    <cfRule type="cellIs" dxfId="0" priority="60" stopIfTrue="1" operator="equal">
      <formula>0</formula>
    </cfRule>
  </conditionalFormatting>
  <conditionalFormatting sqref="I25:I35">
    <cfRule type="cellIs" dxfId="0" priority="61" stopIfTrue="1" operator="equal">
      <formula>0</formula>
    </cfRule>
  </conditionalFormatting>
  <conditionalFormatting sqref="I46">
    <cfRule type="cellIs" dxfId="0" priority="62" stopIfTrue="1" operator="equal">
      <formula>0</formula>
    </cfRule>
  </conditionalFormatting>
  <conditionalFormatting sqref="I49">
    <cfRule type="cellIs" dxfId="0" priority="63" stopIfTrue="1" operator="equal">
      <formula>0</formula>
    </cfRule>
  </conditionalFormatting>
  <conditionalFormatting sqref="I51">
    <cfRule type="cellIs" dxfId="0" priority="64" stopIfTrue="1" operator="equal">
      <formula>0</formula>
    </cfRule>
  </conditionalFormatting>
  <conditionalFormatting sqref="I53">
    <cfRule type="cellIs" dxfId="0" priority="65" stopIfTrue="1" operator="equal">
      <formula>0</formula>
    </cfRule>
  </conditionalFormatting>
  <conditionalFormatting sqref="I57">
    <cfRule type="cellIs" dxfId="0" priority="66" stopIfTrue="1" operator="equal">
      <formula>0</formula>
    </cfRule>
  </conditionalFormatting>
  <conditionalFormatting sqref="J38">
    <cfRule type="cellIs" dxfId="0" priority="67" stopIfTrue="1" operator="equal">
      <formula>0</formula>
    </cfRule>
  </conditionalFormatting>
  <conditionalFormatting sqref="J37">
    <cfRule type="cellIs" dxfId="0" priority="68" stopIfTrue="1" operator="equal">
      <formula>0</formula>
    </cfRule>
  </conditionalFormatting>
  <conditionalFormatting sqref="J25:J35">
    <cfRule type="cellIs" dxfId="0" priority="69" stopIfTrue="1" operator="equal">
      <formula>0</formula>
    </cfRule>
  </conditionalFormatting>
  <conditionalFormatting sqref="J46">
    <cfRule type="cellIs" dxfId="0" priority="70" stopIfTrue="1" operator="equal">
      <formula>0</formula>
    </cfRule>
  </conditionalFormatting>
  <conditionalFormatting sqref="J49">
    <cfRule type="cellIs" dxfId="0" priority="71" stopIfTrue="1" operator="equal">
      <formula>0</formula>
    </cfRule>
  </conditionalFormatting>
  <conditionalFormatting sqref="J51">
    <cfRule type="cellIs" dxfId="0" priority="72" stopIfTrue="1" operator="equal">
      <formula>0</formula>
    </cfRule>
  </conditionalFormatting>
  <conditionalFormatting sqref="J53">
    <cfRule type="cellIs" dxfId="0" priority="73" stopIfTrue="1" operator="equal">
      <formula>0</formula>
    </cfRule>
  </conditionalFormatting>
  <conditionalFormatting sqref="J57">
    <cfRule type="cellIs" dxfId="0" priority="74" stopIfTrue="1" operator="equal">
      <formula>0</formula>
    </cfRule>
  </conditionalFormatting>
  <conditionalFormatting sqref="K38">
    <cfRule type="cellIs" dxfId="0" priority="75" stopIfTrue="1" operator="equal">
      <formula>0</formula>
    </cfRule>
  </conditionalFormatting>
  <conditionalFormatting sqref="K37">
    <cfRule type="cellIs" dxfId="0" priority="76" stopIfTrue="1" operator="equal">
      <formula>0</formula>
    </cfRule>
  </conditionalFormatting>
  <conditionalFormatting sqref="K25:K35">
    <cfRule type="cellIs" dxfId="0" priority="77" stopIfTrue="1" operator="equal">
      <formula>0</formula>
    </cfRule>
  </conditionalFormatting>
  <conditionalFormatting sqref="K46">
    <cfRule type="cellIs" dxfId="0" priority="78" stopIfTrue="1" operator="equal">
      <formula>0</formula>
    </cfRule>
  </conditionalFormatting>
  <conditionalFormatting sqref="K49">
    <cfRule type="cellIs" dxfId="0" priority="79" stopIfTrue="1" operator="equal">
      <formula>0</formula>
    </cfRule>
  </conditionalFormatting>
  <conditionalFormatting sqref="K51">
    <cfRule type="cellIs" dxfId="0" priority="80" stopIfTrue="1" operator="equal">
      <formula>0</formula>
    </cfRule>
  </conditionalFormatting>
  <conditionalFormatting sqref="K53">
    <cfRule type="cellIs" dxfId="0" priority="81" stopIfTrue="1" operator="equal">
      <formula>0</formula>
    </cfRule>
  </conditionalFormatting>
  <conditionalFormatting sqref="K57">
    <cfRule type="cellIs" dxfId="0" priority="82" stopIfTrue="1" operator="equal">
      <formula>0</formula>
    </cfRule>
  </conditionalFormatting>
  <conditionalFormatting sqref="L38">
    <cfRule type="cellIs" dxfId="0" priority="83" stopIfTrue="1" operator="equal">
      <formula>0</formula>
    </cfRule>
  </conditionalFormatting>
  <conditionalFormatting sqref="L37">
    <cfRule type="cellIs" dxfId="0" priority="84" stopIfTrue="1" operator="equal">
      <formula>0</formula>
    </cfRule>
  </conditionalFormatting>
  <conditionalFormatting sqref="L25:L35">
    <cfRule type="cellIs" dxfId="0" priority="85" stopIfTrue="1" operator="equal">
      <formula>0</formula>
    </cfRule>
  </conditionalFormatting>
  <conditionalFormatting sqref="L46">
    <cfRule type="cellIs" dxfId="0" priority="86" stopIfTrue="1" operator="equal">
      <formula>0</formula>
    </cfRule>
  </conditionalFormatting>
  <conditionalFormatting sqref="L49">
    <cfRule type="cellIs" dxfId="0" priority="87" stopIfTrue="1" operator="equal">
      <formula>0</formula>
    </cfRule>
  </conditionalFormatting>
  <conditionalFormatting sqref="L51">
    <cfRule type="cellIs" dxfId="0" priority="88" stopIfTrue="1" operator="equal">
      <formula>0</formula>
    </cfRule>
  </conditionalFormatting>
  <conditionalFormatting sqref="L53">
    <cfRule type="cellIs" dxfId="0" priority="89" stopIfTrue="1" operator="equal">
      <formula>0</formula>
    </cfRule>
  </conditionalFormatting>
  <conditionalFormatting sqref="L57">
    <cfRule type="cellIs" dxfId="0" priority="90" stopIfTrue="1" operator="equal">
      <formula>0</formula>
    </cfRule>
  </conditionalFormatting>
  <conditionalFormatting sqref="M38">
    <cfRule type="cellIs" dxfId="0" priority="91" stopIfTrue="1" operator="equal">
      <formula>0</formula>
    </cfRule>
  </conditionalFormatting>
  <conditionalFormatting sqref="M37">
    <cfRule type="cellIs" dxfId="0" priority="92" stopIfTrue="1" operator="equal">
      <formula>0</formula>
    </cfRule>
  </conditionalFormatting>
  <conditionalFormatting sqref="M25:M35">
    <cfRule type="cellIs" dxfId="0" priority="93" stopIfTrue="1" operator="equal">
      <formula>0</formula>
    </cfRule>
  </conditionalFormatting>
  <conditionalFormatting sqref="M46">
    <cfRule type="cellIs" dxfId="0" priority="94" stopIfTrue="1" operator="equal">
      <formula>0</formula>
    </cfRule>
  </conditionalFormatting>
  <conditionalFormatting sqref="M49">
    <cfRule type="cellIs" dxfId="0" priority="95" stopIfTrue="1" operator="equal">
      <formula>0</formula>
    </cfRule>
  </conditionalFormatting>
  <conditionalFormatting sqref="M51">
    <cfRule type="cellIs" dxfId="0" priority="96" stopIfTrue="1" operator="equal">
      <formula>0</formula>
    </cfRule>
  </conditionalFormatting>
  <conditionalFormatting sqref="M53">
    <cfRule type="cellIs" dxfId="0" priority="97" stopIfTrue="1" operator="equal">
      <formula>0</formula>
    </cfRule>
  </conditionalFormatting>
  <conditionalFormatting sqref="M57">
    <cfRule type="cellIs" dxfId="0" priority="98" stopIfTrue="1" operator="equal">
      <formula>0</formula>
    </cfRule>
  </conditionalFormatting>
  <conditionalFormatting sqref="O38">
    <cfRule type="cellIs" dxfId="0" priority="99" stopIfTrue="1" operator="equal">
      <formula>0</formula>
    </cfRule>
  </conditionalFormatting>
  <conditionalFormatting sqref="O37">
    <cfRule type="cellIs" dxfId="0" priority="100" stopIfTrue="1" operator="equal">
      <formula>0</formula>
    </cfRule>
  </conditionalFormatting>
  <conditionalFormatting sqref="O25:O35">
    <cfRule type="cellIs" dxfId="0" priority="101" stopIfTrue="1" operator="equal">
      <formula>0</formula>
    </cfRule>
  </conditionalFormatting>
  <conditionalFormatting sqref="O46">
    <cfRule type="cellIs" dxfId="0" priority="102" stopIfTrue="1" operator="equal">
      <formula>0</formula>
    </cfRule>
  </conditionalFormatting>
  <conditionalFormatting sqref="O49">
    <cfRule type="cellIs" dxfId="0" priority="103" stopIfTrue="1" operator="equal">
      <formula>0</formula>
    </cfRule>
  </conditionalFormatting>
  <conditionalFormatting sqref="O51">
    <cfRule type="cellIs" dxfId="0" priority="104" stopIfTrue="1" operator="equal">
      <formula>0</formula>
    </cfRule>
  </conditionalFormatting>
  <conditionalFormatting sqref="O53">
    <cfRule type="cellIs" dxfId="0" priority="105" stopIfTrue="1" operator="equal">
      <formula>0</formula>
    </cfRule>
  </conditionalFormatting>
  <conditionalFormatting sqref="O57">
    <cfRule type="cellIs" dxfId="0" priority="106" stopIfTrue="1" operator="equal">
      <formula>0</formula>
    </cfRule>
  </conditionalFormatting>
  <conditionalFormatting sqref="Q38">
    <cfRule type="cellIs" dxfId="0" priority="107" stopIfTrue="1" operator="equal">
      <formula>0</formula>
    </cfRule>
  </conditionalFormatting>
  <conditionalFormatting sqref="Q37">
    <cfRule type="cellIs" dxfId="0" priority="108" stopIfTrue="1" operator="equal">
      <formula>0</formula>
    </cfRule>
  </conditionalFormatting>
  <conditionalFormatting sqref="Q25:Q35">
    <cfRule type="cellIs" dxfId="0" priority="109" stopIfTrue="1" operator="equal">
      <formula>0</formula>
    </cfRule>
  </conditionalFormatting>
  <conditionalFormatting sqref="Q46">
    <cfRule type="cellIs" dxfId="0" priority="110" stopIfTrue="1" operator="equal">
      <formula>0</formula>
    </cfRule>
  </conditionalFormatting>
  <conditionalFormatting sqref="Q49">
    <cfRule type="cellIs" dxfId="0" priority="111" stopIfTrue="1" operator="equal">
      <formula>0</formula>
    </cfRule>
  </conditionalFormatting>
  <conditionalFormatting sqref="Q51">
    <cfRule type="cellIs" dxfId="0" priority="112" stopIfTrue="1" operator="equal">
      <formula>0</formula>
    </cfRule>
  </conditionalFormatting>
  <conditionalFormatting sqref="Q53">
    <cfRule type="cellIs" dxfId="0" priority="113" stopIfTrue="1" operator="equal">
      <formula>0</formula>
    </cfRule>
  </conditionalFormatting>
  <conditionalFormatting sqref="Q57">
    <cfRule type="cellIs" dxfId="0" priority="114" stopIfTrue="1" operator="equal">
      <formula>0</formula>
    </cfRule>
  </conditionalFormatting>
  <printOptions/>
  <pageMargins bottom="1.0" footer="0.0" header="0.0" left="0.75" right="0.75" top="1.0"/>
  <pageSetup paperSize="9" scale="28" orientation="portrait"/>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3" width="8.63"/>
    <col customWidth="1" min="14" max="14" width="17.38"/>
    <col customWidth="1" min="15" max="26" width="8.63"/>
  </cols>
  <sheetData>
    <row r="1" ht="12.75" customHeight="1">
      <c r="A1" s="2" t="s">
        <v>0</v>
      </c>
      <c r="B1" s="2" t="s">
        <v>1</v>
      </c>
      <c r="D1" s="2" t="s">
        <v>2</v>
      </c>
      <c r="E1" s="2" t="s">
        <v>3</v>
      </c>
      <c r="F1" s="2" t="s">
        <v>879</v>
      </c>
      <c r="G1" s="2" t="s">
        <v>4</v>
      </c>
      <c r="J1" s="2" t="s">
        <v>7</v>
      </c>
      <c r="L1" s="2" t="s">
        <v>729</v>
      </c>
      <c r="M1" s="2">
        <f>2014</f>
        <v>2014</v>
      </c>
      <c r="N1" s="26" t="s">
        <v>880</v>
      </c>
      <c r="O1" s="26">
        <f>21-1</f>
        <v>20</v>
      </c>
    </row>
    <row r="2" ht="12.75" customHeight="1">
      <c r="A2" s="2">
        <f>$M$1</f>
        <v>2014</v>
      </c>
      <c r="B2" s="2">
        <v>1.0</v>
      </c>
      <c r="J2" s="2" t="s">
        <v>10</v>
      </c>
    </row>
    <row r="3" ht="12.75" customHeight="1">
      <c r="A3" s="2" t="s">
        <v>0</v>
      </c>
      <c r="B3" s="2" t="s">
        <v>1</v>
      </c>
      <c r="D3" s="2" t="s">
        <v>2</v>
      </c>
      <c r="E3" s="2" t="s">
        <v>3</v>
      </c>
      <c r="F3" s="2" t="s">
        <v>879</v>
      </c>
      <c r="G3" s="2" t="s">
        <v>4</v>
      </c>
      <c r="J3" s="2" t="s">
        <v>7</v>
      </c>
    </row>
    <row r="4" ht="12.75" customHeight="1">
      <c r="A4" s="2">
        <f>$M$1</f>
        <v>2014</v>
      </c>
      <c r="B4" s="2">
        <v>1.0</v>
      </c>
      <c r="J4" s="2" t="s">
        <v>20</v>
      </c>
    </row>
    <row r="5" ht="12.75" customHeight="1">
      <c r="A5" s="2" t="s">
        <v>0</v>
      </c>
      <c r="B5" s="2" t="s">
        <v>1</v>
      </c>
      <c r="D5" s="2" t="s">
        <v>2</v>
      </c>
      <c r="E5" s="2" t="s">
        <v>3</v>
      </c>
      <c r="F5" s="2" t="s">
        <v>879</v>
      </c>
      <c r="G5" s="2" t="s">
        <v>4</v>
      </c>
      <c r="J5" s="2" t="s">
        <v>7</v>
      </c>
    </row>
    <row r="6" ht="12.75" customHeight="1">
      <c r="A6" s="2">
        <f>$M$1</f>
        <v>2014</v>
      </c>
      <c r="B6" s="2">
        <v>1.0</v>
      </c>
      <c r="J6" s="2" t="s">
        <v>17</v>
      </c>
    </row>
    <row r="7" ht="12.75" customHeight="1">
      <c r="A7" s="2" t="s">
        <v>0</v>
      </c>
      <c r="B7" s="2" t="s">
        <v>1</v>
      </c>
      <c r="D7" s="2" t="s">
        <v>2</v>
      </c>
      <c r="E7" s="2" t="s">
        <v>3</v>
      </c>
      <c r="F7" s="2" t="s">
        <v>879</v>
      </c>
      <c r="G7" s="2" t="s">
        <v>4</v>
      </c>
      <c r="J7" s="2" t="s">
        <v>7</v>
      </c>
    </row>
    <row r="8" ht="12.75" customHeight="1">
      <c r="A8" s="2">
        <f>$M$1</f>
        <v>2014</v>
      </c>
      <c r="B8" s="2">
        <v>1.0</v>
      </c>
      <c r="J8" s="2" t="s">
        <v>24</v>
      </c>
    </row>
    <row r="9" ht="12.75" customHeight="1">
      <c r="A9" s="2" t="s">
        <v>0</v>
      </c>
      <c r="B9" s="2" t="s">
        <v>1</v>
      </c>
      <c r="D9" s="2" t="s">
        <v>2</v>
      </c>
      <c r="E9" s="2" t="s">
        <v>3</v>
      </c>
      <c r="F9" s="2" t="s">
        <v>879</v>
      </c>
      <c r="G9" s="2" t="s">
        <v>4</v>
      </c>
      <c r="J9" s="2" t="s">
        <v>7</v>
      </c>
    </row>
    <row r="10" ht="12.75" customHeight="1">
      <c r="A10" s="2">
        <f>$M$1</f>
        <v>2014</v>
      </c>
      <c r="B10" s="2">
        <v>1.0</v>
      </c>
      <c r="J10" s="2" t="s">
        <v>651</v>
      </c>
    </row>
    <row r="11" ht="12.75" customHeight="1">
      <c r="A11" s="2" t="s">
        <v>0</v>
      </c>
      <c r="B11" s="2" t="s">
        <v>1</v>
      </c>
      <c r="D11" s="2" t="s">
        <v>2</v>
      </c>
      <c r="E11" s="2" t="s">
        <v>3</v>
      </c>
      <c r="F11" s="2" t="s">
        <v>879</v>
      </c>
      <c r="G11" s="2" t="s">
        <v>4</v>
      </c>
      <c r="J11" s="2" t="s">
        <v>7</v>
      </c>
    </row>
    <row r="12" ht="12.75" customHeight="1">
      <c r="A12" s="2">
        <f>$M$1</f>
        <v>2014</v>
      </c>
      <c r="B12" s="2">
        <v>1.0</v>
      </c>
      <c r="J12" s="2" t="s">
        <v>76</v>
      </c>
    </row>
    <row r="13" ht="12.75" customHeight="1">
      <c r="A13" s="2" t="s">
        <v>0</v>
      </c>
      <c r="B13" s="2" t="s">
        <v>1</v>
      </c>
      <c r="D13" s="2" t="s">
        <v>2</v>
      </c>
      <c r="E13" s="2" t="s">
        <v>3</v>
      </c>
      <c r="F13" s="2" t="s">
        <v>879</v>
      </c>
      <c r="G13" s="2" t="s">
        <v>4</v>
      </c>
      <c r="J13" s="2" t="s">
        <v>7</v>
      </c>
    </row>
    <row r="14" ht="12.75" customHeight="1">
      <c r="A14" s="2">
        <f>$M$1</f>
        <v>2014</v>
      </c>
      <c r="B14" s="2">
        <v>1.0</v>
      </c>
      <c r="J14" s="2" t="s">
        <v>26</v>
      </c>
    </row>
    <row r="15" ht="12.75" customHeight="1">
      <c r="A15" s="2" t="s">
        <v>0</v>
      </c>
      <c r="B15" s="2" t="s">
        <v>1</v>
      </c>
      <c r="D15" s="2" t="s">
        <v>2</v>
      </c>
      <c r="E15" s="2" t="s">
        <v>3</v>
      </c>
      <c r="F15" s="2" t="s">
        <v>879</v>
      </c>
      <c r="G15" s="2" t="s">
        <v>4</v>
      </c>
      <c r="J15" s="2" t="s">
        <v>7</v>
      </c>
    </row>
    <row r="16" ht="12.75" customHeight="1">
      <c r="A16" s="2">
        <f>$M$1</f>
        <v>2014</v>
      </c>
      <c r="B16" s="2">
        <v>1.0</v>
      </c>
      <c r="J16" s="2" t="s">
        <v>103</v>
      </c>
    </row>
    <row r="17" ht="12.75" customHeight="1">
      <c r="A17" s="2" t="s">
        <v>0</v>
      </c>
      <c r="B17" s="2" t="s">
        <v>1</v>
      </c>
      <c r="D17" s="2" t="s">
        <v>2</v>
      </c>
      <c r="E17" s="2" t="s">
        <v>3</v>
      </c>
      <c r="F17" s="2" t="s">
        <v>879</v>
      </c>
      <c r="G17" s="2" t="s">
        <v>4</v>
      </c>
      <c r="J17" s="2" t="s">
        <v>7</v>
      </c>
    </row>
    <row r="18" ht="12.75" customHeight="1">
      <c r="A18" s="2">
        <f>$M$1</f>
        <v>2014</v>
      </c>
      <c r="B18" s="2">
        <v>1.0</v>
      </c>
      <c r="J18" s="2" t="s">
        <v>22</v>
      </c>
    </row>
    <row r="19" ht="12.75" customHeight="1">
      <c r="A19" s="2" t="s">
        <v>0</v>
      </c>
      <c r="B19" s="2" t="s">
        <v>1</v>
      </c>
      <c r="D19" s="2" t="s">
        <v>2</v>
      </c>
      <c r="E19" s="2" t="s">
        <v>3</v>
      </c>
      <c r="F19" s="2" t="s">
        <v>879</v>
      </c>
      <c r="G19" s="2" t="s">
        <v>4</v>
      </c>
      <c r="J19" s="2" t="s">
        <v>7</v>
      </c>
    </row>
    <row r="20" ht="12.75" customHeight="1">
      <c r="A20" s="2">
        <f>$M$1</f>
        <v>2014</v>
      </c>
      <c r="B20" s="2">
        <v>1.0</v>
      </c>
      <c r="J20" s="2" t="s">
        <v>428</v>
      </c>
    </row>
    <row r="21" ht="12.75" customHeight="1">
      <c r="A21" s="2" t="s">
        <v>0</v>
      </c>
      <c r="B21" s="2" t="s">
        <v>1</v>
      </c>
      <c r="D21" s="2" t="s">
        <v>2</v>
      </c>
      <c r="E21" s="2" t="s">
        <v>3</v>
      </c>
      <c r="F21" s="2" t="s">
        <v>879</v>
      </c>
      <c r="G21" s="2" t="s">
        <v>4</v>
      </c>
      <c r="J21" s="2" t="s">
        <v>7</v>
      </c>
    </row>
    <row r="22" ht="12.75" customHeight="1">
      <c r="A22" s="2">
        <f>$M$1</f>
        <v>2014</v>
      </c>
      <c r="B22" s="2">
        <v>1.0</v>
      </c>
      <c r="J22" s="2" t="s">
        <v>800</v>
      </c>
    </row>
    <row r="23" ht="12.75" customHeight="1">
      <c r="A23" s="2" t="s">
        <v>0</v>
      </c>
      <c r="B23" s="2" t="s">
        <v>1</v>
      </c>
      <c r="D23" s="2" t="s">
        <v>2</v>
      </c>
      <c r="E23" s="2" t="s">
        <v>3</v>
      </c>
      <c r="F23" s="2" t="s">
        <v>879</v>
      </c>
      <c r="G23" s="2" t="s">
        <v>4</v>
      </c>
      <c r="J23" s="2" t="s">
        <v>7</v>
      </c>
    </row>
    <row r="24" ht="12.75" customHeight="1">
      <c r="A24" s="2">
        <f>$M$1</f>
        <v>2014</v>
      </c>
      <c r="B24" s="2">
        <v>1.0</v>
      </c>
      <c r="J24" s="2" t="s">
        <v>54</v>
      </c>
    </row>
    <row r="25" ht="12.75" customHeight="1">
      <c r="A25" s="2" t="s">
        <v>0</v>
      </c>
      <c r="B25" s="2" t="s">
        <v>1</v>
      </c>
      <c r="D25" s="2" t="s">
        <v>2</v>
      </c>
      <c r="E25" s="2" t="s">
        <v>3</v>
      </c>
      <c r="F25" s="2" t="s">
        <v>879</v>
      </c>
      <c r="G25" s="2" t="s">
        <v>4</v>
      </c>
      <c r="J25" s="2" t="s">
        <v>7</v>
      </c>
    </row>
    <row r="26" ht="12.75" customHeight="1">
      <c r="A26" s="2">
        <f>$M$1</f>
        <v>2014</v>
      </c>
      <c r="B26" s="2">
        <v>1.0</v>
      </c>
      <c r="J26" s="2" t="s">
        <v>801</v>
      </c>
    </row>
    <row r="27" ht="12.75" customHeight="1">
      <c r="A27" s="2" t="s">
        <v>0</v>
      </c>
      <c r="B27" s="2" t="s">
        <v>1</v>
      </c>
      <c r="D27" s="2" t="s">
        <v>2</v>
      </c>
      <c r="E27" s="2" t="s">
        <v>3</v>
      </c>
      <c r="F27" s="2" t="s">
        <v>879</v>
      </c>
      <c r="G27" s="2" t="s">
        <v>4</v>
      </c>
      <c r="J27" s="2" t="s">
        <v>7</v>
      </c>
    </row>
    <row r="28" ht="12.75" customHeight="1">
      <c r="A28" s="2">
        <f>$M$1</f>
        <v>2014</v>
      </c>
      <c r="B28" s="2">
        <v>1.0</v>
      </c>
      <c r="J28" s="2" t="s">
        <v>38</v>
      </c>
    </row>
    <row r="29" ht="12.75" customHeight="1">
      <c r="A29" s="2" t="s">
        <v>0</v>
      </c>
      <c r="B29" s="2" t="s">
        <v>1</v>
      </c>
      <c r="D29" s="2" t="s">
        <v>2</v>
      </c>
      <c r="E29" s="2" t="s">
        <v>3</v>
      </c>
      <c r="F29" s="2" t="s">
        <v>879</v>
      </c>
      <c r="G29" s="2" t="s">
        <v>4</v>
      </c>
      <c r="J29" s="2" t="s">
        <v>7</v>
      </c>
    </row>
    <row r="30" ht="12.75" customHeight="1">
      <c r="A30" s="2">
        <f>$M$1</f>
        <v>2014</v>
      </c>
      <c r="B30" s="2">
        <v>1.0</v>
      </c>
      <c r="J30" s="2" t="s">
        <v>47</v>
      </c>
    </row>
    <row r="31" ht="12.75" customHeight="1">
      <c r="A31" s="2" t="s">
        <v>0</v>
      </c>
      <c r="B31" s="2" t="s">
        <v>1</v>
      </c>
      <c r="D31" s="2" t="s">
        <v>2</v>
      </c>
      <c r="E31" s="2" t="s">
        <v>3</v>
      </c>
      <c r="F31" s="2" t="s">
        <v>879</v>
      </c>
      <c r="G31" s="2" t="s">
        <v>4</v>
      </c>
      <c r="J31" s="2" t="s">
        <v>7</v>
      </c>
    </row>
    <row r="32" ht="12.75" customHeight="1">
      <c r="A32" s="2">
        <f>$M$1</f>
        <v>2014</v>
      </c>
      <c r="B32" s="2">
        <v>1.0</v>
      </c>
      <c r="J32" s="2" t="s">
        <v>52</v>
      </c>
    </row>
    <row r="33" ht="12.75" customHeight="1">
      <c r="A33" s="2" t="s">
        <v>0</v>
      </c>
      <c r="B33" s="2" t="s">
        <v>1</v>
      </c>
      <c r="D33" s="2" t="s">
        <v>2</v>
      </c>
      <c r="E33" s="2" t="s">
        <v>3</v>
      </c>
      <c r="F33" s="2" t="s">
        <v>879</v>
      </c>
      <c r="G33" s="2" t="s">
        <v>4</v>
      </c>
      <c r="J33" s="2" t="s">
        <v>7</v>
      </c>
    </row>
    <row r="34" ht="12.75" customHeight="1">
      <c r="A34" s="2">
        <f>$M$1</f>
        <v>2014</v>
      </c>
      <c r="B34" s="2">
        <v>1.0</v>
      </c>
      <c r="J34" s="2" t="s">
        <v>42</v>
      </c>
    </row>
    <row r="35" ht="12.75" customHeight="1">
      <c r="A35" s="2" t="s">
        <v>0</v>
      </c>
      <c r="B35" s="2" t="s">
        <v>1</v>
      </c>
      <c r="D35" s="2" t="s">
        <v>2</v>
      </c>
      <c r="E35" s="2" t="s">
        <v>3</v>
      </c>
      <c r="F35" s="2" t="s">
        <v>879</v>
      </c>
      <c r="G35" s="2" t="s">
        <v>4</v>
      </c>
      <c r="J35" s="2" t="s">
        <v>7</v>
      </c>
    </row>
    <row r="36" ht="12.75" customHeight="1">
      <c r="A36" s="2">
        <f>$M$1</f>
        <v>2014</v>
      </c>
      <c r="B36" s="2">
        <v>1.0</v>
      </c>
      <c r="J36" s="2" t="s">
        <v>133</v>
      </c>
    </row>
    <row r="37" ht="12.75" customHeight="1">
      <c r="A37" s="2" t="s">
        <v>0</v>
      </c>
      <c r="B37" s="2" t="s">
        <v>1</v>
      </c>
      <c r="D37" s="2" t="s">
        <v>2</v>
      </c>
      <c r="E37" s="2" t="s">
        <v>3</v>
      </c>
      <c r="F37" s="2" t="s">
        <v>879</v>
      </c>
      <c r="G37" s="2" t="s">
        <v>4</v>
      </c>
      <c r="J37" s="2" t="s">
        <v>7</v>
      </c>
    </row>
    <row r="38" ht="12.75" customHeight="1">
      <c r="A38" s="2">
        <f>$M$1</f>
        <v>2014</v>
      </c>
      <c r="B38" s="2">
        <v>1.0</v>
      </c>
      <c r="J38" s="2" t="s">
        <v>803</v>
      </c>
    </row>
    <row r="39" ht="12.75" customHeight="1">
      <c r="A39" s="2" t="s">
        <v>0</v>
      </c>
      <c r="B39" s="2" t="s">
        <v>1</v>
      </c>
      <c r="D39" s="2" t="s">
        <v>2</v>
      </c>
      <c r="E39" s="2" t="s">
        <v>3</v>
      </c>
      <c r="F39" s="2" t="s">
        <v>879</v>
      </c>
      <c r="G39" s="2" t="s">
        <v>4</v>
      </c>
      <c r="J39" s="2" t="s">
        <v>7</v>
      </c>
    </row>
    <row r="40" ht="12.75" customHeight="1">
      <c r="A40" s="2">
        <f>$M$1</f>
        <v>2014</v>
      </c>
      <c r="B40" s="2">
        <v>1.0</v>
      </c>
      <c r="J40" s="2" t="s">
        <v>164</v>
      </c>
    </row>
    <row r="41" ht="12.75" customHeight="1">
      <c r="A41" s="2" t="s">
        <v>0</v>
      </c>
      <c r="B41" s="2" t="s">
        <v>1</v>
      </c>
      <c r="D41" s="2" t="s">
        <v>2</v>
      </c>
      <c r="E41" s="2" t="s">
        <v>3</v>
      </c>
      <c r="F41" s="2" t="s">
        <v>879</v>
      </c>
      <c r="G41" s="2" t="s">
        <v>4</v>
      </c>
      <c r="J41" s="2" t="s">
        <v>7</v>
      </c>
    </row>
    <row r="42" ht="12.75" customHeight="1">
      <c r="A42" s="2">
        <f>$M$1</f>
        <v>2014</v>
      </c>
      <c r="B42" s="2">
        <v>1.0</v>
      </c>
      <c r="J42" s="2" t="s">
        <v>50</v>
      </c>
    </row>
    <row r="43" ht="12.75" customHeight="1">
      <c r="A43" s="2" t="s">
        <v>0</v>
      </c>
      <c r="B43" s="2" t="s">
        <v>1</v>
      </c>
      <c r="D43" s="2" t="s">
        <v>2</v>
      </c>
      <c r="E43" s="2" t="s">
        <v>3</v>
      </c>
      <c r="F43" s="2" t="s">
        <v>879</v>
      </c>
      <c r="G43" s="2" t="s">
        <v>4</v>
      </c>
      <c r="J43" s="2" t="s">
        <v>7</v>
      </c>
    </row>
    <row r="44" ht="12.75" customHeight="1">
      <c r="A44" s="2">
        <f>$M$1</f>
        <v>2014</v>
      </c>
      <c r="B44" s="2">
        <v>1.0</v>
      </c>
      <c r="J44" s="2" t="s">
        <v>304</v>
      </c>
    </row>
    <row r="45" ht="12.75" customHeight="1">
      <c r="A45" s="2" t="s">
        <v>0</v>
      </c>
      <c r="B45" s="2" t="s">
        <v>1</v>
      </c>
      <c r="D45" s="2" t="s">
        <v>2</v>
      </c>
      <c r="E45" s="2" t="s">
        <v>3</v>
      </c>
      <c r="F45" s="2" t="s">
        <v>879</v>
      </c>
      <c r="G45" s="2" t="s">
        <v>4</v>
      </c>
      <c r="J45" s="2" t="s">
        <v>7</v>
      </c>
    </row>
    <row r="46" ht="12.75" customHeight="1">
      <c r="A46" s="2">
        <f>$M$1</f>
        <v>2014</v>
      </c>
      <c r="B46" s="2">
        <v>1.0</v>
      </c>
      <c r="J46" s="2" t="s">
        <v>72</v>
      </c>
    </row>
    <row r="47" ht="12.75" customHeight="1">
      <c r="A47" s="2" t="s">
        <v>0</v>
      </c>
      <c r="B47" s="2" t="s">
        <v>1</v>
      </c>
      <c r="D47" s="2" t="s">
        <v>2</v>
      </c>
      <c r="E47" s="2" t="s">
        <v>3</v>
      </c>
      <c r="F47" s="2" t="s">
        <v>879</v>
      </c>
      <c r="G47" s="2" t="s">
        <v>4</v>
      </c>
      <c r="J47" s="2" t="s">
        <v>7</v>
      </c>
    </row>
    <row r="48" ht="12.75" customHeight="1">
      <c r="A48" s="2">
        <f>$M$1</f>
        <v>2014</v>
      </c>
      <c r="B48" s="2">
        <v>1.0</v>
      </c>
      <c r="J48" s="2" t="s">
        <v>13</v>
      </c>
    </row>
    <row r="49" ht="12.75" customHeight="1">
      <c r="A49" s="2" t="s">
        <v>0</v>
      </c>
      <c r="B49" s="2" t="s">
        <v>1</v>
      </c>
      <c r="D49" s="2" t="s">
        <v>2</v>
      </c>
      <c r="E49" s="2" t="s">
        <v>3</v>
      </c>
      <c r="F49" s="2" t="s">
        <v>879</v>
      </c>
      <c r="G49" s="2" t="s">
        <v>4</v>
      </c>
      <c r="J49" s="2" t="s">
        <v>7</v>
      </c>
    </row>
    <row r="50" ht="12.75" customHeight="1">
      <c r="A50" s="2">
        <f>$M$1</f>
        <v>2014</v>
      </c>
      <c r="B50" s="2">
        <v>1.0</v>
      </c>
      <c r="J50" s="2" t="s">
        <v>18</v>
      </c>
    </row>
    <row r="51" ht="12.75" customHeight="1">
      <c r="A51" s="2" t="s">
        <v>0</v>
      </c>
      <c r="B51" s="2" t="s">
        <v>1</v>
      </c>
      <c r="D51" s="2" t="s">
        <v>2</v>
      </c>
      <c r="E51" s="2" t="s">
        <v>3</v>
      </c>
      <c r="F51" s="2" t="s">
        <v>879</v>
      </c>
      <c r="G51" s="2" t="s">
        <v>4</v>
      </c>
      <c r="J51" s="2" t="s">
        <v>7</v>
      </c>
    </row>
    <row r="52" ht="12.75" customHeight="1">
      <c r="A52" s="2">
        <f>$M$1</f>
        <v>2014</v>
      </c>
      <c r="B52" s="2">
        <v>1.0</v>
      </c>
      <c r="J52" s="2" t="s">
        <v>153</v>
      </c>
    </row>
    <row r="53" ht="12.75" customHeight="1">
      <c r="A53" s="2" t="s">
        <v>0</v>
      </c>
      <c r="B53" s="2" t="s">
        <v>1</v>
      </c>
      <c r="D53" s="2" t="s">
        <v>2</v>
      </c>
      <c r="E53" s="2" t="s">
        <v>3</v>
      </c>
      <c r="F53" s="2" t="s">
        <v>879</v>
      </c>
      <c r="G53" s="2" t="s">
        <v>4</v>
      </c>
      <c r="J53" s="2" t="s">
        <v>7</v>
      </c>
    </row>
    <row r="54" ht="12.75" customHeight="1">
      <c r="A54" s="2">
        <f>$M$1</f>
        <v>2014</v>
      </c>
      <c r="B54" s="2">
        <v>1.0</v>
      </c>
      <c r="J54" s="2" t="s">
        <v>805</v>
      </c>
    </row>
    <row r="55" ht="12.75" customHeight="1">
      <c r="A55" s="2" t="s">
        <v>0</v>
      </c>
      <c r="B55" s="2" t="s">
        <v>1</v>
      </c>
      <c r="D55" s="2" t="s">
        <v>2</v>
      </c>
      <c r="E55" s="2" t="s">
        <v>3</v>
      </c>
      <c r="F55" s="2" t="s">
        <v>879</v>
      </c>
      <c r="G55" s="2" t="s">
        <v>4</v>
      </c>
      <c r="J55" s="2" t="s">
        <v>7</v>
      </c>
    </row>
    <row r="56" ht="12.75" customHeight="1">
      <c r="A56" s="2">
        <f>$M$1</f>
        <v>2014</v>
      </c>
      <c r="B56" s="2">
        <v>1.0</v>
      </c>
      <c r="J56" s="2" t="s">
        <v>31</v>
      </c>
    </row>
    <row r="57" ht="12.75" customHeight="1">
      <c r="A57" s="2" t="s">
        <v>0</v>
      </c>
      <c r="B57" s="2" t="s">
        <v>1</v>
      </c>
      <c r="D57" s="2" t="s">
        <v>2</v>
      </c>
      <c r="E57" s="2" t="s">
        <v>3</v>
      </c>
      <c r="F57" s="2" t="s">
        <v>879</v>
      </c>
      <c r="G57" s="2" t="s">
        <v>4</v>
      </c>
      <c r="J57" s="2" t="s">
        <v>7</v>
      </c>
    </row>
    <row r="58" ht="12.75" customHeight="1">
      <c r="A58" s="2">
        <f>$M$1</f>
        <v>2014</v>
      </c>
      <c r="B58" s="2">
        <v>1.0</v>
      </c>
      <c r="J58" s="2" t="s">
        <v>123</v>
      </c>
    </row>
    <row r="59" ht="12.75" customHeight="1">
      <c r="A59" s="2" t="s">
        <v>0</v>
      </c>
      <c r="B59" s="2" t="s">
        <v>1</v>
      </c>
      <c r="D59" s="2" t="s">
        <v>2</v>
      </c>
      <c r="E59" s="2" t="s">
        <v>3</v>
      </c>
      <c r="F59" s="2" t="s">
        <v>879</v>
      </c>
      <c r="G59" s="2" t="s">
        <v>4</v>
      </c>
      <c r="J59" s="2" t="s">
        <v>7</v>
      </c>
    </row>
    <row r="60" ht="12.75" customHeight="1">
      <c r="A60" s="2">
        <f>$M$1</f>
        <v>2014</v>
      </c>
      <c r="B60" s="2">
        <v>1.0</v>
      </c>
      <c r="J60" s="2" t="s">
        <v>35</v>
      </c>
    </row>
    <row r="61" ht="12.75" customHeight="1">
      <c r="A61" s="2" t="s">
        <v>0</v>
      </c>
      <c r="B61" s="2" t="s">
        <v>1</v>
      </c>
      <c r="D61" s="2" t="s">
        <v>2</v>
      </c>
      <c r="E61" s="2" t="s">
        <v>3</v>
      </c>
      <c r="F61" s="2" t="s">
        <v>879</v>
      </c>
      <c r="G61" s="2" t="s">
        <v>4</v>
      </c>
      <c r="J61" s="2" t="s">
        <v>7</v>
      </c>
    </row>
    <row r="62" ht="12.75" customHeight="1">
      <c r="A62" s="2">
        <f>$M$1</f>
        <v>2014</v>
      </c>
      <c r="B62" s="2">
        <v>1.0</v>
      </c>
      <c r="J62" s="2" t="s">
        <v>210</v>
      </c>
    </row>
    <row r="63" ht="12.75" customHeight="1">
      <c r="A63" s="2" t="s">
        <v>0</v>
      </c>
      <c r="B63" s="2" t="s">
        <v>1</v>
      </c>
      <c r="D63" s="2" t="s">
        <v>2</v>
      </c>
      <c r="E63" s="2" t="s">
        <v>3</v>
      </c>
      <c r="F63" s="2" t="s">
        <v>879</v>
      </c>
      <c r="G63" s="2" t="s">
        <v>4</v>
      </c>
      <c r="J63" s="2" t="s">
        <v>7</v>
      </c>
    </row>
    <row r="64" ht="12.75" customHeight="1">
      <c r="A64" s="2">
        <f>$M$1</f>
        <v>2014</v>
      </c>
      <c r="B64" s="2">
        <v>1.0</v>
      </c>
      <c r="J64" s="2" t="s">
        <v>808</v>
      </c>
    </row>
    <row r="65" ht="12.75" customHeight="1">
      <c r="A65" s="2" t="s">
        <v>0</v>
      </c>
      <c r="B65" s="2" t="s">
        <v>1</v>
      </c>
      <c r="D65" s="2" t="s">
        <v>2</v>
      </c>
      <c r="E65" s="2" t="s">
        <v>3</v>
      </c>
      <c r="F65" s="2" t="s">
        <v>879</v>
      </c>
      <c r="G65" s="2" t="s">
        <v>4</v>
      </c>
      <c r="J65" s="2" t="s">
        <v>7</v>
      </c>
    </row>
    <row r="66" ht="12.75" customHeight="1">
      <c r="A66" s="2">
        <f>$M$1</f>
        <v>2014</v>
      </c>
      <c r="B66" s="2">
        <v>1.0</v>
      </c>
      <c r="J66" s="2" t="s">
        <v>810</v>
      </c>
    </row>
    <row r="67" ht="12.75" customHeight="1">
      <c r="A67" s="2" t="s">
        <v>0</v>
      </c>
      <c r="B67" s="2" t="s">
        <v>1</v>
      </c>
      <c r="D67" s="2" t="s">
        <v>2</v>
      </c>
      <c r="E67" s="2" t="s">
        <v>3</v>
      </c>
      <c r="F67" s="2" t="s">
        <v>879</v>
      </c>
      <c r="G67" s="2" t="s">
        <v>4</v>
      </c>
      <c r="J67" s="2" t="s">
        <v>7</v>
      </c>
    </row>
    <row r="68" ht="12.75" customHeight="1">
      <c r="A68" s="2">
        <f>$M$1</f>
        <v>2014</v>
      </c>
      <c r="B68" s="2">
        <v>2.0</v>
      </c>
      <c r="J68" s="2" t="s">
        <v>10</v>
      </c>
    </row>
    <row r="69" ht="12.75" customHeight="1">
      <c r="A69" s="2" t="s">
        <v>0</v>
      </c>
      <c r="B69" s="2" t="s">
        <v>1</v>
      </c>
      <c r="D69" s="2" t="s">
        <v>2</v>
      </c>
      <c r="E69" s="2" t="s">
        <v>3</v>
      </c>
      <c r="F69" s="2" t="s">
        <v>879</v>
      </c>
      <c r="G69" s="2" t="s">
        <v>4</v>
      </c>
      <c r="J69" s="2" t="s">
        <v>7</v>
      </c>
    </row>
    <row r="70" ht="12.75" customHeight="1">
      <c r="A70" s="2">
        <f>$M$1</f>
        <v>2014</v>
      </c>
      <c r="B70" s="2">
        <v>2.0</v>
      </c>
      <c r="J70" s="2" t="s">
        <v>20</v>
      </c>
    </row>
    <row r="71" ht="12.75" customHeight="1">
      <c r="A71" s="2" t="s">
        <v>0</v>
      </c>
      <c r="B71" s="2" t="s">
        <v>1</v>
      </c>
      <c r="D71" s="2" t="s">
        <v>2</v>
      </c>
      <c r="E71" s="2" t="s">
        <v>3</v>
      </c>
      <c r="F71" s="2" t="s">
        <v>879</v>
      </c>
      <c r="G71" s="2" t="s">
        <v>4</v>
      </c>
      <c r="J71" s="2" t="s">
        <v>7</v>
      </c>
    </row>
    <row r="72" ht="12.75" customHeight="1">
      <c r="A72" s="2">
        <f>$M$1</f>
        <v>2014</v>
      </c>
      <c r="B72" s="2">
        <v>2.0</v>
      </c>
      <c r="J72" s="2" t="s">
        <v>17</v>
      </c>
    </row>
    <row r="73" ht="12.75" customHeight="1">
      <c r="A73" s="2" t="s">
        <v>0</v>
      </c>
      <c r="B73" s="2" t="s">
        <v>1</v>
      </c>
      <c r="D73" s="2" t="s">
        <v>2</v>
      </c>
      <c r="E73" s="2" t="s">
        <v>3</v>
      </c>
      <c r="F73" s="2" t="s">
        <v>879</v>
      </c>
      <c r="G73" s="2" t="s">
        <v>4</v>
      </c>
      <c r="J73" s="2" t="s">
        <v>7</v>
      </c>
    </row>
    <row r="74" ht="12.75" customHeight="1">
      <c r="A74" s="2">
        <f>$M$1</f>
        <v>2014</v>
      </c>
      <c r="B74" s="2">
        <v>2.0</v>
      </c>
      <c r="J74" s="2" t="s">
        <v>24</v>
      </c>
    </row>
    <row r="75" ht="12.75" customHeight="1">
      <c r="A75" s="2" t="s">
        <v>0</v>
      </c>
      <c r="B75" s="2" t="s">
        <v>1</v>
      </c>
      <c r="D75" s="2" t="s">
        <v>2</v>
      </c>
      <c r="E75" s="2" t="s">
        <v>3</v>
      </c>
      <c r="F75" s="2" t="s">
        <v>879</v>
      </c>
      <c r="G75" s="2" t="s">
        <v>4</v>
      </c>
      <c r="J75" s="2" t="s">
        <v>7</v>
      </c>
    </row>
    <row r="76" ht="12.75" customHeight="1">
      <c r="A76" s="2">
        <f>$M$1</f>
        <v>2014</v>
      </c>
      <c r="B76" s="2">
        <v>2.0</v>
      </c>
      <c r="J76" s="2" t="s">
        <v>651</v>
      </c>
    </row>
    <row r="77" ht="12.75" customHeight="1">
      <c r="A77" s="2" t="s">
        <v>0</v>
      </c>
      <c r="B77" s="2" t="s">
        <v>1</v>
      </c>
      <c r="D77" s="2" t="s">
        <v>2</v>
      </c>
      <c r="E77" s="2" t="s">
        <v>3</v>
      </c>
      <c r="F77" s="2" t="s">
        <v>879</v>
      </c>
      <c r="G77" s="2" t="s">
        <v>4</v>
      </c>
      <c r="J77" s="2" t="s">
        <v>7</v>
      </c>
    </row>
    <row r="78" ht="12.75" customHeight="1">
      <c r="A78" s="2">
        <f>$M$1</f>
        <v>2014</v>
      </c>
      <c r="B78" s="2">
        <v>2.0</v>
      </c>
      <c r="J78" s="2" t="s">
        <v>76</v>
      </c>
    </row>
    <row r="79" ht="12.75" customHeight="1">
      <c r="A79" s="2" t="s">
        <v>0</v>
      </c>
      <c r="B79" s="2" t="s">
        <v>1</v>
      </c>
      <c r="D79" s="2" t="s">
        <v>2</v>
      </c>
      <c r="E79" s="2" t="s">
        <v>3</v>
      </c>
      <c r="F79" s="2" t="s">
        <v>879</v>
      </c>
      <c r="G79" s="2" t="s">
        <v>4</v>
      </c>
      <c r="J79" s="2" t="s">
        <v>7</v>
      </c>
    </row>
    <row r="80" ht="12.75" customHeight="1">
      <c r="A80" s="2">
        <f>$M$1</f>
        <v>2014</v>
      </c>
      <c r="B80" s="2">
        <v>2.0</v>
      </c>
      <c r="J80" s="2" t="s">
        <v>26</v>
      </c>
    </row>
    <row r="81" ht="12.75" customHeight="1">
      <c r="A81" s="2" t="s">
        <v>0</v>
      </c>
      <c r="B81" s="2" t="s">
        <v>1</v>
      </c>
      <c r="D81" s="2" t="s">
        <v>2</v>
      </c>
      <c r="E81" s="2" t="s">
        <v>3</v>
      </c>
      <c r="F81" s="2" t="s">
        <v>879</v>
      </c>
      <c r="G81" s="2" t="s">
        <v>4</v>
      </c>
      <c r="J81" s="2" t="s">
        <v>7</v>
      </c>
    </row>
    <row r="82" ht="12.75" customHeight="1">
      <c r="A82" s="2">
        <f>$M$1</f>
        <v>2014</v>
      </c>
      <c r="B82" s="2">
        <v>2.0</v>
      </c>
      <c r="J82" s="2" t="s">
        <v>103</v>
      </c>
    </row>
    <row r="83" ht="12.75" customHeight="1">
      <c r="A83" s="2" t="s">
        <v>0</v>
      </c>
      <c r="B83" s="2" t="s">
        <v>1</v>
      </c>
      <c r="D83" s="2" t="s">
        <v>2</v>
      </c>
      <c r="E83" s="2" t="s">
        <v>3</v>
      </c>
      <c r="F83" s="2" t="s">
        <v>879</v>
      </c>
      <c r="G83" s="2" t="s">
        <v>4</v>
      </c>
      <c r="J83" s="2" t="s">
        <v>7</v>
      </c>
    </row>
    <row r="84" ht="12.75" customHeight="1">
      <c r="A84" s="2">
        <f>$M$1</f>
        <v>2014</v>
      </c>
      <c r="B84" s="2">
        <v>2.0</v>
      </c>
      <c r="J84" s="2" t="s">
        <v>22</v>
      </c>
    </row>
    <row r="85" ht="12.75" customHeight="1">
      <c r="A85" s="2" t="s">
        <v>0</v>
      </c>
      <c r="B85" s="2" t="s">
        <v>1</v>
      </c>
      <c r="D85" s="2" t="s">
        <v>2</v>
      </c>
      <c r="E85" s="2" t="s">
        <v>3</v>
      </c>
      <c r="F85" s="2" t="s">
        <v>879</v>
      </c>
      <c r="G85" s="2" t="s">
        <v>4</v>
      </c>
      <c r="J85" s="2" t="s">
        <v>7</v>
      </c>
    </row>
    <row r="86" ht="12.75" customHeight="1">
      <c r="A86" s="2">
        <f>$M$1</f>
        <v>2014</v>
      </c>
      <c r="B86" s="2">
        <v>2.0</v>
      </c>
      <c r="J86" s="2" t="s">
        <v>428</v>
      </c>
    </row>
    <row r="87" ht="12.75" customHeight="1">
      <c r="A87" s="2" t="s">
        <v>0</v>
      </c>
      <c r="B87" s="2" t="s">
        <v>1</v>
      </c>
      <c r="D87" s="2" t="s">
        <v>2</v>
      </c>
      <c r="E87" s="2" t="s">
        <v>3</v>
      </c>
      <c r="F87" s="2" t="s">
        <v>879</v>
      </c>
      <c r="G87" s="2" t="s">
        <v>4</v>
      </c>
      <c r="J87" s="2" t="s">
        <v>7</v>
      </c>
    </row>
    <row r="88" ht="12.75" customHeight="1">
      <c r="A88" s="2">
        <f>$M$1</f>
        <v>2014</v>
      </c>
      <c r="B88" s="2">
        <v>2.0</v>
      </c>
      <c r="J88" s="2" t="s">
        <v>800</v>
      </c>
    </row>
    <row r="89" ht="12.75" customHeight="1">
      <c r="A89" s="2" t="s">
        <v>0</v>
      </c>
      <c r="B89" s="2" t="s">
        <v>1</v>
      </c>
      <c r="D89" s="2" t="s">
        <v>2</v>
      </c>
      <c r="E89" s="2" t="s">
        <v>3</v>
      </c>
      <c r="F89" s="2" t="s">
        <v>879</v>
      </c>
      <c r="G89" s="2" t="s">
        <v>4</v>
      </c>
      <c r="J89" s="2" t="s">
        <v>7</v>
      </c>
    </row>
    <row r="90" ht="12.75" customHeight="1">
      <c r="A90" s="2">
        <f>$M$1</f>
        <v>2014</v>
      </c>
      <c r="B90" s="2">
        <v>2.0</v>
      </c>
      <c r="J90" s="2" t="s">
        <v>54</v>
      </c>
    </row>
    <row r="91" ht="12.75" customHeight="1">
      <c r="A91" s="2" t="s">
        <v>0</v>
      </c>
      <c r="B91" s="2" t="s">
        <v>1</v>
      </c>
      <c r="D91" s="2" t="s">
        <v>2</v>
      </c>
      <c r="E91" s="2" t="s">
        <v>3</v>
      </c>
      <c r="F91" s="2" t="s">
        <v>879</v>
      </c>
      <c r="G91" s="2" t="s">
        <v>4</v>
      </c>
      <c r="J91" s="2" t="s">
        <v>7</v>
      </c>
    </row>
    <row r="92" ht="12.75" customHeight="1">
      <c r="A92" s="2">
        <f>$M$1</f>
        <v>2014</v>
      </c>
      <c r="B92" s="2">
        <v>2.0</v>
      </c>
      <c r="J92" s="2" t="s">
        <v>801</v>
      </c>
    </row>
    <row r="93" ht="12.75" customHeight="1">
      <c r="A93" s="2" t="s">
        <v>0</v>
      </c>
      <c r="B93" s="2" t="s">
        <v>1</v>
      </c>
      <c r="D93" s="2" t="s">
        <v>2</v>
      </c>
      <c r="E93" s="2" t="s">
        <v>3</v>
      </c>
      <c r="F93" s="2" t="s">
        <v>879</v>
      </c>
      <c r="G93" s="2" t="s">
        <v>4</v>
      </c>
      <c r="J93" s="2" t="s">
        <v>7</v>
      </c>
    </row>
    <row r="94" ht="12.75" customHeight="1">
      <c r="A94" s="2">
        <f>$M$1</f>
        <v>2014</v>
      </c>
      <c r="B94" s="2">
        <v>2.0</v>
      </c>
      <c r="J94" s="2" t="s">
        <v>38</v>
      </c>
    </row>
    <row r="95" ht="12.75" customHeight="1">
      <c r="A95" s="2" t="s">
        <v>0</v>
      </c>
      <c r="B95" s="2" t="s">
        <v>1</v>
      </c>
      <c r="D95" s="2" t="s">
        <v>2</v>
      </c>
      <c r="E95" s="2" t="s">
        <v>3</v>
      </c>
      <c r="F95" s="2" t="s">
        <v>879</v>
      </c>
      <c r="G95" s="2" t="s">
        <v>4</v>
      </c>
      <c r="J95" s="2" t="s">
        <v>7</v>
      </c>
    </row>
    <row r="96" ht="12.75" customHeight="1">
      <c r="A96" s="2">
        <f>$M$1</f>
        <v>2014</v>
      </c>
      <c r="B96" s="2">
        <v>2.0</v>
      </c>
      <c r="J96" s="2" t="s">
        <v>47</v>
      </c>
    </row>
    <row r="97" ht="12.75" customHeight="1">
      <c r="A97" s="2" t="s">
        <v>0</v>
      </c>
      <c r="B97" s="2" t="s">
        <v>1</v>
      </c>
      <c r="D97" s="2" t="s">
        <v>2</v>
      </c>
      <c r="E97" s="2" t="s">
        <v>3</v>
      </c>
      <c r="F97" s="2" t="s">
        <v>879</v>
      </c>
      <c r="G97" s="2" t="s">
        <v>4</v>
      </c>
      <c r="J97" s="2" t="s">
        <v>7</v>
      </c>
    </row>
    <row r="98" ht="12.75" customHeight="1">
      <c r="A98" s="2">
        <f>$M$1</f>
        <v>2014</v>
      </c>
      <c r="B98" s="2">
        <v>2.0</v>
      </c>
      <c r="J98" s="2" t="s">
        <v>52</v>
      </c>
    </row>
    <row r="99" ht="12.75" customHeight="1">
      <c r="A99" s="2" t="s">
        <v>0</v>
      </c>
      <c r="B99" s="2" t="s">
        <v>1</v>
      </c>
      <c r="D99" s="2" t="s">
        <v>2</v>
      </c>
      <c r="E99" s="2" t="s">
        <v>3</v>
      </c>
      <c r="F99" s="2" t="s">
        <v>879</v>
      </c>
      <c r="G99" s="2" t="s">
        <v>4</v>
      </c>
      <c r="J99" s="2" t="s">
        <v>7</v>
      </c>
    </row>
    <row r="100" ht="12.75" customHeight="1">
      <c r="A100" s="2">
        <f>$M$1</f>
        <v>2014</v>
      </c>
      <c r="B100" s="2">
        <v>2.0</v>
      </c>
      <c r="J100" s="2" t="s">
        <v>42</v>
      </c>
    </row>
    <row r="101" ht="12.75" customHeight="1">
      <c r="A101" s="2" t="s">
        <v>0</v>
      </c>
      <c r="B101" s="2" t="s">
        <v>1</v>
      </c>
      <c r="D101" s="2" t="s">
        <v>2</v>
      </c>
      <c r="E101" s="2" t="s">
        <v>3</v>
      </c>
      <c r="F101" s="2" t="s">
        <v>879</v>
      </c>
      <c r="G101" s="2" t="s">
        <v>4</v>
      </c>
      <c r="J101" s="2" t="s">
        <v>7</v>
      </c>
    </row>
    <row r="102" ht="12.75" customHeight="1">
      <c r="A102" s="2">
        <f>$M$1</f>
        <v>2014</v>
      </c>
      <c r="B102" s="2">
        <v>2.0</v>
      </c>
      <c r="J102" s="2" t="s">
        <v>133</v>
      </c>
    </row>
    <row r="103" ht="12.75" customHeight="1">
      <c r="A103" s="2" t="s">
        <v>0</v>
      </c>
      <c r="B103" s="2" t="s">
        <v>1</v>
      </c>
      <c r="D103" s="2" t="s">
        <v>2</v>
      </c>
      <c r="E103" s="2" t="s">
        <v>3</v>
      </c>
      <c r="F103" s="2" t="s">
        <v>879</v>
      </c>
      <c r="G103" s="2" t="s">
        <v>4</v>
      </c>
      <c r="J103" s="2" t="s">
        <v>7</v>
      </c>
    </row>
    <row r="104" ht="12.75" customHeight="1">
      <c r="A104" s="2">
        <f>$M$1</f>
        <v>2014</v>
      </c>
      <c r="B104" s="2">
        <v>2.0</v>
      </c>
      <c r="J104" s="2" t="s">
        <v>803</v>
      </c>
    </row>
    <row r="105" ht="12.75" customHeight="1">
      <c r="A105" s="2" t="s">
        <v>0</v>
      </c>
      <c r="B105" s="2" t="s">
        <v>1</v>
      </c>
      <c r="D105" s="2" t="s">
        <v>2</v>
      </c>
      <c r="E105" s="2" t="s">
        <v>3</v>
      </c>
      <c r="F105" s="2" t="s">
        <v>879</v>
      </c>
      <c r="G105" s="2" t="s">
        <v>4</v>
      </c>
      <c r="J105" s="2" t="s">
        <v>7</v>
      </c>
    </row>
    <row r="106" ht="12.75" customHeight="1">
      <c r="A106" s="2">
        <f>$M$1</f>
        <v>2014</v>
      </c>
      <c r="B106" s="2">
        <v>2.0</v>
      </c>
      <c r="J106" s="2" t="s">
        <v>164</v>
      </c>
    </row>
    <row r="107" ht="12.75" customHeight="1">
      <c r="A107" s="2" t="s">
        <v>0</v>
      </c>
      <c r="B107" s="2" t="s">
        <v>1</v>
      </c>
      <c r="D107" s="2" t="s">
        <v>2</v>
      </c>
      <c r="E107" s="2" t="s">
        <v>3</v>
      </c>
      <c r="F107" s="2" t="s">
        <v>879</v>
      </c>
      <c r="G107" s="2" t="s">
        <v>4</v>
      </c>
      <c r="J107" s="2" t="s">
        <v>7</v>
      </c>
    </row>
    <row r="108" ht="12.75" customHeight="1">
      <c r="A108" s="2">
        <f>$M$1</f>
        <v>2014</v>
      </c>
      <c r="B108" s="2">
        <v>2.0</v>
      </c>
      <c r="J108" s="2" t="s">
        <v>50</v>
      </c>
    </row>
    <row r="109" ht="12.75" customHeight="1">
      <c r="A109" s="2" t="s">
        <v>0</v>
      </c>
      <c r="B109" s="2" t="s">
        <v>1</v>
      </c>
      <c r="D109" s="2" t="s">
        <v>2</v>
      </c>
      <c r="E109" s="2" t="s">
        <v>3</v>
      </c>
      <c r="F109" s="2" t="s">
        <v>879</v>
      </c>
      <c r="G109" s="2" t="s">
        <v>4</v>
      </c>
      <c r="J109" s="2" t="s">
        <v>7</v>
      </c>
    </row>
    <row r="110" ht="12.75" customHeight="1">
      <c r="A110" s="2">
        <f>$M$1</f>
        <v>2014</v>
      </c>
      <c r="B110" s="2">
        <v>2.0</v>
      </c>
      <c r="J110" s="2" t="s">
        <v>304</v>
      </c>
    </row>
    <row r="111" ht="12.75" customHeight="1">
      <c r="A111" s="2" t="s">
        <v>0</v>
      </c>
      <c r="B111" s="2" t="s">
        <v>1</v>
      </c>
      <c r="D111" s="2" t="s">
        <v>2</v>
      </c>
      <c r="E111" s="2" t="s">
        <v>3</v>
      </c>
      <c r="F111" s="2" t="s">
        <v>879</v>
      </c>
      <c r="G111" s="2" t="s">
        <v>4</v>
      </c>
      <c r="J111" s="2" t="s">
        <v>7</v>
      </c>
    </row>
    <row r="112" ht="12.75" customHeight="1">
      <c r="A112" s="2">
        <f>$M$1</f>
        <v>2014</v>
      </c>
      <c r="B112" s="2">
        <v>2.0</v>
      </c>
      <c r="J112" s="2" t="s">
        <v>72</v>
      </c>
    </row>
    <row r="113" ht="12.75" customHeight="1">
      <c r="A113" s="2" t="s">
        <v>0</v>
      </c>
      <c r="B113" s="2" t="s">
        <v>1</v>
      </c>
      <c r="D113" s="2" t="s">
        <v>2</v>
      </c>
      <c r="E113" s="2" t="s">
        <v>3</v>
      </c>
      <c r="F113" s="2" t="s">
        <v>879</v>
      </c>
      <c r="G113" s="2" t="s">
        <v>4</v>
      </c>
      <c r="J113" s="2" t="s">
        <v>7</v>
      </c>
    </row>
    <row r="114" ht="12.75" customHeight="1">
      <c r="A114" s="2">
        <f>$M$1</f>
        <v>2014</v>
      </c>
      <c r="B114" s="2">
        <v>2.0</v>
      </c>
      <c r="J114" s="2" t="s">
        <v>13</v>
      </c>
    </row>
    <row r="115" ht="12.75" customHeight="1">
      <c r="A115" s="2" t="s">
        <v>0</v>
      </c>
      <c r="B115" s="2" t="s">
        <v>1</v>
      </c>
      <c r="D115" s="2" t="s">
        <v>2</v>
      </c>
      <c r="E115" s="2" t="s">
        <v>3</v>
      </c>
      <c r="F115" s="2" t="s">
        <v>879</v>
      </c>
      <c r="G115" s="2" t="s">
        <v>4</v>
      </c>
      <c r="J115" s="2" t="s">
        <v>7</v>
      </c>
    </row>
    <row r="116" ht="12.75" customHeight="1">
      <c r="A116" s="2">
        <f>$M$1</f>
        <v>2014</v>
      </c>
      <c r="B116" s="2">
        <v>2.0</v>
      </c>
      <c r="J116" s="2" t="s">
        <v>18</v>
      </c>
    </row>
    <row r="117" ht="12.75" customHeight="1">
      <c r="A117" s="2" t="s">
        <v>0</v>
      </c>
      <c r="B117" s="2" t="s">
        <v>1</v>
      </c>
      <c r="D117" s="2" t="s">
        <v>2</v>
      </c>
      <c r="E117" s="2" t="s">
        <v>3</v>
      </c>
      <c r="F117" s="2" t="s">
        <v>879</v>
      </c>
      <c r="G117" s="2" t="s">
        <v>4</v>
      </c>
      <c r="J117" s="2" t="s">
        <v>7</v>
      </c>
    </row>
    <row r="118" ht="12.75" customHeight="1">
      <c r="A118" s="2">
        <f>$M$1</f>
        <v>2014</v>
      </c>
      <c r="B118" s="2">
        <v>2.0</v>
      </c>
      <c r="J118" s="2" t="s">
        <v>153</v>
      </c>
    </row>
    <row r="119" ht="12.75" customHeight="1">
      <c r="A119" s="2" t="s">
        <v>0</v>
      </c>
      <c r="B119" s="2" t="s">
        <v>1</v>
      </c>
      <c r="D119" s="2" t="s">
        <v>2</v>
      </c>
      <c r="E119" s="2" t="s">
        <v>3</v>
      </c>
      <c r="F119" s="2" t="s">
        <v>879</v>
      </c>
      <c r="G119" s="2" t="s">
        <v>4</v>
      </c>
      <c r="J119" s="2" t="s">
        <v>7</v>
      </c>
    </row>
    <row r="120" ht="12.75" customHeight="1">
      <c r="A120" s="2">
        <f>$M$1</f>
        <v>2014</v>
      </c>
      <c r="B120" s="2">
        <v>2.0</v>
      </c>
      <c r="J120" s="2" t="s">
        <v>805</v>
      </c>
    </row>
    <row r="121" ht="12.75" customHeight="1">
      <c r="A121" s="2" t="s">
        <v>0</v>
      </c>
      <c r="B121" s="2" t="s">
        <v>1</v>
      </c>
      <c r="D121" s="2" t="s">
        <v>2</v>
      </c>
      <c r="E121" s="2" t="s">
        <v>3</v>
      </c>
      <c r="F121" s="2" t="s">
        <v>879</v>
      </c>
      <c r="G121" s="2" t="s">
        <v>4</v>
      </c>
      <c r="J121" s="2" t="s">
        <v>7</v>
      </c>
    </row>
    <row r="122" ht="12.75" customHeight="1">
      <c r="A122" s="2">
        <f>$M$1</f>
        <v>2014</v>
      </c>
      <c r="B122" s="2">
        <v>2.0</v>
      </c>
      <c r="J122" s="2" t="s">
        <v>31</v>
      </c>
    </row>
    <row r="123" ht="12.75" customHeight="1">
      <c r="A123" s="2" t="s">
        <v>0</v>
      </c>
      <c r="B123" s="2" t="s">
        <v>1</v>
      </c>
      <c r="D123" s="2" t="s">
        <v>2</v>
      </c>
      <c r="E123" s="2" t="s">
        <v>3</v>
      </c>
      <c r="F123" s="2" t="s">
        <v>879</v>
      </c>
      <c r="G123" s="2" t="s">
        <v>4</v>
      </c>
      <c r="J123" s="2" t="s">
        <v>7</v>
      </c>
    </row>
    <row r="124" ht="12.75" customHeight="1">
      <c r="A124" s="2">
        <f>$M$1</f>
        <v>2014</v>
      </c>
      <c r="B124" s="2">
        <v>2.0</v>
      </c>
      <c r="J124" s="2" t="s">
        <v>123</v>
      </c>
    </row>
    <row r="125" ht="12.75" customHeight="1">
      <c r="A125" s="2" t="s">
        <v>0</v>
      </c>
      <c r="B125" s="2" t="s">
        <v>1</v>
      </c>
      <c r="D125" s="2" t="s">
        <v>2</v>
      </c>
      <c r="E125" s="2" t="s">
        <v>3</v>
      </c>
      <c r="F125" s="2" t="s">
        <v>879</v>
      </c>
      <c r="G125" s="2" t="s">
        <v>4</v>
      </c>
      <c r="J125" s="2" t="s">
        <v>7</v>
      </c>
    </row>
    <row r="126" ht="12.75" customHeight="1">
      <c r="A126" s="2">
        <f>$M$1</f>
        <v>2014</v>
      </c>
      <c r="B126" s="2">
        <v>2.0</v>
      </c>
      <c r="J126" s="2" t="s">
        <v>35</v>
      </c>
    </row>
    <row r="127" ht="12.75" customHeight="1">
      <c r="A127" s="2" t="s">
        <v>0</v>
      </c>
      <c r="B127" s="2" t="s">
        <v>1</v>
      </c>
      <c r="D127" s="2" t="s">
        <v>2</v>
      </c>
      <c r="E127" s="2" t="s">
        <v>3</v>
      </c>
      <c r="F127" s="2" t="s">
        <v>879</v>
      </c>
      <c r="G127" s="2" t="s">
        <v>4</v>
      </c>
      <c r="J127" s="2" t="s">
        <v>7</v>
      </c>
    </row>
    <row r="128" ht="12.75" customHeight="1">
      <c r="A128" s="2">
        <f>$M$1</f>
        <v>2014</v>
      </c>
      <c r="B128" s="2">
        <v>2.0</v>
      </c>
      <c r="J128" s="2" t="s">
        <v>210</v>
      </c>
    </row>
    <row r="129" ht="12.75" customHeight="1">
      <c r="A129" s="2" t="s">
        <v>0</v>
      </c>
      <c r="B129" s="2" t="s">
        <v>1</v>
      </c>
      <c r="D129" s="2" t="s">
        <v>2</v>
      </c>
      <c r="E129" s="2" t="s">
        <v>3</v>
      </c>
      <c r="F129" s="2" t="s">
        <v>879</v>
      </c>
      <c r="G129" s="2" t="s">
        <v>4</v>
      </c>
      <c r="J129" s="2" t="s">
        <v>7</v>
      </c>
    </row>
    <row r="130" ht="12.75" customHeight="1">
      <c r="A130" s="2">
        <f>$M$1</f>
        <v>2014</v>
      </c>
      <c r="B130" s="2">
        <v>2.0</v>
      </c>
      <c r="J130" s="2" t="s">
        <v>808</v>
      </c>
    </row>
    <row r="131" ht="12.75" customHeight="1">
      <c r="A131" s="2" t="s">
        <v>0</v>
      </c>
      <c r="B131" s="2" t="s">
        <v>1</v>
      </c>
      <c r="D131" s="2" t="s">
        <v>2</v>
      </c>
      <c r="E131" s="2" t="s">
        <v>3</v>
      </c>
      <c r="F131" s="2" t="s">
        <v>879</v>
      </c>
      <c r="G131" s="2" t="s">
        <v>4</v>
      </c>
      <c r="J131" s="2" t="s">
        <v>7</v>
      </c>
    </row>
    <row r="132" ht="12.75" customHeight="1">
      <c r="A132" s="2">
        <f>$M$1</f>
        <v>2014</v>
      </c>
      <c r="B132" s="2">
        <v>2.0</v>
      </c>
      <c r="J132" s="2" t="s">
        <v>810</v>
      </c>
    </row>
    <row r="133" ht="12.75" customHeight="1">
      <c r="A133" s="2" t="s">
        <v>0</v>
      </c>
      <c r="B133" s="2" t="s">
        <v>1</v>
      </c>
      <c r="D133" s="2" t="s">
        <v>2</v>
      </c>
      <c r="E133" s="2" t="s">
        <v>3</v>
      </c>
      <c r="F133" s="2" t="s">
        <v>879</v>
      </c>
      <c r="G133" s="2" t="s">
        <v>4</v>
      </c>
      <c r="J133" s="2" t="s">
        <v>7</v>
      </c>
    </row>
    <row r="134" ht="12.75" customHeight="1">
      <c r="A134" s="2">
        <f>$M$1</f>
        <v>2014</v>
      </c>
      <c r="B134" s="2">
        <v>3.0</v>
      </c>
      <c r="J134" s="2" t="s">
        <v>10</v>
      </c>
    </row>
    <row r="135" ht="12.75" customHeight="1">
      <c r="A135" s="2" t="s">
        <v>0</v>
      </c>
      <c r="B135" s="2" t="s">
        <v>1</v>
      </c>
      <c r="D135" s="2" t="s">
        <v>2</v>
      </c>
      <c r="E135" s="2" t="s">
        <v>3</v>
      </c>
      <c r="F135" s="2" t="s">
        <v>879</v>
      </c>
      <c r="G135" s="2" t="s">
        <v>4</v>
      </c>
      <c r="J135" s="2" t="s">
        <v>7</v>
      </c>
    </row>
    <row r="136" ht="12.75" customHeight="1">
      <c r="A136" s="2">
        <f>$M$1</f>
        <v>2014</v>
      </c>
      <c r="B136" s="2">
        <v>3.0</v>
      </c>
      <c r="J136" s="2" t="s">
        <v>20</v>
      </c>
    </row>
    <row r="137" ht="12.75" customHeight="1">
      <c r="A137" s="2" t="s">
        <v>0</v>
      </c>
      <c r="B137" s="2" t="s">
        <v>1</v>
      </c>
      <c r="D137" s="2" t="s">
        <v>2</v>
      </c>
      <c r="E137" s="2" t="s">
        <v>3</v>
      </c>
      <c r="F137" s="2" t="s">
        <v>879</v>
      </c>
      <c r="G137" s="2" t="s">
        <v>4</v>
      </c>
      <c r="J137" s="2" t="s">
        <v>7</v>
      </c>
    </row>
    <row r="138" ht="12.75" customHeight="1">
      <c r="A138" s="2">
        <f>$M$1</f>
        <v>2014</v>
      </c>
      <c r="B138" s="2">
        <v>3.0</v>
      </c>
      <c r="J138" s="2" t="s">
        <v>17</v>
      </c>
    </row>
    <row r="139" ht="12.75" customHeight="1">
      <c r="A139" s="2" t="s">
        <v>0</v>
      </c>
      <c r="B139" s="2" t="s">
        <v>1</v>
      </c>
      <c r="D139" s="2" t="s">
        <v>2</v>
      </c>
      <c r="E139" s="2" t="s">
        <v>3</v>
      </c>
      <c r="F139" s="2" t="s">
        <v>879</v>
      </c>
      <c r="G139" s="2" t="s">
        <v>4</v>
      </c>
      <c r="J139" s="2" t="s">
        <v>7</v>
      </c>
    </row>
    <row r="140" ht="12.75" customHeight="1">
      <c r="A140" s="2">
        <f>$M$1</f>
        <v>2014</v>
      </c>
      <c r="B140" s="2">
        <v>3.0</v>
      </c>
      <c r="J140" s="2" t="s">
        <v>24</v>
      </c>
    </row>
    <row r="141" ht="12.75" customHeight="1">
      <c r="A141" s="2" t="s">
        <v>0</v>
      </c>
      <c r="B141" s="2" t="s">
        <v>1</v>
      </c>
      <c r="D141" s="2" t="s">
        <v>2</v>
      </c>
      <c r="E141" s="2" t="s">
        <v>3</v>
      </c>
      <c r="F141" s="2" t="s">
        <v>879</v>
      </c>
      <c r="G141" s="2" t="s">
        <v>4</v>
      </c>
      <c r="J141" s="2" t="s">
        <v>7</v>
      </c>
    </row>
    <row r="142" ht="12.75" customHeight="1">
      <c r="A142" s="2">
        <f>$M$1</f>
        <v>2014</v>
      </c>
      <c r="B142" s="2">
        <v>3.0</v>
      </c>
      <c r="J142" s="2" t="s">
        <v>651</v>
      </c>
    </row>
    <row r="143" ht="12.75" customHeight="1">
      <c r="A143" s="2" t="s">
        <v>0</v>
      </c>
      <c r="B143" s="2" t="s">
        <v>1</v>
      </c>
      <c r="D143" s="2" t="s">
        <v>2</v>
      </c>
      <c r="E143" s="2" t="s">
        <v>3</v>
      </c>
      <c r="F143" s="2" t="s">
        <v>879</v>
      </c>
      <c r="G143" s="2" t="s">
        <v>4</v>
      </c>
      <c r="J143" s="2" t="s">
        <v>7</v>
      </c>
    </row>
    <row r="144" ht="12.75" customHeight="1">
      <c r="A144" s="2">
        <f>$M$1</f>
        <v>2014</v>
      </c>
      <c r="B144" s="2">
        <v>3.0</v>
      </c>
      <c r="J144" s="2" t="s">
        <v>76</v>
      </c>
    </row>
    <row r="145" ht="12.75" customHeight="1">
      <c r="A145" s="2" t="s">
        <v>0</v>
      </c>
      <c r="B145" s="2" t="s">
        <v>1</v>
      </c>
      <c r="D145" s="2" t="s">
        <v>2</v>
      </c>
      <c r="E145" s="2" t="s">
        <v>3</v>
      </c>
      <c r="F145" s="2" t="s">
        <v>879</v>
      </c>
      <c r="G145" s="2" t="s">
        <v>4</v>
      </c>
      <c r="J145" s="2" t="s">
        <v>7</v>
      </c>
    </row>
    <row r="146" ht="12.75" customHeight="1">
      <c r="A146" s="2">
        <f>$M$1</f>
        <v>2014</v>
      </c>
      <c r="B146" s="2">
        <v>3.0</v>
      </c>
      <c r="J146" s="2" t="s">
        <v>26</v>
      </c>
    </row>
    <row r="147" ht="12.75" customHeight="1">
      <c r="A147" s="2" t="s">
        <v>0</v>
      </c>
      <c r="B147" s="2" t="s">
        <v>1</v>
      </c>
      <c r="D147" s="2" t="s">
        <v>2</v>
      </c>
      <c r="E147" s="2" t="s">
        <v>3</v>
      </c>
      <c r="F147" s="2" t="s">
        <v>879</v>
      </c>
      <c r="G147" s="2" t="s">
        <v>4</v>
      </c>
      <c r="J147" s="2" t="s">
        <v>7</v>
      </c>
    </row>
    <row r="148" ht="12.75" customHeight="1">
      <c r="A148" s="2">
        <f>$M$1</f>
        <v>2014</v>
      </c>
      <c r="B148" s="2">
        <v>3.0</v>
      </c>
      <c r="J148" s="2" t="s">
        <v>103</v>
      </c>
    </row>
    <row r="149" ht="12.75" customHeight="1">
      <c r="A149" s="2" t="s">
        <v>0</v>
      </c>
      <c r="B149" s="2" t="s">
        <v>1</v>
      </c>
      <c r="D149" s="2" t="s">
        <v>2</v>
      </c>
      <c r="E149" s="2" t="s">
        <v>3</v>
      </c>
      <c r="F149" s="2" t="s">
        <v>879</v>
      </c>
      <c r="G149" s="2" t="s">
        <v>4</v>
      </c>
      <c r="J149" s="2" t="s">
        <v>7</v>
      </c>
    </row>
    <row r="150" ht="12.75" customHeight="1">
      <c r="A150" s="2">
        <f>$M$1</f>
        <v>2014</v>
      </c>
      <c r="B150" s="2">
        <v>3.0</v>
      </c>
      <c r="J150" s="2" t="s">
        <v>22</v>
      </c>
    </row>
    <row r="151" ht="12.75" customHeight="1">
      <c r="A151" s="2" t="s">
        <v>0</v>
      </c>
      <c r="B151" s="2" t="s">
        <v>1</v>
      </c>
      <c r="D151" s="2" t="s">
        <v>2</v>
      </c>
      <c r="E151" s="2" t="s">
        <v>3</v>
      </c>
      <c r="F151" s="2" t="s">
        <v>879</v>
      </c>
      <c r="G151" s="2" t="s">
        <v>4</v>
      </c>
      <c r="J151" s="2" t="s">
        <v>7</v>
      </c>
    </row>
    <row r="152" ht="12.75" customHeight="1">
      <c r="A152" s="2">
        <f>$M$1</f>
        <v>2014</v>
      </c>
      <c r="B152" s="2">
        <v>3.0</v>
      </c>
      <c r="J152" s="2" t="s">
        <v>428</v>
      </c>
    </row>
    <row r="153" ht="12.75" customHeight="1">
      <c r="A153" s="2" t="s">
        <v>0</v>
      </c>
      <c r="B153" s="2" t="s">
        <v>1</v>
      </c>
      <c r="D153" s="2" t="s">
        <v>2</v>
      </c>
      <c r="E153" s="2" t="s">
        <v>3</v>
      </c>
      <c r="F153" s="2" t="s">
        <v>879</v>
      </c>
      <c r="G153" s="2" t="s">
        <v>4</v>
      </c>
      <c r="J153" s="2" t="s">
        <v>7</v>
      </c>
    </row>
    <row r="154" ht="12.75" customHeight="1">
      <c r="A154" s="2">
        <f>$M$1</f>
        <v>2014</v>
      </c>
      <c r="B154" s="2">
        <v>3.0</v>
      </c>
      <c r="J154" s="2" t="s">
        <v>800</v>
      </c>
    </row>
    <row r="155" ht="12.75" customHeight="1">
      <c r="A155" s="2" t="s">
        <v>0</v>
      </c>
      <c r="B155" s="2" t="s">
        <v>1</v>
      </c>
      <c r="D155" s="2" t="s">
        <v>2</v>
      </c>
      <c r="E155" s="2" t="s">
        <v>3</v>
      </c>
      <c r="F155" s="2" t="s">
        <v>879</v>
      </c>
      <c r="G155" s="2" t="s">
        <v>4</v>
      </c>
      <c r="J155" s="2" t="s">
        <v>7</v>
      </c>
    </row>
    <row r="156" ht="12.75" customHeight="1">
      <c r="A156" s="2">
        <f>$M$1</f>
        <v>2014</v>
      </c>
      <c r="B156" s="2">
        <v>3.0</v>
      </c>
      <c r="J156" s="2" t="s">
        <v>54</v>
      </c>
    </row>
    <row r="157" ht="12.75" customHeight="1">
      <c r="A157" s="2" t="s">
        <v>0</v>
      </c>
      <c r="B157" s="2" t="s">
        <v>1</v>
      </c>
      <c r="D157" s="2" t="s">
        <v>2</v>
      </c>
      <c r="E157" s="2" t="s">
        <v>3</v>
      </c>
      <c r="F157" s="2" t="s">
        <v>879</v>
      </c>
      <c r="G157" s="2" t="s">
        <v>4</v>
      </c>
      <c r="J157" s="2" t="s">
        <v>7</v>
      </c>
    </row>
    <row r="158" ht="12.75" customHeight="1">
      <c r="A158" s="2">
        <f>$M$1</f>
        <v>2014</v>
      </c>
      <c r="B158" s="2">
        <v>3.0</v>
      </c>
      <c r="J158" s="2" t="s">
        <v>801</v>
      </c>
    </row>
    <row r="159" ht="12.75" customHeight="1">
      <c r="A159" s="2" t="s">
        <v>0</v>
      </c>
      <c r="B159" s="2" t="s">
        <v>1</v>
      </c>
      <c r="D159" s="2" t="s">
        <v>2</v>
      </c>
      <c r="E159" s="2" t="s">
        <v>3</v>
      </c>
      <c r="F159" s="2" t="s">
        <v>879</v>
      </c>
      <c r="G159" s="2" t="s">
        <v>4</v>
      </c>
      <c r="J159" s="2" t="s">
        <v>7</v>
      </c>
    </row>
    <row r="160" ht="12.75" customHeight="1">
      <c r="A160" s="2">
        <f>$M$1</f>
        <v>2014</v>
      </c>
      <c r="B160" s="2">
        <v>3.0</v>
      </c>
      <c r="J160" s="2" t="s">
        <v>38</v>
      </c>
    </row>
    <row r="161" ht="12.75" customHeight="1">
      <c r="A161" s="2" t="s">
        <v>0</v>
      </c>
      <c r="B161" s="2" t="s">
        <v>1</v>
      </c>
      <c r="D161" s="2" t="s">
        <v>2</v>
      </c>
      <c r="E161" s="2" t="s">
        <v>3</v>
      </c>
      <c r="F161" s="2" t="s">
        <v>879</v>
      </c>
      <c r="G161" s="2" t="s">
        <v>4</v>
      </c>
      <c r="J161" s="2" t="s">
        <v>7</v>
      </c>
    </row>
    <row r="162" ht="12.75" customHeight="1">
      <c r="A162" s="2">
        <f>$M$1</f>
        <v>2014</v>
      </c>
      <c r="B162" s="2">
        <v>3.0</v>
      </c>
      <c r="J162" s="2" t="s">
        <v>47</v>
      </c>
    </row>
    <row r="163" ht="12.75" customHeight="1">
      <c r="A163" s="2" t="s">
        <v>0</v>
      </c>
      <c r="B163" s="2" t="s">
        <v>1</v>
      </c>
      <c r="D163" s="2" t="s">
        <v>2</v>
      </c>
      <c r="E163" s="2" t="s">
        <v>3</v>
      </c>
      <c r="F163" s="2" t="s">
        <v>879</v>
      </c>
      <c r="G163" s="2" t="s">
        <v>4</v>
      </c>
      <c r="J163" s="2" t="s">
        <v>7</v>
      </c>
    </row>
    <row r="164" ht="12.75" customHeight="1">
      <c r="A164" s="2">
        <f>$M$1</f>
        <v>2014</v>
      </c>
      <c r="B164" s="2">
        <v>3.0</v>
      </c>
      <c r="J164" s="2" t="s">
        <v>52</v>
      </c>
    </row>
    <row r="165" ht="12.75" customHeight="1">
      <c r="A165" s="2" t="s">
        <v>0</v>
      </c>
      <c r="B165" s="2" t="s">
        <v>1</v>
      </c>
      <c r="D165" s="2" t="s">
        <v>2</v>
      </c>
      <c r="E165" s="2" t="s">
        <v>3</v>
      </c>
      <c r="F165" s="2" t="s">
        <v>879</v>
      </c>
      <c r="G165" s="2" t="s">
        <v>4</v>
      </c>
      <c r="J165" s="2" t="s">
        <v>7</v>
      </c>
    </row>
    <row r="166" ht="12.75" customHeight="1">
      <c r="A166" s="2">
        <f>$M$1</f>
        <v>2014</v>
      </c>
      <c r="B166" s="2">
        <v>3.0</v>
      </c>
      <c r="J166" s="2" t="s">
        <v>42</v>
      </c>
    </row>
    <row r="167" ht="12.75" customHeight="1">
      <c r="A167" s="2" t="s">
        <v>0</v>
      </c>
      <c r="B167" s="2" t="s">
        <v>1</v>
      </c>
      <c r="D167" s="2" t="s">
        <v>2</v>
      </c>
      <c r="E167" s="2" t="s">
        <v>3</v>
      </c>
      <c r="F167" s="2" t="s">
        <v>879</v>
      </c>
      <c r="G167" s="2" t="s">
        <v>4</v>
      </c>
      <c r="J167" s="2" t="s">
        <v>7</v>
      </c>
    </row>
    <row r="168" ht="12.75" customHeight="1">
      <c r="A168" s="2">
        <f>$M$1</f>
        <v>2014</v>
      </c>
      <c r="B168" s="2">
        <v>3.0</v>
      </c>
      <c r="J168" s="2" t="s">
        <v>133</v>
      </c>
    </row>
    <row r="169" ht="12.75" customHeight="1">
      <c r="A169" s="2" t="s">
        <v>0</v>
      </c>
      <c r="B169" s="2" t="s">
        <v>1</v>
      </c>
      <c r="D169" s="2" t="s">
        <v>2</v>
      </c>
      <c r="E169" s="2" t="s">
        <v>3</v>
      </c>
      <c r="F169" s="2" t="s">
        <v>879</v>
      </c>
      <c r="G169" s="2" t="s">
        <v>4</v>
      </c>
      <c r="J169" s="2" t="s">
        <v>7</v>
      </c>
    </row>
    <row r="170" ht="12.75" customHeight="1">
      <c r="A170" s="2">
        <f>$M$1</f>
        <v>2014</v>
      </c>
      <c r="B170" s="2">
        <v>3.0</v>
      </c>
      <c r="J170" s="2" t="s">
        <v>803</v>
      </c>
    </row>
    <row r="171" ht="12.75" customHeight="1">
      <c r="A171" s="2" t="s">
        <v>0</v>
      </c>
      <c r="B171" s="2" t="s">
        <v>1</v>
      </c>
      <c r="D171" s="2" t="s">
        <v>2</v>
      </c>
      <c r="E171" s="2" t="s">
        <v>3</v>
      </c>
      <c r="F171" s="2" t="s">
        <v>879</v>
      </c>
      <c r="G171" s="2" t="s">
        <v>4</v>
      </c>
      <c r="J171" s="2" t="s">
        <v>7</v>
      </c>
    </row>
    <row r="172" ht="12.75" customHeight="1">
      <c r="A172" s="2">
        <f>$M$1</f>
        <v>2014</v>
      </c>
      <c r="B172" s="2">
        <v>3.0</v>
      </c>
      <c r="J172" s="2" t="s">
        <v>164</v>
      </c>
    </row>
    <row r="173" ht="12.75" customHeight="1">
      <c r="A173" s="2" t="s">
        <v>0</v>
      </c>
      <c r="B173" s="2" t="s">
        <v>1</v>
      </c>
      <c r="D173" s="2" t="s">
        <v>2</v>
      </c>
      <c r="E173" s="2" t="s">
        <v>3</v>
      </c>
      <c r="F173" s="2" t="s">
        <v>879</v>
      </c>
      <c r="G173" s="2" t="s">
        <v>4</v>
      </c>
      <c r="J173" s="2" t="s">
        <v>7</v>
      </c>
    </row>
    <row r="174" ht="12.75" customHeight="1">
      <c r="A174" s="2">
        <f>$M$1</f>
        <v>2014</v>
      </c>
      <c r="B174" s="2">
        <v>3.0</v>
      </c>
      <c r="J174" s="2" t="s">
        <v>50</v>
      </c>
    </row>
    <row r="175" ht="12.75" customHeight="1">
      <c r="A175" s="2" t="s">
        <v>0</v>
      </c>
      <c r="B175" s="2" t="s">
        <v>1</v>
      </c>
      <c r="D175" s="2" t="s">
        <v>2</v>
      </c>
      <c r="E175" s="2" t="s">
        <v>3</v>
      </c>
      <c r="F175" s="2" t="s">
        <v>879</v>
      </c>
      <c r="G175" s="2" t="s">
        <v>4</v>
      </c>
      <c r="J175" s="2" t="s">
        <v>7</v>
      </c>
    </row>
    <row r="176" ht="12.75" customHeight="1">
      <c r="A176" s="2">
        <f>$M$1</f>
        <v>2014</v>
      </c>
      <c r="B176" s="2">
        <v>3.0</v>
      </c>
      <c r="J176" s="2" t="s">
        <v>304</v>
      </c>
    </row>
    <row r="177" ht="12.75" customHeight="1">
      <c r="A177" s="2" t="s">
        <v>0</v>
      </c>
      <c r="B177" s="2" t="s">
        <v>1</v>
      </c>
      <c r="D177" s="2" t="s">
        <v>2</v>
      </c>
      <c r="E177" s="2" t="s">
        <v>3</v>
      </c>
      <c r="F177" s="2" t="s">
        <v>879</v>
      </c>
      <c r="G177" s="2" t="s">
        <v>4</v>
      </c>
      <c r="J177" s="2" t="s">
        <v>7</v>
      </c>
    </row>
    <row r="178" ht="12.75" customHeight="1">
      <c r="A178" s="2">
        <f>$M$1</f>
        <v>2014</v>
      </c>
      <c r="B178" s="2">
        <v>3.0</v>
      </c>
      <c r="J178" s="2" t="s">
        <v>72</v>
      </c>
    </row>
    <row r="179" ht="12.75" customHeight="1">
      <c r="A179" s="2" t="s">
        <v>0</v>
      </c>
      <c r="B179" s="2" t="s">
        <v>1</v>
      </c>
      <c r="D179" s="2" t="s">
        <v>2</v>
      </c>
      <c r="E179" s="2" t="s">
        <v>3</v>
      </c>
      <c r="F179" s="2" t="s">
        <v>879</v>
      </c>
      <c r="G179" s="2" t="s">
        <v>4</v>
      </c>
      <c r="J179" s="2" t="s">
        <v>7</v>
      </c>
    </row>
    <row r="180" ht="12.75" customHeight="1">
      <c r="A180" s="2">
        <f>$M$1</f>
        <v>2014</v>
      </c>
      <c r="B180" s="2">
        <v>3.0</v>
      </c>
      <c r="J180" s="2" t="s">
        <v>13</v>
      </c>
    </row>
    <row r="181" ht="12.75" customHeight="1">
      <c r="A181" s="2" t="s">
        <v>0</v>
      </c>
      <c r="B181" s="2" t="s">
        <v>1</v>
      </c>
      <c r="D181" s="2" t="s">
        <v>2</v>
      </c>
      <c r="E181" s="2" t="s">
        <v>3</v>
      </c>
      <c r="F181" s="2" t="s">
        <v>879</v>
      </c>
      <c r="G181" s="2" t="s">
        <v>4</v>
      </c>
      <c r="J181" s="2" t="s">
        <v>7</v>
      </c>
    </row>
    <row r="182" ht="12.75" customHeight="1">
      <c r="A182" s="2">
        <f>$M$1</f>
        <v>2014</v>
      </c>
      <c r="B182" s="2">
        <v>3.0</v>
      </c>
      <c r="J182" s="2" t="s">
        <v>18</v>
      </c>
    </row>
    <row r="183" ht="12.75" customHeight="1">
      <c r="A183" s="2" t="s">
        <v>0</v>
      </c>
      <c r="B183" s="2" t="s">
        <v>1</v>
      </c>
      <c r="D183" s="2" t="s">
        <v>2</v>
      </c>
      <c r="E183" s="2" t="s">
        <v>3</v>
      </c>
      <c r="F183" s="2" t="s">
        <v>879</v>
      </c>
      <c r="G183" s="2" t="s">
        <v>4</v>
      </c>
      <c r="J183" s="2" t="s">
        <v>7</v>
      </c>
    </row>
    <row r="184" ht="12.75" customHeight="1">
      <c r="A184" s="2">
        <f>$M$1</f>
        <v>2014</v>
      </c>
      <c r="B184" s="2">
        <v>3.0</v>
      </c>
      <c r="J184" s="2" t="s">
        <v>153</v>
      </c>
    </row>
    <row r="185" ht="12.75" customHeight="1">
      <c r="A185" s="2" t="s">
        <v>0</v>
      </c>
      <c r="B185" s="2" t="s">
        <v>1</v>
      </c>
      <c r="D185" s="2" t="s">
        <v>2</v>
      </c>
      <c r="E185" s="2" t="s">
        <v>3</v>
      </c>
      <c r="F185" s="2" t="s">
        <v>879</v>
      </c>
      <c r="G185" s="2" t="s">
        <v>4</v>
      </c>
      <c r="J185" s="2" t="s">
        <v>7</v>
      </c>
    </row>
    <row r="186" ht="12.75" customHeight="1">
      <c r="A186" s="2">
        <f>$M$1</f>
        <v>2014</v>
      </c>
      <c r="B186" s="2">
        <v>3.0</v>
      </c>
      <c r="J186" s="2" t="s">
        <v>805</v>
      </c>
    </row>
    <row r="187" ht="12.75" customHeight="1">
      <c r="A187" s="2" t="s">
        <v>0</v>
      </c>
      <c r="B187" s="2" t="s">
        <v>1</v>
      </c>
      <c r="D187" s="2" t="s">
        <v>2</v>
      </c>
      <c r="E187" s="2" t="s">
        <v>3</v>
      </c>
      <c r="F187" s="2" t="s">
        <v>879</v>
      </c>
      <c r="G187" s="2" t="s">
        <v>4</v>
      </c>
      <c r="J187" s="2" t="s">
        <v>7</v>
      </c>
    </row>
    <row r="188" ht="12.75" customHeight="1">
      <c r="A188" s="2">
        <f>$M$1</f>
        <v>2014</v>
      </c>
      <c r="B188" s="2">
        <v>3.0</v>
      </c>
      <c r="J188" s="2" t="s">
        <v>31</v>
      </c>
    </row>
    <row r="189" ht="12.75" customHeight="1">
      <c r="A189" s="2" t="s">
        <v>0</v>
      </c>
      <c r="B189" s="2" t="s">
        <v>1</v>
      </c>
      <c r="D189" s="2" t="s">
        <v>2</v>
      </c>
      <c r="E189" s="2" t="s">
        <v>3</v>
      </c>
      <c r="F189" s="2" t="s">
        <v>879</v>
      </c>
      <c r="G189" s="2" t="s">
        <v>4</v>
      </c>
      <c r="J189" s="2" t="s">
        <v>7</v>
      </c>
    </row>
    <row r="190" ht="12.75" customHeight="1">
      <c r="A190" s="2">
        <f>$M$1</f>
        <v>2014</v>
      </c>
      <c r="B190" s="2">
        <v>3.0</v>
      </c>
      <c r="J190" s="2" t="s">
        <v>123</v>
      </c>
    </row>
    <row r="191" ht="12.75" customHeight="1">
      <c r="A191" s="2" t="s">
        <v>0</v>
      </c>
      <c r="B191" s="2" t="s">
        <v>1</v>
      </c>
      <c r="D191" s="2" t="s">
        <v>2</v>
      </c>
      <c r="E191" s="2" t="s">
        <v>3</v>
      </c>
      <c r="F191" s="2" t="s">
        <v>879</v>
      </c>
      <c r="G191" s="2" t="s">
        <v>4</v>
      </c>
      <c r="J191" s="2" t="s">
        <v>7</v>
      </c>
    </row>
    <row r="192" ht="12.75" customHeight="1">
      <c r="A192" s="2">
        <f>$M$1</f>
        <v>2014</v>
      </c>
      <c r="B192" s="2">
        <v>3.0</v>
      </c>
      <c r="J192" s="2" t="s">
        <v>35</v>
      </c>
    </row>
    <row r="193" ht="12.75" customHeight="1">
      <c r="A193" s="2" t="s">
        <v>0</v>
      </c>
      <c r="B193" s="2" t="s">
        <v>1</v>
      </c>
      <c r="D193" s="2" t="s">
        <v>2</v>
      </c>
      <c r="E193" s="2" t="s">
        <v>3</v>
      </c>
      <c r="F193" s="2" t="s">
        <v>879</v>
      </c>
      <c r="G193" s="2" t="s">
        <v>4</v>
      </c>
      <c r="J193" s="2" t="s">
        <v>7</v>
      </c>
    </row>
    <row r="194" ht="12.75" customHeight="1">
      <c r="A194" s="2">
        <f>$M$1</f>
        <v>2014</v>
      </c>
      <c r="B194" s="2">
        <v>3.0</v>
      </c>
      <c r="J194" s="2" t="s">
        <v>210</v>
      </c>
    </row>
    <row r="195" ht="12.75" customHeight="1">
      <c r="A195" s="2" t="s">
        <v>0</v>
      </c>
      <c r="B195" s="2" t="s">
        <v>1</v>
      </c>
      <c r="D195" s="2" t="s">
        <v>2</v>
      </c>
      <c r="E195" s="2" t="s">
        <v>3</v>
      </c>
      <c r="F195" s="2" t="s">
        <v>879</v>
      </c>
      <c r="G195" s="2" t="s">
        <v>4</v>
      </c>
      <c r="J195" s="2" t="s">
        <v>7</v>
      </c>
    </row>
    <row r="196" ht="12.75" customHeight="1">
      <c r="A196" s="2">
        <f>$M$1</f>
        <v>2014</v>
      </c>
      <c r="B196" s="2">
        <v>3.0</v>
      </c>
      <c r="J196" s="2" t="s">
        <v>808</v>
      </c>
    </row>
    <row r="197" ht="12.75" customHeight="1">
      <c r="A197" s="2" t="s">
        <v>0</v>
      </c>
      <c r="B197" s="2" t="s">
        <v>1</v>
      </c>
      <c r="D197" s="2" t="s">
        <v>2</v>
      </c>
      <c r="E197" s="2" t="s">
        <v>3</v>
      </c>
      <c r="F197" s="2" t="s">
        <v>879</v>
      </c>
      <c r="G197" s="2" t="s">
        <v>4</v>
      </c>
      <c r="J197" s="2" t="s">
        <v>7</v>
      </c>
    </row>
    <row r="198" ht="12.75" customHeight="1">
      <c r="A198" s="2">
        <f>$M$1</f>
        <v>2014</v>
      </c>
      <c r="B198" s="2">
        <v>3.0</v>
      </c>
      <c r="J198" s="2" t="s">
        <v>810</v>
      </c>
    </row>
    <row r="199" ht="12.75" customHeight="1">
      <c r="A199" s="2" t="s">
        <v>0</v>
      </c>
      <c r="B199" s="2" t="s">
        <v>1</v>
      </c>
      <c r="D199" s="2" t="s">
        <v>2</v>
      </c>
      <c r="E199" s="2" t="s">
        <v>3</v>
      </c>
      <c r="F199" s="2" t="s">
        <v>879</v>
      </c>
      <c r="G199" s="2" t="s">
        <v>4</v>
      </c>
      <c r="J199" s="2" t="s">
        <v>7</v>
      </c>
    </row>
    <row r="200" ht="12.75" customHeight="1">
      <c r="A200" s="2">
        <f>$M$1</f>
        <v>2014</v>
      </c>
      <c r="B200" s="2">
        <v>4.0</v>
      </c>
      <c r="J200" s="2" t="s">
        <v>10</v>
      </c>
    </row>
    <row r="201" ht="12.75" customHeight="1">
      <c r="A201" s="2" t="s">
        <v>0</v>
      </c>
      <c r="B201" s="2" t="s">
        <v>1</v>
      </c>
      <c r="D201" s="2" t="s">
        <v>2</v>
      </c>
      <c r="E201" s="2" t="s">
        <v>3</v>
      </c>
      <c r="F201" s="2" t="s">
        <v>879</v>
      </c>
      <c r="G201" s="2" t="s">
        <v>4</v>
      </c>
      <c r="J201" s="2" t="s">
        <v>7</v>
      </c>
    </row>
    <row r="202" ht="12.75" customHeight="1">
      <c r="A202" s="2">
        <f>$M$1</f>
        <v>2014</v>
      </c>
      <c r="B202" s="2">
        <v>4.0</v>
      </c>
      <c r="J202" s="2" t="s">
        <v>20</v>
      </c>
    </row>
    <row r="203" ht="12.75" customHeight="1">
      <c r="A203" s="2" t="s">
        <v>0</v>
      </c>
      <c r="B203" s="2" t="s">
        <v>1</v>
      </c>
      <c r="D203" s="2" t="s">
        <v>2</v>
      </c>
      <c r="E203" s="2" t="s">
        <v>3</v>
      </c>
      <c r="F203" s="2" t="s">
        <v>879</v>
      </c>
      <c r="G203" s="2" t="s">
        <v>4</v>
      </c>
      <c r="J203" s="2" t="s">
        <v>7</v>
      </c>
    </row>
    <row r="204" ht="12.75" customHeight="1">
      <c r="A204" s="2">
        <f>$M$1</f>
        <v>2014</v>
      </c>
      <c r="B204" s="2">
        <v>4.0</v>
      </c>
      <c r="J204" s="2" t="s">
        <v>17</v>
      </c>
    </row>
    <row r="205" ht="12.75" customHeight="1">
      <c r="A205" s="2" t="s">
        <v>0</v>
      </c>
      <c r="B205" s="2" t="s">
        <v>1</v>
      </c>
      <c r="D205" s="2" t="s">
        <v>2</v>
      </c>
      <c r="E205" s="2" t="s">
        <v>3</v>
      </c>
      <c r="F205" s="2" t="s">
        <v>879</v>
      </c>
      <c r="G205" s="2" t="s">
        <v>4</v>
      </c>
      <c r="J205" s="2" t="s">
        <v>7</v>
      </c>
    </row>
    <row r="206" ht="12.75" customHeight="1">
      <c r="A206" s="2">
        <f>$M$1</f>
        <v>2014</v>
      </c>
      <c r="B206" s="2">
        <v>4.0</v>
      </c>
      <c r="J206" s="2" t="s">
        <v>24</v>
      </c>
    </row>
    <row r="207" ht="12.75" customHeight="1">
      <c r="A207" s="2" t="s">
        <v>0</v>
      </c>
      <c r="B207" s="2" t="s">
        <v>1</v>
      </c>
      <c r="D207" s="2" t="s">
        <v>2</v>
      </c>
      <c r="E207" s="2" t="s">
        <v>3</v>
      </c>
      <c r="F207" s="2" t="s">
        <v>879</v>
      </c>
      <c r="G207" s="2" t="s">
        <v>4</v>
      </c>
      <c r="J207" s="2" t="s">
        <v>7</v>
      </c>
    </row>
    <row r="208" ht="12.75" customHeight="1">
      <c r="A208" s="2">
        <f>$M$1</f>
        <v>2014</v>
      </c>
      <c r="B208" s="2">
        <v>4.0</v>
      </c>
      <c r="J208" s="2" t="s">
        <v>651</v>
      </c>
    </row>
    <row r="209" ht="12.75" customHeight="1">
      <c r="A209" s="2" t="s">
        <v>0</v>
      </c>
      <c r="B209" s="2" t="s">
        <v>1</v>
      </c>
      <c r="D209" s="2" t="s">
        <v>2</v>
      </c>
      <c r="E209" s="2" t="s">
        <v>3</v>
      </c>
      <c r="F209" s="2" t="s">
        <v>879</v>
      </c>
      <c r="G209" s="2" t="s">
        <v>4</v>
      </c>
      <c r="J209" s="2" t="s">
        <v>7</v>
      </c>
    </row>
    <row r="210" ht="12.75" customHeight="1">
      <c r="A210" s="2">
        <f>$M$1</f>
        <v>2014</v>
      </c>
      <c r="B210" s="2">
        <v>4.0</v>
      </c>
      <c r="J210" s="2" t="s">
        <v>76</v>
      </c>
    </row>
    <row r="211" ht="12.75" customHeight="1">
      <c r="A211" s="2" t="s">
        <v>0</v>
      </c>
      <c r="B211" s="2" t="s">
        <v>1</v>
      </c>
      <c r="D211" s="2" t="s">
        <v>2</v>
      </c>
      <c r="E211" s="2" t="s">
        <v>3</v>
      </c>
      <c r="F211" s="2" t="s">
        <v>879</v>
      </c>
      <c r="G211" s="2" t="s">
        <v>4</v>
      </c>
      <c r="J211" s="2" t="s">
        <v>7</v>
      </c>
    </row>
    <row r="212" ht="12.75" customHeight="1">
      <c r="A212" s="2">
        <f>$M$1</f>
        <v>2014</v>
      </c>
      <c r="B212" s="2">
        <v>4.0</v>
      </c>
      <c r="J212" s="2" t="s">
        <v>26</v>
      </c>
    </row>
    <row r="213" ht="12.75" customHeight="1">
      <c r="A213" s="2" t="s">
        <v>0</v>
      </c>
      <c r="B213" s="2" t="s">
        <v>1</v>
      </c>
      <c r="D213" s="2" t="s">
        <v>2</v>
      </c>
      <c r="E213" s="2" t="s">
        <v>3</v>
      </c>
      <c r="F213" s="2" t="s">
        <v>879</v>
      </c>
      <c r="G213" s="2" t="s">
        <v>4</v>
      </c>
      <c r="J213" s="2" t="s">
        <v>7</v>
      </c>
    </row>
    <row r="214" ht="12.75" customHeight="1">
      <c r="A214" s="2">
        <f>$M$1</f>
        <v>2014</v>
      </c>
      <c r="B214" s="2">
        <v>4.0</v>
      </c>
      <c r="J214" s="2" t="s">
        <v>103</v>
      </c>
    </row>
    <row r="215" ht="12.75" customHeight="1">
      <c r="A215" s="2" t="s">
        <v>0</v>
      </c>
      <c r="B215" s="2" t="s">
        <v>1</v>
      </c>
      <c r="D215" s="2" t="s">
        <v>2</v>
      </c>
      <c r="E215" s="2" t="s">
        <v>3</v>
      </c>
      <c r="F215" s="2" t="s">
        <v>879</v>
      </c>
      <c r="G215" s="2" t="s">
        <v>4</v>
      </c>
      <c r="J215" s="2" t="s">
        <v>7</v>
      </c>
    </row>
    <row r="216" ht="12.75" customHeight="1">
      <c r="A216" s="2">
        <f>$M$1</f>
        <v>2014</v>
      </c>
      <c r="B216" s="2">
        <v>4.0</v>
      </c>
      <c r="J216" s="2" t="s">
        <v>22</v>
      </c>
    </row>
    <row r="217" ht="12.75" customHeight="1">
      <c r="A217" s="2" t="s">
        <v>0</v>
      </c>
      <c r="B217" s="2" t="s">
        <v>1</v>
      </c>
      <c r="D217" s="2" t="s">
        <v>2</v>
      </c>
      <c r="E217" s="2" t="s">
        <v>3</v>
      </c>
      <c r="F217" s="2" t="s">
        <v>879</v>
      </c>
      <c r="G217" s="2" t="s">
        <v>4</v>
      </c>
      <c r="J217" s="2" t="s">
        <v>7</v>
      </c>
    </row>
    <row r="218" ht="12.75" customHeight="1">
      <c r="A218" s="2">
        <f>$M$1</f>
        <v>2014</v>
      </c>
      <c r="B218" s="2">
        <v>4.0</v>
      </c>
      <c r="J218" s="2" t="s">
        <v>428</v>
      </c>
    </row>
    <row r="219" ht="12.75" customHeight="1">
      <c r="A219" s="2" t="s">
        <v>0</v>
      </c>
      <c r="B219" s="2" t="s">
        <v>1</v>
      </c>
      <c r="D219" s="2" t="s">
        <v>2</v>
      </c>
      <c r="E219" s="2" t="s">
        <v>3</v>
      </c>
      <c r="F219" s="2" t="s">
        <v>879</v>
      </c>
      <c r="G219" s="2" t="s">
        <v>4</v>
      </c>
      <c r="J219" s="2" t="s">
        <v>7</v>
      </c>
    </row>
    <row r="220" ht="12.75" customHeight="1">
      <c r="A220" s="2">
        <f>$M$1</f>
        <v>2014</v>
      </c>
      <c r="B220" s="2">
        <v>4.0</v>
      </c>
      <c r="J220" s="2" t="s">
        <v>800</v>
      </c>
    </row>
    <row r="221" ht="12.75" customHeight="1">
      <c r="A221" s="2" t="s">
        <v>0</v>
      </c>
      <c r="B221" s="2" t="s">
        <v>1</v>
      </c>
      <c r="D221" s="2" t="s">
        <v>2</v>
      </c>
      <c r="E221" s="2" t="s">
        <v>3</v>
      </c>
      <c r="F221" s="2" t="s">
        <v>879</v>
      </c>
      <c r="G221" s="2" t="s">
        <v>4</v>
      </c>
      <c r="J221" s="2" t="s">
        <v>7</v>
      </c>
    </row>
    <row r="222" ht="12.75" customHeight="1">
      <c r="A222" s="2">
        <f>$M$1</f>
        <v>2014</v>
      </c>
      <c r="B222" s="2">
        <v>4.0</v>
      </c>
      <c r="J222" s="2" t="s">
        <v>54</v>
      </c>
    </row>
    <row r="223" ht="12.75" customHeight="1">
      <c r="A223" s="2" t="s">
        <v>0</v>
      </c>
      <c r="B223" s="2" t="s">
        <v>1</v>
      </c>
      <c r="D223" s="2" t="s">
        <v>2</v>
      </c>
      <c r="E223" s="2" t="s">
        <v>3</v>
      </c>
      <c r="F223" s="2" t="s">
        <v>879</v>
      </c>
      <c r="G223" s="2" t="s">
        <v>4</v>
      </c>
      <c r="J223" s="2" t="s">
        <v>7</v>
      </c>
    </row>
    <row r="224" ht="12.75" customHeight="1">
      <c r="A224" s="2">
        <f>$M$1</f>
        <v>2014</v>
      </c>
      <c r="B224" s="2">
        <v>4.0</v>
      </c>
      <c r="J224" s="2" t="s">
        <v>801</v>
      </c>
    </row>
    <row r="225" ht="12.75" customHeight="1">
      <c r="A225" s="2" t="s">
        <v>0</v>
      </c>
      <c r="B225" s="2" t="s">
        <v>1</v>
      </c>
      <c r="D225" s="2" t="s">
        <v>2</v>
      </c>
      <c r="E225" s="2" t="s">
        <v>3</v>
      </c>
      <c r="F225" s="2" t="s">
        <v>879</v>
      </c>
      <c r="G225" s="2" t="s">
        <v>4</v>
      </c>
      <c r="J225" s="2" t="s">
        <v>7</v>
      </c>
    </row>
    <row r="226" ht="12.75" customHeight="1">
      <c r="A226" s="2">
        <f>$M$1</f>
        <v>2014</v>
      </c>
      <c r="B226" s="2">
        <v>4.0</v>
      </c>
      <c r="J226" s="2" t="s">
        <v>38</v>
      </c>
    </row>
    <row r="227" ht="12.75" customHeight="1">
      <c r="A227" s="2" t="s">
        <v>0</v>
      </c>
      <c r="B227" s="2" t="s">
        <v>1</v>
      </c>
      <c r="D227" s="2" t="s">
        <v>2</v>
      </c>
      <c r="E227" s="2" t="s">
        <v>3</v>
      </c>
      <c r="F227" s="2" t="s">
        <v>879</v>
      </c>
      <c r="G227" s="2" t="s">
        <v>4</v>
      </c>
      <c r="J227" s="2" t="s">
        <v>7</v>
      </c>
    </row>
    <row r="228" ht="12.75" customHeight="1">
      <c r="A228" s="2">
        <f>$M$1</f>
        <v>2014</v>
      </c>
      <c r="B228" s="2">
        <v>4.0</v>
      </c>
      <c r="J228" s="2" t="s">
        <v>47</v>
      </c>
    </row>
    <row r="229" ht="12.75" customHeight="1">
      <c r="A229" s="2" t="s">
        <v>0</v>
      </c>
      <c r="B229" s="2" t="s">
        <v>1</v>
      </c>
      <c r="D229" s="2" t="s">
        <v>2</v>
      </c>
      <c r="E229" s="2" t="s">
        <v>3</v>
      </c>
      <c r="F229" s="2" t="s">
        <v>879</v>
      </c>
      <c r="G229" s="2" t="s">
        <v>4</v>
      </c>
      <c r="J229" s="2" t="s">
        <v>7</v>
      </c>
    </row>
    <row r="230" ht="12.75" customHeight="1">
      <c r="A230" s="2">
        <f>$M$1</f>
        <v>2014</v>
      </c>
      <c r="B230" s="2">
        <v>4.0</v>
      </c>
      <c r="J230" s="2" t="s">
        <v>52</v>
      </c>
    </row>
    <row r="231" ht="12.75" customHeight="1">
      <c r="A231" s="2" t="s">
        <v>0</v>
      </c>
      <c r="B231" s="2" t="s">
        <v>1</v>
      </c>
      <c r="D231" s="2" t="s">
        <v>2</v>
      </c>
      <c r="E231" s="2" t="s">
        <v>3</v>
      </c>
      <c r="F231" s="2" t="s">
        <v>879</v>
      </c>
      <c r="G231" s="2" t="s">
        <v>4</v>
      </c>
      <c r="J231" s="2" t="s">
        <v>7</v>
      </c>
    </row>
    <row r="232" ht="12.75" customHeight="1">
      <c r="A232" s="2">
        <f>$M$1</f>
        <v>2014</v>
      </c>
      <c r="B232" s="2">
        <v>4.0</v>
      </c>
      <c r="J232" s="2" t="s">
        <v>42</v>
      </c>
    </row>
    <row r="233" ht="12.75" customHeight="1">
      <c r="A233" s="2" t="s">
        <v>0</v>
      </c>
      <c r="B233" s="2" t="s">
        <v>1</v>
      </c>
      <c r="D233" s="2" t="s">
        <v>2</v>
      </c>
      <c r="E233" s="2" t="s">
        <v>3</v>
      </c>
      <c r="F233" s="2" t="s">
        <v>879</v>
      </c>
      <c r="G233" s="2" t="s">
        <v>4</v>
      </c>
      <c r="J233" s="2" t="s">
        <v>7</v>
      </c>
    </row>
    <row r="234" ht="12.75" customHeight="1">
      <c r="A234" s="2">
        <f>$M$1</f>
        <v>2014</v>
      </c>
      <c r="B234" s="2">
        <v>4.0</v>
      </c>
      <c r="J234" s="2" t="s">
        <v>133</v>
      </c>
    </row>
    <row r="235" ht="12.75" customHeight="1">
      <c r="A235" s="2" t="s">
        <v>0</v>
      </c>
      <c r="B235" s="2" t="s">
        <v>1</v>
      </c>
      <c r="D235" s="2" t="s">
        <v>2</v>
      </c>
      <c r="E235" s="2" t="s">
        <v>3</v>
      </c>
      <c r="F235" s="2" t="s">
        <v>879</v>
      </c>
      <c r="G235" s="2" t="s">
        <v>4</v>
      </c>
      <c r="J235" s="2" t="s">
        <v>7</v>
      </c>
    </row>
    <row r="236" ht="12.75" customHeight="1">
      <c r="A236" s="2">
        <f>$M$1</f>
        <v>2014</v>
      </c>
      <c r="B236" s="2">
        <v>4.0</v>
      </c>
      <c r="J236" s="2" t="s">
        <v>803</v>
      </c>
    </row>
    <row r="237" ht="12.75" customHeight="1">
      <c r="A237" s="2" t="s">
        <v>0</v>
      </c>
      <c r="B237" s="2" t="s">
        <v>1</v>
      </c>
      <c r="D237" s="2" t="s">
        <v>2</v>
      </c>
      <c r="E237" s="2" t="s">
        <v>3</v>
      </c>
      <c r="F237" s="2" t="s">
        <v>879</v>
      </c>
      <c r="G237" s="2" t="s">
        <v>4</v>
      </c>
      <c r="J237" s="2" t="s">
        <v>7</v>
      </c>
    </row>
    <row r="238" ht="12.75" customHeight="1">
      <c r="A238" s="2">
        <f>$M$1</f>
        <v>2014</v>
      </c>
      <c r="B238" s="2">
        <v>4.0</v>
      </c>
      <c r="J238" s="2" t="s">
        <v>164</v>
      </c>
    </row>
    <row r="239" ht="12.75" customHeight="1">
      <c r="A239" s="2" t="s">
        <v>0</v>
      </c>
      <c r="B239" s="2" t="s">
        <v>1</v>
      </c>
      <c r="D239" s="2" t="s">
        <v>2</v>
      </c>
      <c r="E239" s="2" t="s">
        <v>3</v>
      </c>
      <c r="F239" s="2" t="s">
        <v>879</v>
      </c>
      <c r="G239" s="2" t="s">
        <v>4</v>
      </c>
      <c r="J239" s="2" t="s">
        <v>7</v>
      </c>
    </row>
    <row r="240" ht="12.75" customHeight="1">
      <c r="A240" s="2">
        <f>$M$1</f>
        <v>2014</v>
      </c>
      <c r="B240" s="2">
        <v>4.0</v>
      </c>
      <c r="J240" s="2" t="s">
        <v>50</v>
      </c>
    </row>
    <row r="241" ht="12.75" customHeight="1">
      <c r="A241" s="2" t="s">
        <v>0</v>
      </c>
      <c r="B241" s="2" t="s">
        <v>1</v>
      </c>
      <c r="D241" s="2" t="s">
        <v>2</v>
      </c>
      <c r="E241" s="2" t="s">
        <v>3</v>
      </c>
      <c r="F241" s="2" t="s">
        <v>879</v>
      </c>
      <c r="G241" s="2" t="s">
        <v>4</v>
      </c>
      <c r="J241" s="2" t="s">
        <v>7</v>
      </c>
    </row>
    <row r="242" ht="12.75" customHeight="1">
      <c r="A242" s="2">
        <f>$M$1</f>
        <v>2014</v>
      </c>
      <c r="B242" s="2">
        <v>4.0</v>
      </c>
      <c r="J242" s="2" t="s">
        <v>304</v>
      </c>
    </row>
    <row r="243" ht="12.75" customHeight="1">
      <c r="A243" s="2" t="s">
        <v>0</v>
      </c>
      <c r="B243" s="2" t="s">
        <v>1</v>
      </c>
      <c r="D243" s="2" t="s">
        <v>2</v>
      </c>
      <c r="E243" s="2" t="s">
        <v>3</v>
      </c>
      <c r="F243" s="2" t="s">
        <v>879</v>
      </c>
      <c r="G243" s="2" t="s">
        <v>4</v>
      </c>
      <c r="J243" s="2" t="s">
        <v>7</v>
      </c>
    </row>
    <row r="244" ht="12.75" customHeight="1">
      <c r="A244" s="2">
        <f>$M$1</f>
        <v>2014</v>
      </c>
      <c r="B244" s="2">
        <v>4.0</v>
      </c>
      <c r="J244" s="2" t="s">
        <v>72</v>
      </c>
    </row>
    <row r="245" ht="12.75" customHeight="1">
      <c r="A245" s="2" t="s">
        <v>0</v>
      </c>
      <c r="B245" s="2" t="s">
        <v>1</v>
      </c>
      <c r="D245" s="2" t="s">
        <v>2</v>
      </c>
      <c r="E245" s="2" t="s">
        <v>3</v>
      </c>
      <c r="F245" s="2" t="s">
        <v>879</v>
      </c>
      <c r="G245" s="2" t="s">
        <v>4</v>
      </c>
      <c r="J245" s="2" t="s">
        <v>7</v>
      </c>
    </row>
    <row r="246" ht="12.75" customHeight="1">
      <c r="A246" s="2">
        <f>$M$1</f>
        <v>2014</v>
      </c>
      <c r="B246" s="2">
        <v>4.0</v>
      </c>
      <c r="J246" s="2" t="s">
        <v>13</v>
      </c>
    </row>
    <row r="247" ht="12.75" customHeight="1">
      <c r="A247" s="2" t="s">
        <v>0</v>
      </c>
      <c r="B247" s="2" t="s">
        <v>1</v>
      </c>
      <c r="D247" s="2" t="s">
        <v>2</v>
      </c>
      <c r="E247" s="2" t="s">
        <v>3</v>
      </c>
      <c r="F247" s="2" t="s">
        <v>879</v>
      </c>
      <c r="G247" s="2" t="s">
        <v>4</v>
      </c>
      <c r="J247" s="2" t="s">
        <v>7</v>
      </c>
    </row>
    <row r="248" ht="12.75" customHeight="1">
      <c r="A248" s="2">
        <f>$M$1</f>
        <v>2014</v>
      </c>
      <c r="B248" s="2">
        <v>4.0</v>
      </c>
      <c r="J248" s="2" t="s">
        <v>18</v>
      </c>
    </row>
    <row r="249" ht="12.75" customHeight="1">
      <c r="A249" s="2" t="s">
        <v>0</v>
      </c>
      <c r="B249" s="2" t="s">
        <v>1</v>
      </c>
      <c r="D249" s="2" t="s">
        <v>2</v>
      </c>
      <c r="E249" s="2" t="s">
        <v>3</v>
      </c>
      <c r="F249" s="2" t="s">
        <v>879</v>
      </c>
      <c r="G249" s="2" t="s">
        <v>4</v>
      </c>
      <c r="J249" s="2" t="s">
        <v>7</v>
      </c>
    </row>
    <row r="250" ht="12.75" customHeight="1">
      <c r="A250" s="2">
        <f>$M$1</f>
        <v>2014</v>
      </c>
      <c r="B250" s="2">
        <v>4.0</v>
      </c>
      <c r="J250" s="2" t="s">
        <v>153</v>
      </c>
    </row>
    <row r="251" ht="12.75" customHeight="1">
      <c r="A251" s="2" t="s">
        <v>0</v>
      </c>
      <c r="B251" s="2" t="s">
        <v>1</v>
      </c>
      <c r="D251" s="2" t="s">
        <v>2</v>
      </c>
      <c r="E251" s="2" t="s">
        <v>3</v>
      </c>
      <c r="F251" s="2" t="s">
        <v>879</v>
      </c>
      <c r="G251" s="2" t="s">
        <v>4</v>
      </c>
      <c r="J251" s="2" t="s">
        <v>7</v>
      </c>
    </row>
    <row r="252" ht="12.75" customHeight="1">
      <c r="A252" s="2">
        <f>$M$1</f>
        <v>2014</v>
      </c>
      <c r="B252" s="2">
        <v>4.0</v>
      </c>
      <c r="J252" s="2" t="s">
        <v>805</v>
      </c>
    </row>
    <row r="253" ht="12.75" customHeight="1">
      <c r="A253" s="2" t="s">
        <v>0</v>
      </c>
      <c r="B253" s="2" t="s">
        <v>1</v>
      </c>
      <c r="D253" s="2" t="s">
        <v>2</v>
      </c>
      <c r="E253" s="2" t="s">
        <v>3</v>
      </c>
      <c r="F253" s="2" t="s">
        <v>879</v>
      </c>
      <c r="G253" s="2" t="s">
        <v>4</v>
      </c>
      <c r="J253" s="2" t="s">
        <v>7</v>
      </c>
    </row>
    <row r="254" ht="12.75" customHeight="1">
      <c r="A254" s="2">
        <f>$M$1</f>
        <v>2014</v>
      </c>
      <c r="B254" s="2">
        <v>4.0</v>
      </c>
      <c r="J254" s="2" t="s">
        <v>31</v>
      </c>
    </row>
    <row r="255" ht="12.75" customHeight="1">
      <c r="A255" s="2" t="s">
        <v>0</v>
      </c>
      <c r="B255" s="2" t="s">
        <v>1</v>
      </c>
      <c r="D255" s="2" t="s">
        <v>2</v>
      </c>
      <c r="E255" s="2" t="s">
        <v>3</v>
      </c>
      <c r="F255" s="2" t="s">
        <v>879</v>
      </c>
      <c r="G255" s="2" t="s">
        <v>4</v>
      </c>
      <c r="J255" s="2" t="s">
        <v>7</v>
      </c>
    </row>
    <row r="256" ht="12.75" customHeight="1">
      <c r="A256" s="2">
        <f>$M$1</f>
        <v>2014</v>
      </c>
      <c r="B256" s="2">
        <v>4.0</v>
      </c>
      <c r="J256" s="2" t="s">
        <v>123</v>
      </c>
    </row>
    <row r="257" ht="12.75" customHeight="1">
      <c r="A257" s="2" t="s">
        <v>0</v>
      </c>
      <c r="B257" s="2" t="s">
        <v>1</v>
      </c>
      <c r="D257" s="2" t="s">
        <v>2</v>
      </c>
      <c r="E257" s="2" t="s">
        <v>3</v>
      </c>
      <c r="F257" s="2" t="s">
        <v>879</v>
      </c>
      <c r="G257" s="2" t="s">
        <v>4</v>
      </c>
      <c r="J257" s="2" t="s">
        <v>7</v>
      </c>
    </row>
    <row r="258" ht="12.75" customHeight="1">
      <c r="A258" s="2">
        <f>$M$1</f>
        <v>2014</v>
      </c>
      <c r="B258" s="2">
        <v>4.0</v>
      </c>
      <c r="J258" s="2" t="s">
        <v>35</v>
      </c>
    </row>
    <row r="259" ht="12.75" customHeight="1">
      <c r="A259" s="2" t="s">
        <v>0</v>
      </c>
      <c r="B259" s="2" t="s">
        <v>1</v>
      </c>
      <c r="D259" s="2" t="s">
        <v>2</v>
      </c>
      <c r="E259" s="2" t="s">
        <v>3</v>
      </c>
      <c r="F259" s="2" t="s">
        <v>879</v>
      </c>
      <c r="G259" s="2" t="s">
        <v>4</v>
      </c>
      <c r="J259" s="2" t="s">
        <v>7</v>
      </c>
    </row>
    <row r="260" ht="12.75" customHeight="1">
      <c r="A260" s="2">
        <f>$M$1</f>
        <v>2014</v>
      </c>
      <c r="B260" s="2">
        <v>4.0</v>
      </c>
      <c r="J260" s="2" t="s">
        <v>210</v>
      </c>
    </row>
    <row r="261" ht="12.75" customHeight="1">
      <c r="A261" s="2" t="s">
        <v>0</v>
      </c>
      <c r="B261" s="2" t="s">
        <v>1</v>
      </c>
      <c r="D261" s="2" t="s">
        <v>2</v>
      </c>
      <c r="E261" s="2" t="s">
        <v>3</v>
      </c>
      <c r="F261" s="2" t="s">
        <v>879</v>
      </c>
      <c r="G261" s="2" t="s">
        <v>4</v>
      </c>
      <c r="J261" s="2" t="s">
        <v>7</v>
      </c>
    </row>
    <row r="262" ht="12.75" customHeight="1">
      <c r="A262" s="2">
        <f>$M$1</f>
        <v>2014</v>
      </c>
      <c r="B262" s="2">
        <v>4.0</v>
      </c>
      <c r="J262" s="2" t="s">
        <v>808</v>
      </c>
    </row>
    <row r="263" ht="12.75" customHeight="1">
      <c r="A263" s="2" t="s">
        <v>0</v>
      </c>
      <c r="B263" s="2" t="s">
        <v>1</v>
      </c>
      <c r="D263" s="2" t="s">
        <v>2</v>
      </c>
      <c r="E263" s="2" t="s">
        <v>3</v>
      </c>
      <c r="F263" s="2" t="s">
        <v>879</v>
      </c>
      <c r="G263" s="2" t="s">
        <v>4</v>
      </c>
      <c r="J263" s="2" t="s">
        <v>7</v>
      </c>
    </row>
    <row r="264" ht="12.75" customHeight="1">
      <c r="A264" s="2">
        <f>$M$1</f>
        <v>2014</v>
      </c>
      <c r="B264" s="2">
        <v>4.0</v>
      </c>
      <c r="J264" s="2" t="s">
        <v>810</v>
      </c>
    </row>
    <row r="265" ht="12.75" customHeight="1">
      <c r="A265" s="2" t="s">
        <v>0</v>
      </c>
      <c r="B265" s="2" t="s">
        <v>1</v>
      </c>
      <c r="D265" s="2" t="s">
        <v>2</v>
      </c>
      <c r="E265" s="2" t="s">
        <v>3</v>
      </c>
      <c r="F265" s="2" t="s">
        <v>879</v>
      </c>
      <c r="G265" s="2" t="s">
        <v>4</v>
      </c>
      <c r="J265" s="2" t="s">
        <v>7</v>
      </c>
    </row>
    <row r="266" ht="12.75" customHeight="1">
      <c r="A266" s="2">
        <f>$M$1</f>
        <v>2014</v>
      </c>
      <c r="B266" s="2">
        <v>5.0</v>
      </c>
      <c r="J266" s="2" t="s">
        <v>10</v>
      </c>
    </row>
    <row r="267" ht="12.75" customHeight="1">
      <c r="A267" s="2" t="s">
        <v>0</v>
      </c>
      <c r="B267" s="2" t="s">
        <v>1</v>
      </c>
      <c r="D267" s="2" t="s">
        <v>2</v>
      </c>
      <c r="E267" s="2" t="s">
        <v>3</v>
      </c>
      <c r="F267" s="2" t="s">
        <v>879</v>
      </c>
      <c r="G267" s="2" t="s">
        <v>4</v>
      </c>
      <c r="J267" s="2" t="s">
        <v>7</v>
      </c>
    </row>
    <row r="268" ht="12.75" customHeight="1">
      <c r="A268" s="2">
        <f>$M$1</f>
        <v>2014</v>
      </c>
      <c r="B268" s="2">
        <v>5.0</v>
      </c>
      <c r="J268" s="2" t="s">
        <v>20</v>
      </c>
    </row>
    <row r="269" ht="12.75" customHeight="1">
      <c r="A269" s="2" t="s">
        <v>0</v>
      </c>
      <c r="B269" s="2" t="s">
        <v>1</v>
      </c>
      <c r="D269" s="2" t="s">
        <v>2</v>
      </c>
      <c r="E269" s="2" t="s">
        <v>3</v>
      </c>
      <c r="F269" s="2" t="s">
        <v>879</v>
      </c>
      <c r="G269" s="2" t="s">
        <v>4</v>
      </c>
      <c r="J269" s="2" t="s">
        <v>7</v>
      </c>
    </row>
    <row r="270" ht="12.75" customHeight="1">
      <c r="A270" s="2">
        <f>$M$1</f>
        <v>2014</v>
      </c>
      <c r="B270" s="2">
        <v>5.0</v>
      </c>
      <c r="J270" s="2" t="s">
        <v>17</v>
      </c>
    </row>
    <row r="271" ht="12.75" customHeight="1">
      <c r="A271" s="2" t="s">
        <v>0</v>
      </c>
      <c r="B271" s="2" t="s">
        <v>1</v>
      </c>
      <c r="D271" s="2" t="s">
        <v>2</v>
      </c>
      <c r="E271" s="2" t="s">
        <v>3</v>
      </c>
      <c r="F271" s="2" t="s">
        <v>879</v>
      </c>
      <c r="G271" s="2" t="s">
        <v>4</v>
      </c>
      <c r="J271" s="2" t="s">
        <v>7</v>
      </c>
    </row>
    <row r="272" ht="12.75" customHeight="1">
      <c r="A272" s="2">
        <f>$M$1</f>
        <v>2014</v>
      </c>
      <c r="B272" s="2">
        <v>5.0</v>
      </c>
      <c r="J272" s="2" t="s">
        <v>24</v>
      </c>
    </row>
    <row r="273" ht="12.75" customHeight="1">
      <c r="A273" s="2" t="s">
        <v>0</v>
      </c>
      <c r="B273" s="2" t="s">
        <v>1</v>
      </c>
      <c r="D273" s="2" t="s">
        <v>2</v>
      </c>
      <c r="E273" s="2" t="s">
        <v>3</v>
      </c>
      <c r="F273" s="2" t="s">
        <v>879</v>
      </c>
      <c r="G273" s="2" t="s">
        <v>4</v>
      </c>
      <c r="J273" s="2" t="s">
        <v>7</v>
      </c>
    </row>
    <row r="274" ht="12.75" customHeight="1">
      <c r="A274" s="2">
        <f>$M$1</f>
        <v>2014</v>
      </c>
      <c r="B274" s="2">
        <v>5.0</v>
      </c>
      <c r="J274" s="2" t="s">
        <v>651</v>
      </c>
    </row>
    <row r="275" ht="12.75" customHeight="1">
      <c r="A275" s="2" t="s">
        <v>0</v>
      </c>
      <c r="B275" s="2" t="s">
        <v>1</v>
      </c>
      <c r="D275" s="2" t="s">
        <v>2</v>
      </c>
      <c r="E275" s="2" t="s">
        <v>3</v>
      </c>
      <c r="F275" s="2" t="s">
        <v>879</v>
      </c>
      <c r="G275" s="2" t="s">
        <v>4</v>
      </c>
      <c r="J275" s="2" t="s">
        <v>7</v>
      </c>
    </row>
    <row r="276" ht="12.75" customHeight="1">
      <c r="A276" s="2">
        <f>$M$1</f>
        <v>2014</v>
      </c>
      <c r="B276" s="2">
        <v>5.0</v>
      </c>
      <c r="J276" s="2" t="s">
        <v>76</v>
      </c>
    </row>
    <row r="277" ht="12.75" customHeight="1">
      <c r="A277" s="2" t="s">
        <v>0</v>
      </c>
      <c r="B277" s="2" t="s">
        <v>1</v>
      </c>
      <c r="D277" s="2" t="s">
        <v>2</v>
      </c>
      <c r="E277" s="2" t="s">
        <v>3</v>
      </c>
      <c r="F277" s="2" t="s">
        <v>879</v>
      </c>
      <c r="G277" s="2" t="s">
        <v>4</v>
      </c>
      <c r="J277" s="2" t="s">
        <v>7</v>
      </c>
    </row>
    <row r="278" ht="12.75" customHeight="1">
      <c r="A278" s="2">
        <f>$M$1</f>
        <v>2014</v>
      </c>
      <c r="B278" s="2">
        <v>5.0</v>
      </c>
      <c r="J278" s="2" t="s">
        <v>26</v>
      </c>
    </row>
    <row r="279" ht="12.75" customHeight="1">
      <c r="A279" s="2" t="s">
        <v>0</v>
      </c>
      <c r="B279" s="2" t="s">
        <v>1</v>
      </c>
      <c r="D279" s="2" t="s">
        <v>2</v>
      </c>
      <c r="E279" s="2" t="s">
        <v>3</v>
      </c>
      <c r="F279" s="2" t="s">
        <v>879</v>
      </c>
      <c r="G279" s="2" t="s">
        <v>4</v>
      </c>
      <c r="J279" s="2" t="s">
        <v>7</v>
      </c>
    </row>
    <row r="280" ht="12.75" customHeight="1">
      <c r="A280" s="2">
        <f>$M$1</f>
        <v>2014</v>
      </c>
      <c r="B280" s="2">
        <v>5.0</v>
      </c>
      <c r="J280" s="2" t="s">
        <v>103</v>
      </c>
    </row>
    <row r="281" ht="12.75" customHeight="1">
      <c r="A281" s="2" t="s">
        <v>0</v>
      </c>
      <c r="B281" s="2" t="s">
        <v>1</v>
      </c>
      <c r="D281" s="2" t="s">
        <v>2</v>
      </c>
      <c r="E281" s="2" t="s">
        <v>3</v>
      </c>
      <c r="F281" s="2" t="s">
        <v>879</v>
      </c>
      <c r="G281" s="2" t="s">
        <v>4</v>
      </c>
      <c r="J281" s="2" t="s">
        <v>7</v>
      </c>
    </row>
    <row r="282" ht="12.75" customHeight="1">
      <c r="A282" s="2">
        <f>$M$1</f>
        <v>2014</v>
      </c>
      <c r="B282" s="2">
        <v>5.0</v>
      </c>
      <c r="J282" s="2" t="s">
        <v>22</v>
      </c>
    </row>
    <row r="283" ht="12.75" customHeight="1">
      <c r="A283" s="2" t="s">
        <v>0</v>
      </c>
      <c r="B283" s="2" t="s">
        <v>1</v>
      </c>
      <c r="D283" s="2" t="s">
        <v>2</v>
      </c>
      <c r="E283" s="2" t="s">
        <v>3</v>
      </c>
      <c r="F283" s="2" t="s">
        <v>879</v>
      </c>
      <c r="G283" s="2" t="s">
        <v>4</v>
      </c>
      <c r="J283" s="2" t="s">
        <v>7</v>
      </c>
    </row>
    <row r="284" ht="12.75" customHeight="1">
      <c r="A284" s="2">
        <f>$M$1</f>
        <v>2014</v>
      </c>
      <c r="B284" s="2">
        <v>5.0</v>
      </c>
      <c r="J284" s="2" t="s">
        <v>428</v>
      </c>
    </row>
    <row r="285" ht="12.75" customHeight="1">
      <c r="A285" s="2" t="s">
        <v>0</v>
      </c>
      <c r="B285" s="2" t="s">
        <v>1</v>
      </c>
      <c r="D285" s="2" t="s">
        <v>2</v>
      </c>
      <c r="E285" s="2" t="s">
        <v>3</v>
      </c>
      <c r="F285" s="2" t="s">
        <v>879</v>
      </c>
      <c r="G285" s="2" t="s">
        <v>4</v>
      </c>
      <c r="J285" s="2" t="s">
        <v>7</v>
      </c>
    </row>
    <row r="286" ht="12.75" customHeight="1">
      <c r="A286" s="2">
        <f>$M$1</f>
        <v>2014</v>
      </c>
      <c r="B286" s="2">
        <v>5.0</v>
      </c>
      <c r="J286" s="2" t="s">
        <v>800</v>
      </c>
    </row>
    <row r="287" ht="12.75" customHeight="1">
      <c r="A287" s="2" t="s">
        <v>0</v>
      </c>
      <c r="B287" s="2" t="s">
        <v>1</v>
      </c>
      <c r="D287" s="2" t="s">
        <v>2</v>
      </c>
      <c r="E287" s="2" t="s">
        <v>3</v>
      </c>
      <c r="F287" s="2" t="s">
        <v>879</v>
      </c>
      <c r="G287" s="2" t="s">
        <v>4</v>
      </c>
      <c r="J287" s="2" t="s">
        <v>7</v>
      </c>
    </row>
    <row r="288" ht="12.75" customHeight="1">
      <c r="A288" s="2">
        <f>$M$1</f>
        <v>2014</v>
      </c>
      <c r="B288" s="2">
        <v>5.0</v>
      </c>
      <c r="J288" s="2" t="s">
        <v>54</v>
      </c>
    </row>
    <row r="289" ht="12.75" customHeight="1">
      <c r="A289" s="2" t="s">
        <v>0</v>
      </c>
      <c r="B289" s="2" t="s">
        <v>1</v>
      </c>
      <c r="D289" s="2" t="s">
        <v>2</v>
      </c>
      <c r="E289" s="2" t="s">
        <v>3</v>
      </c>
      <c r="F289" s="2" t="s">
        <v>879</v>
      </c>
      <c r="G289" s="2" t="s">
        <v>4</v>
      </c>
      <c r="J289" s="2" t="s">
        <v>7</v>
      </c>
    </row>
    <row r="290" ht="12.75" customHeight="1">
      <c r="A290" s="2">
        <f>$M$1</f>
        <v>2014</v>
      </c>
      <c r="B290" s="2">
        <v>5.0</v>
      </c>
      <c r="J290" s="2" t="s">
        <v>801</v>
      </c>
    </row>
    <row r="291" ht="12.75" customHeight="1">
      <c r="A291" s="2" t="s">
        <v>0</v>
      </c>
      <c r="B291" s="2" t="s">
        <v>1</v>
      </c>
      <c r="D291" s="2" t="s">
        <v>2</v>
      </c>
      <c r="E291" s="2" t="s">
        <v>3</v>
      </c>
      <c r="F291" s="2" t="s">
        <v>879</v>
      </c>
      <c r="G291" s="2" t="s">
        <v>4</v>
      </c>
      <c r="J291" s="2" t="s">
        <v>7</v>
      </c>
    </row>
    <row r="292" ht="12.75" customHeight="1">
      <c r="A292" s="2">
        <f>$M$1</f>
        <v>2014</v>
      </c>
      <c r="B292" s="2">
        <v>5.0</v>
      </c>
      <c r="J292" s="2" t="s">
        <v>38</v>
      </c>
    </row>
    <row r="293" ht="12.75" customHeight="1">
      <c r="A293" s="2" t="s">
        <v>0</v>
      </c>
      <c r="B293" s="2" t="s">
        <v>1</v>
      </c>
      <c r="D293" s="2" t="s">
        <v>2</v>
      </c>
      <c r="E293" s="2" t="s">
        <v>3</v>
      </c>
      <c r="F293" s="2" t="s">
        <v>879</v>
      </c>
      <c r="G293" s="2" t="s">
        <v>4</v>
      </c>
      <c r="J293" s="2" t="s">
        <v>7</v>
      </c>
    </row>
    <row r="294" ht="12.75" customHeight="1">
      <c r="A294" s="2">
        <f>$M$1</f>
        <v>2014</v>
      </c>
      <c r="B294" s="2">
        <v>5.0</v>
      </c>
      <c r="J294" s="2" t="s">
        <v>47</v>
      </c>
    </row>
    <row r="295" ht="12.75" customHeight="1">
      <c r="A295" s="2" t="s">
        <v>0</v>
      </c>
      <c r="B295" s="2" t="s">
        <v>1</v>
      </c>
      <c r="D295" s="2" t="s">
        <v>2</v>
      </c>
      <c r="E295" s="2" t="s">
        <v>3</v>
      </c>
      <c r="F295" s="2" t="s">
        <v>879</v>
      </c>
      <c r="G295" s="2" t="s">
        <v>4</v>
      </c>
      <c r="J295" s="2" t="s">
        <v>7</v>
      </c>
    </row>
    <row r="296" ht="12.75" customHeight="1">
      <c r="A296" s="2">
        <f>$M$1</f>
        <v>2014</v>
      </c>
      <c r="B296" s="2">
        <v>5.0</v>
      </c>
      <c r="J296" s="2" t="s">
        <v>52</v>
      </c>
    </row>
    <row r="297" ht="12.75" customHeight="1">
      <c r="A297" s="2" t="s">
        <v>0</v>
      </c>
      <c r="B297" s="2" t="s">
        <v>1</v>
      </c>
      <c r="D297" s="2" t="s">
        <v>2</v>
      </c>
      <c r="E297" s="2" t="s">
        <v>3</v>
      </c>
      <c r="F297" s="2" t="s">
        <v>879</v>
      </c>
      <c r="G297" s="2" t="s">
        <v>4</v>
      </c>
      <c r="J297" s="2" t="s">
        <v>7</v>
      </c>
    </row>
    <row r="298" ht="12.75" customHeight="1">
      <c r="A298" s="2">
        <f>$M$1</f>
        <v>2014</v>
      </c>
      <c r="B298" s="2">
        <v>5.0</v>
      </c>
      <c r="J298" s="2" t="s">
        <v>42</v>
      </c>
    </row>
    <row r="299" ht="12.75" customHeight="1">
      <c r="A299" s="2" t="s">
        <v>0</v>
      </c>
      <c r="B299" s="2" t="s">
        <v>1</v>
      </c>
      <c r="D299" s="2" t="s">
        <v>2</v>
      </c>
      <c r="E299" s="2" t="s">
        <v>3</v>
      </c>
      <c r="F299" s="2" t="s">
        <v>879</v>
      </c>
      <c r="G299" s="2" t="s">
        <v>4</v>
      </c>
      <c r="J299" s="2" t="s">
        <v>7</v>
      </c>
    </row>
    <row r="300" ht="12.75" customHeight="1">
      <c r="A300" s="2">
        <f>$M$1</f>
        <v>2014</v>
      </c>
      <c r="B300" s="2">
        <v>5.0</v>
      </c>
      <c r="J300" s="2" t="s">
        <v>133</v>
      </c>
    </row>
    <row r="301" ht="12.75" customHeight="1">
      <c r="A301" s="2" t="s">
        <v>0</v>
      </c>
      <c r="B301" s="2" t="s">
        <v>1</v>
      </c>
      <c r="D301" s="2" t="s">
        <v>2</v>
      </c>
      <c r="E301" s="2" t="s">
        <v>3</v>
      </c>
      <c r="F301" s="2" t="s">
        <v>879</v>
      </c>
      <c r="G301" s="2" t="s">
        <v>4</v>
      </c>
      <c r="J301" s="2" t="s">
        <v>7</v>
      </c>
    </row>
    <row r="302" ht="12.75" customHeight="1">
      <c r="A302" s="2">
        <f>$M$1</f>
        <v>2014</v>
      </c>
      <c r="B302" s="2">
        <v>5.0</v>
      </c>
      <c r="J302" s="2" t="s">
        <v>803</v>
      </c>
    </row>
    <row r="303" ht="12.75" customHeight="1">
      <c r="A303" s="2" t="s">
        <v>0</v>
      </c>
      <c r="B303" s="2" t="s">
        <v>1</v>
      </c>
      <c r="D303" s="2" t="s">
        <v>2</v>
      </c>
      <c r="E303" s="2" t="s">
        <v>3</v>
      </c>
      <c r="F303" s="2" t="s">
        <v>879</v>
      </c>
      <c r="G303" s="2" t="s">
        <v>4</v>
      </c>
      <c r="J303" s="2" t="s">
        <v>7</v>
      </c>
    </row>
    <row r="304" ht="12.75" customHeight="1">
      <c r="A304" s="2">
        <f>$M$1</f>
        <v>2014</v>
      </c>
      <c r="B304" s="2">
        <v>5.0</v>
      </c>
      <c r="J304" s="2" t="s">
        <v>164</v>
      </c>
    </row>
    <row r="305" ht="12.75" customHeight="1">
      <c r="A305" s="2" t="s">
        <v>0</v>
      </c>
      <c r="B305" s="2" t="s">
        <v>1</v>
      </c>
      <c r="D305" s="2" t="s">
        <v>2</v>
      </c>
      <c r="E305" s="2" t="s">
        <v>3</v>
      </c>
      <c r="F305" s="2" t="s">
        <v>879</v>
      </c>
      <c r="G305" s="2" t="s">
        <v>4</v>
      </c>
      <c r="J305" s="2" t="s">
        <v>7</v>
      </c>
    </row>
    <row r="306" ht="12.75" customHeight="1">
      <c r="A306" s="2">
        <f>$M$1</f>
        <v>2014</v>
      </c>
      <c r="B306" s="2">
        <v>5.0</v>
      </c>
      <c r="J306" s="2" t="s">
        <v>50</v>
      </c>
    </row>
    <row r="307" ht="12.75" customHeight="1">
      <c r="A307" s="2" t="s">
        <v>0</v>
      </c>
      <c r="B307" s="2" t="s">
        <v>1</v>
      </c>
      <c r="D307" s="2" t="s">
        <v>2</v>
      </c>
      <c r="E307" s="2" t="s">
        <v>3</v>
      </c>
      <c r="F307" s="2" t="s">
        <v>879</v>
      </c>
      <c r="G307" s="2" t="s">
        <v>4</v>
      </c>
      <c r="J307" s="2" t="s">
        <v>7</v>
      </c>
    </row>
    <row r="308" ht="12.75" customHeight="1">
      <c r="A308" s="2">
        <f>$M$1</f>
        <v>2014</v>
      </c>
      <c r="B308" s="2">
        <v>5.0</v>
      </c>
      <c r="J308" s="2" t="s">
        <v>304</v>
      </c>
    </row>
    <row r="309" ht="12.75" customHeight="1">
      <c r="A309" s="2" t="s">
        <v>0</v>
      </c>
      <c r="B309" s="2" t="s">
        <v>1</v>
      </c>
      <c r="D309" s="2" t="s">
        <v>2</v>
      </c>
      <c r="E309" s="2" t="s">
        <v>3</v>
      </c>
      <c r="F309" s="2" t="s">
        <v>879</v>
      </c>
      <c r="G309" s="2" t="s">
        <v>4</v>
      </c>
      <c r="J309" s="2" t="s">
        <v>7</v>
      </c>
    </row>
    <row r="310" ht="12.75" customHeight="1">
      <c r="A310" s="2">
        <f>$M$1</f>
        <v>2014</v>
      </c>
      <c r="B310" s="2">
        <v>5.0</v>
      </c>
      <c r="J310" s="2" t="s">
        <v>72</v>
      </c>
    </row>
    <row r="311" ht="12.75" customHeight="1">
      <c r="A311" s="2" t="s">
        <v>0</v>
      </c>
      <c r="B311" s="2" t="s">
        <v>1</v>
      </c>
      <c r="D311" s="2" t="s">
        <v>2</v>
      </c>
      <c r="E311" s="2" t="s">
        <v>3</v>
      </c>
      <c r="F311" s="2" t="s">
        <v>879</v>
      </c>
      <c r="G311" s="2" t="s">
        <v>4</v>
      </c>
      <c r="J311" s="2" t="s">
        <v>7</v>
      </c>
    </row>
    <row r="312" ht="12.75" customHeight="1">
      <c r="A312" s="2">
        <f>$M$1</f>
        <v>2014</v>
      </c>
      <c r="B312" s="2">
        <v>5.0</v>
      </c>
      <c r="J312" s="2" t="s">
        <v>13</v>
      </c>
    </row>
    <row r="313" ht="12.75" customHeight="1">
      <c r="A313" s="2" t="s">
        <v>0</v>
      </c>
      <c r="B313" s="2" t="s">
        <v>1</v>
      </c>
      <c r="D313" s="2" t="s">
        <v>2</v>
      </c>
      <c r="E313" s="2" t="s">
        <v>3</v>
      </c>
      <c r="F313" s="2" t="s">
        <v>879</v>
      </c>
      <c r="G313" s="2" t="s">
        <v>4</v>
      </c>
      <c r="J313" s="2" t="s">
        <v>7</v>
      </c>
    </row>
    <row r="314" ht="12.75" customHeight="1">
      <c r="A314" s="2">
        <f>$M$1</f>
        <v>2014</v>
      </c>
      <c r="B314" s="2">
        <v>5.0</v>
      </c>
      <c r="J314" s="2" t="s">
        <v>18</v>
      </c>
    </row>
    <row r="315" ht="12.75" customHeight="1">
      <c r="A315" s="2" t="s">
        <v>0</v>
      </c>
      <c r="B315" s="2" t="s">
        <v>1</v>
      </c>
      <c r="D315" s="2" t="s">
        <v>2</v>
      </c>
      <c r="E315" s="2" t="s">
        <v>3</v>
      </c>
      <c r="F315" s="2" t="s">
        <v>879</v>
      </c>
      <c r="G315" s="2" t="s">
        <v>4</v>
      </c>
      <c r="J315" s="2" t="s">
        <v>7</v>
      </c>
    </row>
    <row r="316" ht="12.75" customHeight="1">
      <c r="A316" s="2">
        <f>$M$1</f>
        <v>2014</v>
      </c>
      <c r="B316" s="2">
        <v>5.0</v>
      </c>
      <c r="J316" s="2" t="s">
        <v>153</v>
      </c>
    </row>
    <row r="317" ht="12.75" customHeight="1">
      <c r="A317" s="2" t="s">
        <v>0</v>
      </c>
      <c r="B317" s="2" t="s">
        <v>1</v>
      </c>
      <c r="D317" s="2" t="s">
        <v>2</v>
      </c>
      <c r="E317" s="2" t="s">
        <v>3</v>
      </c>
      <c r="F317" s="2" t="s">
        <v>879</v>
      </c>
      <c r="G317" s="2" t="s">
        <v>4</v>
      </c>
      <c r="J317" s="2" t="s">
        <v>7</v>
      </c>
    </row>
    <row r="318" ht="12.75" customHeight="1">
      <c r="A318" s="2">
        <f>$M$1</f>
        <v>2014</v>
      </c>
      <c r="B318" s="2">
        <v>5.0</v>
      </c>
      <c r="J318" s="2" t="s">
        <v>805</v>
      </c>
    </row>
    <row r="319" ht="12.75" customHeight="1">
      <c r="A319" s="2" t="s">
        <v>0</v>
      </c>
      <c r="B319" s="2" t="s">
        <v>1</v>
      </c>
      <c r="D319" s="2" t="s">
        <v>2</v>
      </c>
      <c r="E319" s="2" t="s">
        <v>3</v>
      </c>
      <c r="F319" s="2" t="s">
        <v>879</v>
      </c>
      <c r="G319" s="2" t="s">
        <v>4</v>
      </c>
      <c r="J319" s="2" t="s">
        <v>7</v>
      </c>
    </row>
    <row r="320" ht="12.75" customHeight="1">
      <c r="A320" s="2">
        <f>$M$1</f>
        <v>2014</v>
      </c>
      <c r="B320" s="2">
        <v>5.0</v>
      </c>
      <c r="J320" s="2" t="s">
        <v>31</v>
      </c>
    </row>
    <row r="321" ht="12.75" customHeight="1">
      <c r="A321" s="2" t="s">
        <v>0</v>
      </c>
      <c r="B321" s="2" t="s">
        <v>1</v>
      </c>
      <c r="D321" s="2" t="s">
        <v>2</v>
      </c>
      <c r="E321" s="2" t="s">
        <v>3</v>
      </c>
      <c r="F321" s="2" t="s">
        <v>879</v>
      </c>
      <c r="G321" s="2" t="s">
        <v>4</v>
      </c>
      <c r="J321" s="2" t="s">
        <v>7</v>
      </c>
    </row>
    <row r="322" ht="12.75" customHeight="1">
      <c r="A322" s="2">
        <f>$M$1</f>
        <v>2014</v>
      </c>
      <c r="B322" s="2">
        <v>5.0</v>
      </c>
      <c r="J322" s="2" t="s">
        <v>123</v>
      </c>
    </row>
    <row r="323" ht="12.75" customHeight="1">
      <c r="A323" s="2" t="s">
        <v>0</v>
      </c>
      <c r="B323" s="2" t="s">
        <v>1</v>
      </c>
      <c r="D323" s="2" t="s">
        <v>2</v>
      </c>
      <c r="E323" s="2" t="s">
        <v>3</v>
      </c>
      <c r="F323" s="2" t="s">
        <v>879</v>
      </c>
      <c r="G323" s="2" t="s">
        <v>4</v>
      </c>
      <c r="J323" s="2" t="s">
        <v>7</v>
      </c>
    </row>
    <row r="324" ht="12.75" customHeight="1">
      <c r="A324" s="2">
        <f>$M$1</f>
        <v>2014</v>
      </c>
      <c r="B324" s="2">
        <v>5.0</v>
      </c>
      <c r="J324" s="2" t="s">
        <v>35</v>
      </c>
    </row>
    <row r="325" ht="12.75" customHeight="1">
      <c r="A325" s="2" t="s">
        <v>0</v>
      </c>
      <c r="B325" s="2" t="s">
        <v>1</v>
      </c>
      <c r="D325" s="2" t="s">
        <v>2</v>
      </c>
      <c r="E325" s="2" t="s">
        <v>3</v>
      </c>
      <c r="F325" s="2" t="s">
        <v>879</v>
      </c>
      <c r="G325" s="2" t="s">
        <v>4</v>
      </c>
      <c r="J325" s="2" t="s">
        <v>7</v>
      </c>
    </row>
    <row r="326" ht="12.75" customHeight="1">
      <c r="A326" s="2">
        <f>$M$1</f>
        <v>2014</v>
      </c>
      <c r="B326" s="2">
        <v>5.0</v>
      </c>
      <c r="J326" s="2" t="s">
        <v>210</v>
      </c>
    </row>
    <row r="327" ht="12.75" customHeight="1">
      <c r="A327" s="2" t="s">
        <v>0</v>
      </c>
      <c r="B327" s="2" t="s">
        <v>1</v>
      </c>
      <c r="D327" s="2" t="s">
        <v>2</v>
      </c>
      <c r="E327" s="2" t="s">
        <v>3</v>
      </c>
      <c r="F327" s="2" t="s">
        <v>879</v>
      </c>
      <c r="G327" s="2" t="s">
        <v>4</v>
      </c>
      <c r="J327" s="2" t="s">
        <v>7</v>
      </c>
    </row>
    <row r="328" ht="12.75" customHeight="1">
      <c r="A328" s="2">
        <f>$M$1</f>
        <v>2014</v>
      </c>
      <c r="B328" s="2">
        <v>5.0</v>
      </c>
      <c r="J328" s="2" t="s">
        <v>808</v>
      </c>
    </row>
    <row r="329" ht="12.75" customHeight="1">
      <c r="A329" s="2" t="s">
        <v>0</v>
      </c>
      <c r="B329" s="2" t="s">
        <v>1</v>
      </c>
      <c r="D329" s="2" t="s">
        <v>2</v>
      </c>
      <c r="E329" s="2" t="s">
        <v>3</v>
      </c>
      <c r="F329" s="2" t="s">
        <v>879</v>
      </c>
      <c r="G329" s="2" t="s">
        <v>4</v>
      </c>
      <c r="J329" s="2" t="s">
        <v>7</v>
      </c>
    </row>
    <row r="330" ht="12.75" customHeight="1">
      <c r="A330" s="2">
        <f>$M$1</f>
        <v>2014</v>
      </c>
      <c r="B330" s="2">
        <v>5.0</v>
      </c>
      <c r="J330" s="2" t="s">
        <v>810</v>
      </c>
    </row>
    <row r="331" ht="12.75" customHeight="1">
      <c r="A331" s="2" t="s">
        <v>0</v>
      </c>
      <c r="B331" s="2" t="s">
        <v>1</v>
      </c>
      <c r="D331" s="2" t="s">
        <v>2</v>
      </c>
      <c r="E331" s="2" t="s">
        <v>3</v>
      </c>
      <c r="F331" s="2" t="s">
        <v>879</v>
      </c>
      <c r="G331" s="2" t="s">
        <v>4</v>
      </c>
      <c r="J331" s="2" t="s">
        <v>7</v>
      </c>
    </row>
    <row r="332" ht="12.75" customHeight="1">
      <c r="A332" s="2">
        <f>$M$1</f>
        <v>2014</v>
      </c>
      <c r="B332" s="2">
        <v>6.0</v>
      </c>
      <c r="J332" s="2" t="s">
        <v>10</v>
      </c>
    </row>
    <row r="333" ht="12.75" customHeight="1">
      <c r="A333" s="2" t="s">
        <v>0</v>
      </c>
      <c r="B333" s="2" t="s">
        <v>1</v>
      </c>
      <c r="D333" s="2" t="s">
        <v>2</v>
      </c>
      <c r="E333" s="2" t="s">
        <v>3</v>
      </c>
      <c r="F333" s="2" t="s">
        <v>879</v>
      </c>
      <c r="G333" s="2" t="s">
        <v>4</v>
      </c>
      <c r="J333" s="2" t="s">
        <v>7</v>
      </c>
    </row>
    <row r="334" ht="12.75" customHeight="1">
      <c r="A334" s="2">
        <f>$M$1</f>
        <v>2014</v>
      </c>
      <c r="B334" s="2">
        <v>6.0</v>
      </c>
      <c r="J334" s="2" t="s">
        <v>20</v>
      </c>
    </row>
    <row r="335" ht="12.75" customHeight="1">
      <c r="A335" s="2" t="s">
        <v>0</v>
      </c>
      <c r="B335" s="2" t="s">
        <v>1</v>
      </c>
      <c r="D335" s="2" t="s">
        <v>2</v>
      </c>
      <c r="E335" s="2" t="s">
        <v>3</v>
      </c>
      <c r="F335" s="2" t="s">
        <v>879</v>
      </c>
      <c r="G335" s="2" t="s">
        <v>4</v>
      </c>
      <c r="J335" s="2" t="s">
        <v>7</v>
      </c>
    </row>
    <row r="336" ht="12.75" customHeight="1">
      <c r="A336" s="2">
        <f>$M$1</f>
        <v>2014</v>
      </c>
      <c r="B336" s="2">
        <v>6.0</v>
      </c>
      <c r="J336" s="2" t="s">
        <v>17</v>
      </c>
    </row>
    <row r="337" ht="12.75" customHeight="1">
      <c r="A337" s="2" t="s">
        <v>0</v>
      </c>
      <c r="B337" s="2" t="s">
        <v>1</v>
      </c>
      <c r="D337" s="2" t="s">
        <v>2</v>
      </c>
      <c r="E337" s="2" t="s">
        <v>3</v>
      </c>
      <c r="F337" s="2" t="s">
        <v>879</v>
      </c>
      <c r="G337" s="2" t="s">
        <v>4</v>
      </c>
      <c r="J337" s="2" t="s">
        <v>7</v>
      </c>
    </row>
    <row r="338" ht="12.75" customHeight="1">
      <c r="A338" s="2">
        <f>$M$1</f>
        <v>2014</v>
      </c>
      <c r="B338" s="2">
        <v>6.0</v>
      </c>
      <c r="J338" s="2" t="s">
        <v>24</v>
      </c>
    </row>
    <row r="339" ht="12.75" customHeight="1">
      <c r="A339" s="2" t="s">
        <v>0</v>
      </c>
      <c r="B339" s="2" t="s">
        <v>1</v>
      </c>
      <c r="D339" s="2" t="s">
        <v>2</v>
      </c>
      <c r="E339" s="2" t="s">
        <v>3</v>
      </c>
      <c r="F339" s="2" t="s">
        <v>879</v>
      </c>
      <c r="G339" s="2" t="s">
        <v>4</v>
      </c>
      <c r="J339" s="2" t="s">
        <v>7</v>
      </c>
    </row>
    <row r="340" ht="12.75" customHeight="1">
      <c r="A340" s="2">
        <f>$M$1</f>
        <v>2014</v>
      </c>
      <c r="B340" s="2">
        <v>6.0</v>
      </c>
      <c r="J340" s="2" t="s">
        <v>651</v>
      </c>
    </row>
    <row r="341" ht="12.75" customHeight="1">
      <c r="A341" s="2" t="s">
        <v>0</v>
      </c>
      <c r="B341" s="2" t="s">
        <v>1</v>
      </c>
      <c r="D341" s="2" t="s">
        <v>2</v>
      </c>
      <c r="E341" s="2" t="s">
        <v>3</v>
      </c>
      <c r="F341" s="2" t="s">
        <v>879</v>
      </c>
      <c r="G341" s="2" t="s">
        <v>4</v>
      </c>
      <c r="J341" s="2" t="s">
        <v>7</v>
      </c>
    </row>
    <row r="342" ht="12.75" customHeight="1">
      <c r="A342" s="2">
        <f>$M$1</f>
        <v>2014</v>
      </c>
      <c r="B342" s="2">
        <v>6.0</v>
      </c>
      <c r="J342" s="2" t="s">
        <v>76</v>
      </c>
    </row>
    <row r="343" ht="12.75" customHeight="1">
      <c r="A343" s="2" t="s">
        <v>0</v>
      </c>
      <c r="B343" s="2" t="s">
        <v>1</v>
      </c>
      <c r="D343" s="2" t="s">
        <v>2</v>
      </c>
      <c r="E343" s="2" t="s">
        <v>3</v>
      </c>
      <c r="F343" s="2" t="s">
        <v>879</v>
      </c>
      <c r="G343" s="2" t="s">
        <v>4</v>
      </c>
      <c r="J343" s="2" t="s">
        <v>7</v>
      </c>
    </row>
    <row r="344" ht="12.75" customHeight="1">
      <c r="A344" s="2">
        <f>$M$1</f>
        <v>2014</v>
      </c>
      <c r="B344" s="2">
        <v>6.0</v>
      </c>
      <c r="J344" s="2" t="s">
        <v>26</v>
      </c>
    </row>
    <row r="345" ht="12.75" customHeight="1">
      <c r="A345" s="2" t="s">
        <v>0</v>
      </c>
      <c r="B345" s="2" t="s">
        <v>1</v>
      </c>
      <c r="D345" s="2" t="s">
        <v>2</v>
      </c>
      <c r="E345" s="2" t="s">
        <v>3</v>
      </c>
      <c r="F345" s="2" t="s">
        <v>879</v>
      </c>
      <c r="G345" s="2" t="s">
        <v>4</v>
      </c>
      <c r="J345" s="2" t="s">
        <v>7</v>
      </c>
    </row>
    <row r="346" ht="12.75" customHeight="1">
      <c r="A346" s="2">
        <f>$M$1</f>
        <v>2014</v>
      </c>
      <c r="B346" s="2">
        <v>6.0</v>
      </c>
      <c r="J346" s="2" t="s">
        <v>103</v>
      </c>
    </row>
    <row r="347" ht="12.75" customHeight="1">
      <c r="A347" s="2" t="s">
        <v>0</v>
      </c>
      <c r="B347" s="2" t="s">
        <v>1</v>
      </c>
      <c r="D347" s="2" t="s">
        <v>2</v>
      </c>
      <c r="E347" s="2" t="s">
        <v>3</v>
      </c>
      <c r="F347" s="2" t="s">
        <v>879</v>
      </c>
      <c r="G347" s="2" t="s">
        <v>4</v>
      </c>
      <c r="J347" s="2" t="s">
        <v>7</v>
      </c>
    </row>
    <row r="348" ht="12.75" customHeight="1">
      <c r="A348" s="2">
        <f>$M$1</f>
        <v>2014</v>
      </c>
      <c r="B348" s="2">
        <v>6.0</v>
      </c>
      <c r="J348" s="2" t="s">
        <v>22</v>
      </c>
    </row>
    <row r="349" ht="12.75" customHeight="1">
      <c r="A349" s="2" t="s">
        <v>0</v>
      </c>
      <c r="B349" s="2" t="s">
        <v>1</v>
      </c>
      <c r="D349" s="2" t="s">
        <v>2</v>
      </c>
      <c r="E349" s="2" t="s">
        <v>3</v>
      </c>
      <c r="F349" s="2" t="s">
        <v>879</v>
      </c>
      <c r="G349" s="2" t="s">
        <v>4</v>
      </c>
      <c r="J349" s="2" t="s">
        <v>7</v>
      </c>
    </row>
    <row r="350" ht="12.75" customHeight="1">
      <c r="A350" s="2">
        <f>$M$1</f>
        <v>2014</v>
      </c>
      <c r="B350" s="2">
        <v>6.0</v>
      </c>
      <c r="J350" s="2" t="s">
        <v>428</v>
      </c>
    </row>
    <row r="351" ht="12.75" customHeight="1">
      <c r="A351" s="2" t="s">
        <v>0</v>
      </c>
      <c r="B351" s="2" t="s">
        <v>1</v>
      </c>
      <c r="D351" s="2" t="s">
        <v>2</v>
      </c>
      <c r="E351" s="2" t="s">
        <v>3</v>
      </c>
      <c r="F351" s="2" t="s">
        <v>879</v>
      </c>
      <c r="G351" s="2" t="s">
        <v>4</v>
      </c>
      <c r="J351" s="2" t="s">
        <v>7</v>
      </c>
    </row>
    <row r="352" ht="12.75" customHeight="1">
      <c r="A352" s="2">
        <f>$M$1</f>
        <v>2014</v>
      </c>
      <c r="B352" s="2">
        <v>6.0</v>
      </c>
      <c r="J352" s="2" t="s">
        <v>800</v>
      </c>
    </row>
    <row r="353" ht="12.75" customHeight="1">
      <c r="A353" s="2" t="s">
        <v>0</v>
      </c>
      <c r="B353" s="2" t="s">
        <v>1</v>
      </c>
      <c r="D353" s="2" t="s">
        <v>2</v>
      </c>
      <c r="E353" s="2" t="s">
        <v>3</v>
      </c>
      <c r="F353" s="2" t="s">
        <v>879</v>
      </c>
      <c r="G353" s="2" t="s">
        <v>4</v>
      </c>
      <c r="J353" s="2" t="s">
        <v>7</v>
      </c>
    </row>
    <row r="354" ht="12.75" customHeight="1">
      <c r="A354" s="2">
        <f>$M$1</f>
        <v>2014</v>
      </c>
      <c r="B354" s="2">
        <v>6.0</v>
      </c>
      <c r="J354" s="2" t="s">
        <v>54</v>
      </c>
    </row>
    <row r="355" ht="12.75" customHeight="1">
      <c r="A355" s="2" t="s">
        <v>0</v>
      </c>
      <c r="B355" s="2" t="s">
        <v>1</v>
      </c>
      <c r="D355" s="2" t="s">
        <v>2</v>
      </c>
      <c r="E355" s="2" t="s">
        <v>3</v>
      </c>
      <c r="F355" s="2" t="s">
        <v>879</v>
      </c>
      <c r="G355" s="2" t="s">
        <v>4</v>
      </c>
      <c r="J355" s="2" t="s">
        <v>7</v>
      </c>
    </row>
    <row r="356" ht="12.75" customHeight="1">
      <c r="A356" s="2">
        <f>$M$1</f>
        <v>2014</v>
      </c>
      <c r="B356" s="2">
        <v>6.0</v>
      </c>
      <c r="J356" s="2" t="s">
        <v>801</v>
      </c>
    </row>
    <row r="357" ht="12.75" customHeight="1">
      <c r="A357" s="2" t="s">
        <v>0</v>
      </c>
      <c r="B357" s="2" t="s">
        <v>1</v>
      </c>
      <c r="D357" s="2" t="s">
        <v>2</v>
      </c>
      <c r="E357" s="2" t="s">
        <v>3</v>
      </c>
      <c r="F357" s="2" t="s">
        <v>879</v>
      </c>
      <c r="G357" s="2" t="s">
        <v>4</v>
      </c>
      <c r="J357" s="2" t="s">
        <v>7</v>
      </c>
    </row>
    <row r="358" ht="12.75" customHeight="1">
      <c r="A358" s="2">
        <f>$M$1</f>
        <v>2014</v>
      </c>
      <c r="B358" s="2">
        <v>6.0</v>
      </c>
      <c r="J358" s="2" t="s">
        <v>38</v>
      </c>
    </row>
    <row r="359" ht="12.75" customHeight="1">
      <c r="A359" s="2" t="s">
        <v>0</v>
      </c>
      <c r="B359" s="2" t="s">
        <v>1</v>
      </c>
      <c r="D359" s="2" t="s">
        <v>2</v>
      </c>
      <c r="E359" s="2" t="s">
        <v>3</v>
      </c>
      <c r="F359" s="2" t="s">
        <v>879</v>
      </c>
      <c r="G359" s="2" t="s">
        <v>4</v>
      </c>
      <c r="J359" s="2" t="s">
        <v>7</v>
      </c>
    </row>
    <row r="360" ht="12.75" customHeight="1">
      <c r="A360" s="2">
        <f>$M$1</f>
        <v>2014</v>
      </c>
      <c r="B360" s="2">
        <v>6.0</v>
      </c>
      <c r="J360" s="2" t="s">
        <v>47</v>
      </c>
    </row>
    <row r="361" ht="12.75" customHeight="1">
      <c r="A361" s="2" t="s">
        <v>0</v>
      </c>
      <c r="B361" s="2" t="s">
        <v>1</v>
      </c>
      <c r="D361" s="2" t="s">
        <v>2</v>
      </c>
      <c r="E361" s="2" t="s">
        <v>3</v>
      </c>
      <c r="F361" s="2" t="s">
        <v>879</v>
      </c>
      <c r="G361" s="2" t="s">
        <v>4</v>
      </c>
      <c r="J361" s="2" t="s">
        <v>7</v>
      </c>
    </row>
    <row r="362" ht="12.75" customHeight="1">
      <c r="A362" s="2">
        <f>$M$1</f>
        <v>2014</v>
      </c>
      <c r="B362" s="2">
        <v>6.0</v>
      </c>
      <c r="J362" s="2" t="s">
        <v>52</v>
      </c>
    </row>
    <row r="363" ht="12.75" customHeight="1">
      <c r="A363" s="2" t="s">
        <v>0</v>
      </c>
      <c r="B363" s="2" t="s">
        <v>1</v>
      </c>
      <c r="D363" s="2" t="s">
        <v>2</v>
      </c>
      <c r="E363" s="2" t="s">
        <v>3</v>
      </c>
      <c r="F363" s="2" t="s">
        <v>879</v>
      </c>
      <c r="G363" s="2" t="s">
        <v>4</v>
      </c>
      <c r="J363" s="2" t="s">
        <v>7</v>
      </c>
    </row>
    <row r="364" ht="12.75" customHeight="1">
      <c r="A364" s="2">
        <f>$M$1</f>
        <v>2014</v>
      </c>
      <c r="B364" s="2">
        <v>6.0</v>
      </c>
      <c r="J364" s="2" t="s">
        <v>42</v>
      </c>
    </row>
    <row r="365" ht="12.75" customHeight="1">
      <c r="A365" s="2" t="s">
        <v>0</v>
      </c>
      <c r="B365" s="2" t="s">
        <v>1</v>
      </c>
      <c r="D365" s="2" t="s">
        <v>2</v>
      </c>
      <c r="E365" s="2" t="s">
        <v>3</v>
      </c>
      <c r="F365" s="2" t="s">
        <v>879</v>
      </c>
      <c r="G365" s="2" t="s">
        <v>4</v>
      </c>
      <c r="J365" s="2" t="s">
        <v>7</v>
      </c>
    </row>
    <row r="366" ht="12.75" customHeight="1">
      <c r="A366" s="2">
        <f>$M$1</f>
        <v>2014</v>
      </c>
      <c r="B366" s="2">
        <v>6.0</v>
      </c>
      <c r="J366" s="2" t="s">
        <v>133</v>
      </c>
    </row>
    <row r="367" ht="12.75" customHeight="1">
      <c r="A367" s="2" t="s">
        <v>0</v>
      </c>
      <c r="B367" s="2" t="s">
        <v>1</v>
      </c>
      <c r="D367" s="2" t="s">
        <v>2</v>
      </c>
      <c r="E367" s="2" t="s">
        <v>3</v>
      </c>
      <c r="F367" s="2" t="s">
        <v>879</v>
      </c>
      <c r="G367" s="2" t="s">
        <v>4</v>
      </c>
      <c r="J367" s="2" t="s">
        <v>7</v>
      </c>
    </row>
    <row r="368" ht="12.75" customHeight="1">
      <c r="A368" s="2">
        <f>$M$1</f>
        <v>2014</v>
      </c>
      <c r="B368" s="2">
        <v>6.0</v>
      </c>
      <c r="J368" s="2" t="s">
        <v>803</v>
      </c>
    </row>
    <row r="369" ht="12.75" customHeight="1">
      <c r="A369" s="2" t="s">
        <v>0</v>
      </c>
      <c r="B369" s="2" t="s">
        <v>1</v>
      </c>
      <c r="D369" s="2" t="s">
        <v>2</v>
      </c>
      <c r="E369" s="2" t="s">
        <v>3</v>
      </c>
      <c r="F369" s="2" t="s">
        <v>879</v>
      </c>
      <c r="G369" s="2" t="s">
        <v>4</v>
      </c>
      <c r="J369" s="2" t="s">
        <v>7</v>
      </c>
    </row>
    <row r="370" ht="12.75" customHeight="1">
      <c r="A370" s="2">
        <f>$M$1</f>
        <v>2014</v>
      </c>
      <c r="B370" s="2">
        <v>6.0</v>
      </c>
      <c r="J370" s="2" t="s">
        <v>164</v>
      </c>
    </row>
    <row r="371" ht="12.75" customHeight="1">
      <c r="A371" s="2" t="s">
        <v>0</v>
      </c>
      <c r="B371" s="2" t="s">
        <v>1</v>
      </c>
      <c r="D371" s="2" t="s">
        <v>2</v>
      </c>
      <c r="E371" s="2" t="s">
        <v>3</v>
      </c>
      <c r="F371" s="2" t="s">
        <v>879</v>
      </c>
      <c r="G371" s="2" t="s">
        <v>4</v>
      </c>
      <c r="J371" s="2" t="s">
        <v>7</v>
      </c>
    </row>
    <row r="372" ht="12.75" customHeight="1">
      <c r="A372" s="2">
        <f>$M$1</f>
        <v>2014</v>
      </c>
      <c r="B372" s="2">
        <v>6.0</v>
      </c>
      <c r="J372" s="2" t="s">
        <v>50</v>
      </c>
    </row>
    <row r="373" ht="12.75" customHeight="1">
      <c r="A373" s="2" t="s">
        <v>0</v>
      </c>
      <c r="B373" s="2" t="s">
        <v>1</v>
      </c>
      <c r="D373" s="2" t="s">
        <v>2</v>
      </c>
      <c r="E373" s="2" t="s">
        <v>3</v>
      </c>
      <c r="F373" s="2" t="s">
        <v>879</v>
      </c>
      <c r="G373" s="2" t="s">
        <v>4</v>
      </c>
      <c r="J373" s="2" t="s">
        <v>7</v>
      </c>
    </row>
    <row r="374" ht="12.75" customHeight="1">
      <c r="A374" s="2">
        <f>$M$1</f>
        <v>2014</v>
      </c>
      <c r="B374" s="2">
        <v>6.0</v>
      </c>
      <c r="J374" s="2" t="s">
        <v>304</v>
      </c>
    </row>
    <row r="375" ht="12.75" customHeight="1">
      <c r="A375" s="2" t="s">
        <v>0</v>
      </c>
      <c r="B375" s="2" t="s">
        <v>1</v>
      </c>
      <c r="D375" s="2" t="s">
        <v>2</v>
      </c>
      <c r="E375" s="2" t="s">
        <v>3</v>
      </c>
      <c r="F375" s="2" t="s">
        <v>879</v>
      </c>
      <c r="G375" s="2" t="s">
        <v>4</v>
      </c>
      <c r="J375" s="2" t="s">
        <v>7</v>
      </c>
    </row>
    <row r="376" ht="12.75" customHeight="1">
      <c r="A376" s="2">
        <f>$M$1</f>
        <v>2014</v>
      </c>
      <c r="B376" s="2">
        <v>6.0</v>
      </c>
      <c r="J376" s="2" t="s">
        <v>72</v>
      </c>
    </row>
    <row r="377" ht="12.75" customHeight="1">
      <c r="A377" s="2" t="s">
        <v>0</v>
      </c>
      <c r="B377" s="2" t="s">
        <v>1</v>
      </c>
      <c r="D377" s="2" t="s">
        <v>2</v>
      </c>
      <c r="E377" s="2" t="s">
        <v>3</v>
      </c>
      <c r="F377" s="2" t="s">
        <v>879</v>
      </c>
      <c r="G377" s="2" t="s">
        <v>4</v>
      </c>
      <c r="J377" s="2" t="s">
        <v>7</v>
      </c>
    </row>
    <row r="378" ht="12.75" customHeight="1">
      <c r="A378" s="2">
        <f>$M$1</f>
        <v>2014</v>
      </c>
      <c r="B378" s="2">
        <v>6.0</v>
      </c>
      <c r="J378" s="2" t="s">
        <v>13</v>
      </c>
    </row>
    <row r="379" ht="12.75" customHeight="1">
      <c r="A379" s="2" t="s">
        <v>0</v>
      </c>
      <c r="B379" s="2" t="s">
        <v>1</v>
      </c>
      <c r="D379" s="2" t="s">
        <v>2</v>
      </c>
      <c r="E379" s="2" t="s">
        <v>3</v>
      </c>
      <c r="F379" s="2" t="s">
        <v>879</v>
      </c>
      <c r="G379" s="2" t="s">
        <v>4</v>
      </c>
      <c r="J379" s="2" t="s">
        <v>7</v>
      </c>
    </row>
    <row r="380" ht="12.75" customHeight="1">
      <c r="A380" s="2">
        <f>$M$1</f>
        <v>2014</v>
      </c>
      <c r="B380" s="2">
        <v>6.0</v>
      </c>
      <c r="J380" s="2" t="s">
        <v>18</v>
      </c>
    </row>
    <row r="381" ht="12.75" customHeight="1">
      <c r="A381" s="2" t="s">
        <v>0</v>
      </c>
      <c r="B381" s="2" t="s">
        <v>1</v>
      </c>
      <c r="D381" s="2" t="s">
        <v>2</v>
      </c>
      <c r="E381" s="2" t="s">
        <v>3</v>
      </c>
      <c r="F381" s="2" t="s">
        <v>879</v>
      </c>
      <c r="G381" s="2" t="s">
        <v>4</v>
      </c>
      <c r="J381" s="2" t="s">
        <v>7</v>
      </c>
    </row>
    <row r="382" ht="12.75" customHeight="1">
      <c r="A382" s="2">
        <f>$M$1</f>
        <v>2014</v>
      </c>
      <c r="B382" s="2">
        <v>6.0</v>
      </c>
      <c r="J382" s="2" t="s">
        <v>153</v>
      </c>
    </row>
    <row r="383" ht="12.75" customHeight="1">
      <c r="A383" s="2" t="s">
        <v>0</v>
      </c>
      <c r="B383" s="2" t="s">
        <v>1</v>
      </c>
      <c r="D383" s="2" t="s">
        <v>2</v>
      </c>
      <c r="E383" s="2" t="s">
        <v>3</v>
      </c>
      <c r="F383" s="2" t="s">
        <v>879</v>
      </c>
      <c r="G383" s="2" t="s">
        <v>4</v>
      </c>
      <c r="J383" s="2" t="s">
        <v>7</v>
      </c>
    </row>
    <row r="384" ht="12.75" customHeight="1">
      <c r="A384" s="2">
        <f>$M$1</f>
        <v>2014</v>
      </c>
      <c r="B384" s="2">
        <v>6.0</v>
      </c>
      <c r="J384" s="2" t="s">
        <v>805</v>
      </c>
    </row>
    <row r="385" ht="12.75" customHeight="1">
      <c r="A385" s="2" t="s">
        <v>0</v>
      </c>
      <c r="B385" s="2" t="s">
        <v>1</v>
      </c>
      <c r="D385" s="2" t="s">
        <v>2</v>
      </c>
      <c r="E385" s="2" t="s">
        <v>3</v>
      </c>
      <c r="F385" s="2" t="s">
        <v>879</v>
      </c>
      <c r="G385" s="2" t="s">
        <v>4</v>
      </c>
      <c r="J385" s="2" t="s">
        <v>7</v>
      </c>
    </row>
    <row r="386" ht="12.75" customHeight="1">
      <c r="A386" s="2">
        <f>$M$1</f>
        <v>2014</v>
      </c>
      <c r="B386" s="2">
        <v>6.0</v>
      </c>
      <c r="J386" s="2" t="s">
        <v>31</v>
      </c>
    </row>
    <row r="387" ht="12.75" customHeight="1">
      <c r="A387" s="2" t="s">
        <v>0</v>
      </c>
      <c r="B387" s="2" t="s">
        <v>1</v>
      </c>
      <c r="D387" s="2" t="s">
        <v>2</v>
      </c>
      <c r="E387" s="2" t="s">
        <v>3</v>
      </c>
      <c r="F387" s="2" t="s">
        <v>879</v>
      </c>
      <c r="G387" s="2" t="s">
        <v>4</v>
      </c>
      <c r="J387" s="2" t="s">
        <v>7</v>
      </c>
    </row>
    <row r="388" ht="12.75" customHeight="1">
      <c r="A388" s="2">
        <f>$M$1</f>
        <v>2014</v>
      </c>
      <c r="B388" s="2">
        <v>6.0</v>
      </c>
      <c r="J388" s="2" t="s">
        <v>123</v>
      </c>
    </row>
    <row r="389" ht="12.75" customHeight="1">
      <c r="A389" s="2" t="s">
        <v>0</v>
      </c>
      <c r="B389" s="2" t="s">
        <v>1</v>
      </c>
      <c r="D389" s="2" t="s">
        <v>2</v>
      </c>
      <c r="E389" s="2" t="s">
        <v>3</v>
      </c>
      <c r="F389" s="2" t="s">
        <v>879</v>
      </c>
      <c r="G389" s="2" t="s">
        <v>4</v>
      </c>
      <c r="J389" s="2" t="s">
        <v>7</v>
      </c>
    </row>
    <row r="390" ht="12.75" customHeight="1">
      <c r="A390" s="2">
        <f>$M$1</f>
        <v>2014</v>
      </c>
      <c r="B390" s="2">
        <v>6.0</v>
      </c>
      <c r="J390" s="2" t="s">
        <v>35</v>
      </c>
    </row>
    <row r="391" ht="12.75" customHeight="1">
      <c r="A391" s="2" t="s">
        <v>0</v>
      </c>
      <c r="B391" s="2" t="s">
        <v>1</v>
      </c>
      <c r="D391" s="2" t="s">
        <v>2</v>
      </c>
      <c r="E391" s="2" t="s">
        <v>3</v>
      </c>
      <c r="F391" s="2" t="s">
        <v>879</v>
      </c>
      <c r="G391" s="2" t="s">
        <v>4</v>
      </c>
      <c r="J391" s="2" t="s">
        <v>7</v>
      </c>
    </row>
    <row r="392" ht="12.75" customHeight="1">
      <c r="A392" s="2">
        <f>$M$1</f>
        <v>2014</v>
      </c>
      <c r="B392" s="2">
        <v>6.0</v>
      </c>
      <c r="J392" s="2" t="s">
        <v>210</v>
      </c>
    </row>
    <row r="393" ht="12.75" customHeight="1">
      <c r="A393" s="2" t="s">
        <v>0</v>
      </c>
      <c r="B393" s="2" t="s">
        <v>1</v>
      </c>
      <c r="D393" s="2" t="s">
        <v>2</v>
      </c>
      <c r="E393" s="2" t="s">
        <v>3</v>
      </c>
      <c r="F393" s="2" t="s">
        <v>879</v>
      </c>
      <c r="G393" s="2" t="s">
        <v>4</v>
      </c>
      <c r="J393" s="2" t="s">
        <v>7</v>
      </c>
    </row>
    <row r="394" ht="12.75" customHeight="1">
      <c r="A394" s="2">
        <f>$M$1</f>
        <v>2014</v>
      </c>
      <c r="B394" s="2">
        <v>6.0</v>
      </c>
      <c r="J394" s="2" t="s">
        <v>808</v>
      </c>
    </row>
    <row r="395" ht="12.75" customHeight="1">
      <c r="A395" s="2" t="s">
        <v>0</v>
      </c>
      <c r="B395" s="2" t="s">
        <v>1</v>
      </c>
      <c r="D395" s="2" t="s">
        <v>2</v>
      </c>
      <c r="E395" s="2" t="s">
        <v>3</v>
      </c>
      <c r="F395" s="2" t="s">
        <v>879</v>
      </c>
      <c r="G395" s="2" t="s">
        <v>4</v>
      </c>
      <c r="J395" s="2" t="s">
        <v>7</v>
      </c>
    </row>
    <row r="396" ht="12.75" customHeight="1">
      <c r="A396" s="2">
        <f>$M$1</f>
        <v>2014</v>
      </c>
      <c r="B396" s="2">
        <v>6.0</v>
      </c>
      <c r="J396" s="2" t="s">
        <v>810</v>
      </c>
    </row>
    <row r="397" ht="12.75" customHeight="1">
      <c r="A397" s="2" t="s">
        <v>0</v>
      </c>
      <c r="B397" s="2" t="s">
        <v>1</v>
      </c>
      <c r="D397" s="2" t="s">
        <v>2</v>
      </c>
      <c r="E397" s="2" t="s">
        <v>3</v>
      </c>
      <c r="F397" s="2" t="s">
        <v>879</v>
      </c>
      <c r="G397" s="2" t="s">
        <v>4</v>
      </c>
      <c r="J397" s="2" t="s">
        <v>7</v>
      </c>
    </row>
    <row r="398" ht="12.75" customHeight="1">
      <c r="A398" s="2">
        <f>$M$1</f>
        <v>2014</v>
      </c>
      <c r="B398" s="2">
        <v>7.0</v>
      </c>
      <c r="J398" s="2" t="s">
        <v>10</v>
      </c>
    </row>
    <row r="399" ht="12.75" customHeight="1">
      <c r="A399" s="2" t="s">
        <v>0</v>
      </c>
      <c r="B399" s="2" t="s">
        <v>1</v>
      </c>
      <c r="D399" s="2" t="s">
        <v>2</v>
      </c>
      <c r="E399" s="2" t="s">
        <v>3</v>
      </c>
      <c r="F399" s="2" t="s">
        <v>879</v>
      </c>
      <c r="G399" s="2" t="s">
        <v>4</v>
      </c>
      <c r="J399" s="2" t="s">
        <v>7</v>
      </c>
    </row>
    <row r="400" ht="12.75" customHeight="1">
      <c r="A400" s="2">
        <f>$M$1</f>
        <v>2014</v>
      </c>
      <c r="B400" s="2">
        <v>7.0</v>
      </c>
      <c r="J400" s="2" t="s">
        <v>20</v>
      </c>
    </row>
    <row r="401" ht="12.75" customHeight="1">
      <c r="A401" s="2" t="s">
        <v>0</v>
      </c>
      <c r="B401" s="2" t="s">
        <v>1</v>
      </c>
      <c r="D401" s="2" t="s">
        <v>2</v>
      </c>
      <c r="E401" s="2" t="s">
        <v>3</v>
      </c>
      <c r="F401" s="2" t="s">
        <v>879</v>
      </c>
      <c r="G401" s="2" t="s">
        <v>4</v>
      </c>
      <c r="J401" s="2" t="s">
        <v>7</v>
      </c>
    </row>
    <row r="402" ht="12.75" customHeight="1">
      <c r="A402" s="2">
        <f>$M$1</f>
        <v>2014</v>
      </c>
      <c r="B402" s="2">
        <v>7.0</v>
      </c>
      <c r="J402" s="2" t="s">
        <v>17</v>
      </c>
    </row>
    <row r="403" ht="12.75" customHeight="1">
      <c r="A403" s="2" t="s">
        <v>0</v>
      </c>
      <c r="B403" s="2" t="s">
        <v>1</v>
      </c>
      <c r="D403" s="2" t="s">
        <v>2</v>
      </c>
      <c r="E403" s="2" t="s">
        <v>3</v>
      </c>
      <c r="F403" s="2" t="s">
        <v>879</v>
      </c>
      <c r="G403" s="2" t="s">
        <v>4</v>
      </c>
      <c r="J403" s="2" t="s">
        <v>7</v>
      </c>
    </row>
    <row r="404" ht="12.75" customHeight="1">
      <c r="A404" s="2">
        <f>$M$1</f>
        <v>2014</v>
      </c>
      <c r="B404" s="2">
        <v>7.0</v>
      </c>
      <c r="J404" s="2" t="s">
        <v>24</v>
      </c>
    </row>
    <row r="405" ht="12.75" customHeight="1">
      <c r="A405" s="2" t="s">
        <v>0</v>
      </c>
      <c r="B405" s="2" t="s">
        <v>1</v>
      </c>
      <c r="D405" s="2" t="s">
        <v>2</v>
      </c>
      <c r="E405" s="2" t="s">
        <v>3</v>
      </c>
      <c r="F405" s="2" t="s">
        <v>879</v>
      </c>
      <c r="G405" s="2" t="s">
        <v>4</v>
      </c>
      <c r="J405" s="2" t="s">
        <v>7</v>
      </c>
    </row>
    <row r="406" ht="12.75" customHeight="1">
      <c r="A406" s="2">
        <f>$M$1</f>
        <v>2014</v>
      </c>
      <c r="B406" s="2">
        <v>7.0</v>
      </c>
      <c r="J406" s="2" t="s">
        <v>651</v>
      </c>
    </row>
    <row r="407" ht="12.75" customHeight="1">
      <c r="A407" s="2" t="s">
        <v>0</v>
      </c>
      <c r="B407" s="2" t="s">
        <v>1</v>
      </c>
      <c r="D407" s="2" t="s">
        <v>2</v>
      </c>
      <c r="E407" s="2" t="s">
        <v>3</v>
      </c>
      <c r="F407" s="2" t="s">
        <v>879</v>
      </c>
      <c r="G407" s="2" t="s">
        <v>4</v>
      </c>
      <c r="J407" s="2" t="s">
        <v>7</v>
      </c>
    </row>
    <row r="408" ht="12.75" customHeight="1">
      <c r="A408" s="2">
        <f>$M$1</f>
        <v>2014</v>
      </c>
      <c r="B408" s="2">
        <v>7.0</v>
      </c>
      <c r="J408" s="2" t="s">
        <v>76</v>
      </c>
    </row>
    <row r="409" ht="12.75" customHeight="1">
      <c r="A409" s="2" t="s">
        <v>0</v>
      </c>
      <c r="B409" s="2" t="s">
        <v>1</v>
      </c>
      <c r="D409" s="2" t="s">
        <v>2</v>
      </c>
      <c r="E409" s="2" t="s">
        <v>3</v>
      </c>
      <c r="F409" s="2" t="s">
        <v>879</v>
      </c>
      <c r="G409" s="2" t="s">
        <v>4</v>
      </c>
      <c r="J409" s="2" t="s">
        <v>7</v>
      </c>
    </row>
    <row r="410" ht="12.75" customHeight="1">
      <c r="A410" s="2">
        <f>$M$1</f>
        <v>2014</v>
      </c>
      <c r="B410" s="2">
        <v>7.0</v>
      </c>
      <c r="J410" s="2" t="s">
        <v>26</v>
      </c>
    </row>
    <row r="411" ht="12.75" customHeight="1">
      <c r="A411" s="2" t="s">
        <v>0</v>
      </c>
      <c r="B411" s="2" t="s">
        <v>1</v>
      </c>
      <c r="D411" s="2" t="s">
        <v>2</v>
      </c>
      <c r="E411" s="2" t="s">
        <v>3</v>
      </c>
      <c r="F411" s="2" t="s">
        <v>879</v>
      </c>
      <c r="G411" s="2" t="s">
        <v>4</v>
      </c>
      <c r="J411" s="2" t="s">
        <v>7</v>
      </c>
    </row>
    <row r="412" ht="12.75" customHeight="1">
      <c r="A412" s="2">
        <f>$M$1</f>
        <v>2014</v>
      </c>
      <c r="B412" s="2">
        <v>7.0</v>
      </c>
      <c r="J412" s="2" t="s">
        <v>103</v>
      </c>
    </row>
    <row r="413" ht="12.75" customHeight="1">
      <c r="A413" s="2" t="s">
        <v>0</v>
      </c>
      <c r="B413" s="2" t="s">
        <v>1</v>
      </c>
      <c r="D413" s="2" t="s">
        <v>2</v>
      </c>
      <c r="E413" s="2" t="s">
        <v>3</v>
      </c>
      <c r="F413" s="2" t="s">
        <v>879</v>
      </c>
      <c r="G413" s="2" t="s">
        <v>4</v>
      </c>
      <c r="J413" s="2" t="s">
        <v>7</v>
      </c>
    </row>
    <row r="414" ht="12.75" customHeight="1">
      <c r="A414" s="2">
        <f>$M$1</f>
        <v>2014</v>
      </c>
      <c r="B414" s="2">
        <v>7.0</v>
      </c>
      <c r="J414" s="2" t="s">
        <v>22</v>
      </c>
    </row>
    <row r="415" ht="12.75" customHeight="1">
      <c r="A415" s="2" t="s">
        <v>0</v>
      </c>
      <c r="B415" s="2" t="s">
        <v>1</v>
      </c>
      <c r="D415" s="2" t="s">
        <v>2</v>
      </c>
      <c r="E415" s="2" t="s">
        <v>3</v>
      </c>
      <c r="F415" s="2" t="s">
        <v>879</v>
      </c>
      <c r="G415" s="2" t="s">
        <v>4</v>
      </c>
      <c r="J415" s="2" t="s">
        <v>7</v>
      </c>
    </row>
    <row r="416" ht="12.75" customHeight="1">
      <c r="A416" s="2">
        <f>$M$1</f>
        <v>2014</v>
      </c>
      <c r="B416" s="2">
        <v>7.0</v>
      </c>
      <c r="J416" s="2" t="s">
        <v>428</v>
      </c>
    </row>
    <row r="417" ht="12.75" customHeight="1">
      <c r="A417" s="2" t="s">
        <v>0</v>
      </c>
      <c r="B417" s="2" t="s">
        <v>1</v>
      </c>
      <c r="D417" s="2" t="s">
        <v>2</v>
      </c>
      <c r="E417" s="2" t="s">
        <v>3</v>
      </c>
      <c r="F417" s="2" t="s">
        <v>879</v>
      </c>
      <c r="G417" s="2" t="s">
        <v>4</v>
      </c>
      <c r="J417" s="2" t="s">
        <v>7</v>
      </c>
    </row>
    <row r="418" ht="12.75" customHeight="1">
      <c r="A418" s="2">
        <f>$M$1</f>
        <v>2014</v>
      </c>
      <c r="B418" s="2">
        <v>7.0</v>
      </c>
      <c r="J418" s="2" t="s">
        <v>800</v>
      </c>
    </row>
    <row r="419" ht="12.75" customHeight="1">
      <c r="A419" s="2" t="s">
        <v>0</v>
      </c>
      <c r="B419" s="2" t="s">
        <v>1</v>
      </c>
      <c r="D419" s="2" t="s">
        <v>2</v>
      </c>
      <c r="E419" s="2" t="s">
        <v>3</v>
      </c>
      <c r="F419" s="2" t="s">
        <v>879</v>
      </c>
      <c r="G419" s="2" t="s">
        <v>4</v>
      </c>
      <c r="J419" s="2" t="s">
        <v>7</v>
      </c>
    </row>
    <row r="420" ht="12.75" customHeight="1">
      <c r="A420" s="2">
        <f>$M$1</f>
        <v>2014</v>
      </c>
      <c r="B420" s="2">
        <v>7.0</v>
      </c>
      <c r="J420" s="2" t="s">
        <v>54</v>
      </c>
    </row>
    <row r="421" ht="12.75" customHeight="1">
      <c r="A421" s="2" t="s">
        <v>0</v>
      </c>
      <c r="B421" s="2" t="s">
        <v>1</v>
      </c>
      <c r="D421" s="2" t="s">
        <v>2</v>
      </c>
      <c r="E421" s="2" t="s">
        <v>3</v>
      </c>
      <c r="F421" s="2" t="s">
        <v>879</v>
      </c>
      <c r="G421" s="2" t="s">
        <v>4</v>
      </c>
      <c r="J421" s="2" t="s">
        <v>7</v>
      </c>
    </row>
    <row r="422" ht="12.75" customHeight="1">
      <c r="A422" s="2">
        <f>$M$1</f>
        <v>2014</v>
      </c>
      <c r="B422" s="2">
        <v>7.0</v>
      </c>
      <c r="J422" s="2" t="s">
        <v>801</v>
      </c>
    </row>
    <row r="423" ht="12.75" customHeight="1">
      <c r="A423" s="2" t="s">
        <v>0</v>
      </c>
      <c r="B423" s="2" t="s">
        <v>1</v>
      </c>
      <c r="D423" s="2" t="s">
        <v>2</v>
      </c>
      <c r="E423" s="2" t="s">
        <v>3</v>
      </c>
      <c r="F423" s="2" t="s">
        <v>879</v>
      </c>
      <c r="G423" s="2" t="s">
        <v>4</v>
      </c>
      <c r="J423" s="2" t="s">
        <v>7</v>
      </c>
    </row>
    <row r="424" ht="12.75" customHeight="1">
      <c r="A424" s="2">
        <f>$M$1</f>
        <v>2014</v>
      </c>
      <c r="B424" s="2">
        <v>7.0</v>
      </c>
      <c r="J424" s="2" t="s">
        <v>38</v>
      </c>
    </row>
    <row r="425" ht="12.75" customHeight="1">
      <c r="A425" s="2" t="s">
        <v>0</v>
      </c>
      <c r="B425" s="2" t="s">
        <v>1</v>
      </c>
      <c r="D425" s="2" t="s">
        <v>2</v>
      </c>
      <c r="E425" s="2" t="s">
        <v>3</v>
      </c>
      <c r="F425" s="2" t="s">
        <v>879</v>
      </c>
      <c r="G425" s="2" t="s">
        <v>4</v>
      </c>
      <c r="J425" s="2" t="s">
        <v>7</v>
      </c>
    </row>
    <row r="426" ht="12.75" customHeight="1">
      <c r="A426" s="2">
        <f>$M$1</f>
        <v>2014</v>
      </c>
      <c r="B426" s="2">
        <v>7.0</v>
      </c>
      <c r="J426" s="2" t="s">
        <v>47</v>
      </c>
    </row>
    <row r="427" ht="12.75" customHeight="1">
      <c r="A427" s="2" t="s">
        <v>0</v>
      </c>
      <c r="B427" s="2" t="s">
        <v>1</v>
      </c>
      <c r="D427" s="2" t="s">
        <v>2</v>
      </c>
      <c r="E427" s="2" t="s">
        <v>3</v>
      </c>
      <c r="F427" s="2" t="s">
        <v>879</v>
      </c>
      <c r="G427" s="2" t="s">
        <v>4</v>
      </c>
      <c r="J427" s="2" t="s">
        <v>7</v>
      </c>
    </row>
    <row r="428" ht="12.75" customHeight="1">
      <c r="A428" s="2">
        <f>$M$1</f>
        <v>2014</v>
      </c>
      <c r="B428" s="2">
        <v>7.0</v>
      </c>
      <c r="J428" s="2" t="s">
        <v>52</v>
      </c>
    </row>
    <row r="429" ht="12.75" customHeight="1">
      <c r="A429" s="2" t="s">
        <v>0</v>
      </c>
      <c r="B429" s="2" t="s">
        <v>1</v>
      </c>
      <c r="D429" s="2" t="s">
        <v>2</v>
      </c>
      <c r="E429" s="2" t="s">
        <v>3</v>
      </c>
      <c r="F429" s="2" t="s">
        <v>879</v>
      </c>
      <c r="G429" s="2" t="s">
        <v>4</v>
      </c>
      <c r="J429" s="2" t="s">
        <v>7</v>
      </c>
    </row>
    <row r="430" ht="12.75" customHeight="1">
      <c r="A430" s="2">
        <f>$M$1</f>
        <v>2014</v>
      </c>
      <c r="B430" s="2">
        <v>7.0</v>
      </c>
      <c r="J430" s="2" t="s">
        <v>42</v>
      </c>
    </row>
    <row r="431" ht="12.75" customHeight="1">
      <c r="A431" s="2" t="s">
        <v>0</v>
      </c>
      <c r="B431" s="2" t="s">
        <v>1</v>
      </c>
      <c r="D431" s="2" t="s">
        <v>2</v>
      </c>
      <c r="E431" s="2" t="s">
        <v>3</v>
      </c>
      <c r="F431" s="2" t="s">
        <v>879</v>
      </c>
      <c r="G431" s="2" t="s">
        <v>4</v>
      </c>
      <c r="J431" s="2" t="s">
        <v>7</v>
      </c>
    </row>
    <row r="432" ht="12.75" customHeight="1">
      <c r="A432" s="2">
        <f>$M$1</f>
        <v>2014</v>
      </c>
      <c r="B432" s="2">
        <v>7.0</v>
      </c>
      <c r="J432" s="2" t="s">
        <v>133</v>
      </c>
    </row>
    <row r="433" ht="12.75" customHeight="1">
      <c r="A433" s="2" t="s">
        <v>0</v>
      </c>
      <c r="B433" s="2" t="s">
        <v>1</v>
      </c>
      <c r="D433" s="2" t="s">
        <v>2</v>
      </c>
      <c r="E433" s="2" t="s">
        <v>3</v>
      </c>
      <c r="F433" s="2" t="s">
        <v>879</v>
      </c>
      <c r="G433" s="2" t="s">
        <v>4</v>
      </c>
      <c r="J433" s="2" t="s">
        <v>7</v>
      </c>
    </row>
    <row r="434" ht="12.75" customHeight="1">
      <c r="A434" s="2">
        <f>$M$1</f>
        <v>2014</v>
      </c>
      <c r="B434" s="2">
        <v>7.0</v>
      </c>
      <c r="J434" s="2" t="s">
        <v>803</v>
      </c>
    </row>
    <row r="435" ht="12.75" customHeight="1">
      <c r="A435" s="2" t="s">
        <v>0</v>
      </c>
      <c r="B435" s="2" t="s">
        <v>1</v>
      </c>
      <c r="D435" s="2" t="s">
        <v>2</v>
      </c>
      <c r="E435" s="2" t="s">
        <v>3</v>
      </c>
      <c r="F435" s="2" t="s">
        <v>879</v>
      </c>
      <c r="G435" s="2" t="s">
        <v>4</v>
      </c>
      <c r="J435" s="2" t="s">
        <v>7</v>
      </c>
    </row>
    <row r="436" ht="12.75" customHeight="1">
      <c r="A436" s="2">
        <f>$M$1</f>
        <v>2014</v>
      </c>
      <c r="B436" s="2">
        <v>7.0</v>
      </c>
      <c r="J436" s="2" t="s">
        <v>164</v>
      </c>
    </row>
    <row r="437" ht="12.75" customHeight="1">
      <c r="A437" s="2" t="s">
        <v>0</v>
      </c>
      <c r="B437" s="2" t="s">
        <v>1</v>
      </c>
      <c r="D437" s="2" t="s">
        <v>2</v>
      </c>
      <c r="E437" s="2" t="s">
        <v>3</v>
      </c>
      <c r="F437" s="2" t="s">
        <v>879</v>
      </c>
      <c r="G437" s="2" t="s">
        <v>4</v>
      </c>
      <c r="J437" s="2" t="s">
        <v>7</v>
      </c>
    </row>
    <row r="438" ht="12.75" customHeight="1">
      <c r="A438" s="2">
        <f>$M$1</f>
        <v>2014</v>
      </c>
      <c r="B438" s="2">
        <v>7.0</v>
      </c>
      <c r="J438" s="2" t="s">
        <v>50</v>
      </c>
    </row>
    <row r="439" ht="12.75" customHeight="1">
      <c r="A439" s="2" t="s">
        <v>0</v>
      </c>
      <c r="B439" s="2" t="s">
        <v>1</v>
      </c>
      <c r="D439" s="2" t="s">
        <v>2</v>
      </c>
      <c r="E439" s="2" t="s">
        <v>3</v>
      </c>
      <c r="F439" s="2" t="s">
        <v>879</v>
      </c>
      <c r="G439" s="2" t="s">
        <v>4</v>
      </c>
      <c r="J439" s="2" t="s">
        <v>7</v>
      </c>
    </row>
    <row r="440" ht="12.75" customHeight="1">
      <c r="A440" s="2">
        <f>$M$1</f>
        <v>2014</v>
      </c>
      <c r="B440" s="2">
        <v>7.0</v>
      </c>
      <c r="J440" s="2" t="s">
        <v>304</v>
      </c>
    </row>
    <row r="441" ht="12.75" customHeight="1">
      <c r="A441" s="2" t="s">
        <v>0</v>
      </c>
      <c r="B441" s="2" t="s">
        <v>1</v>
      </c>
      <c r="D441" s="2" t="s">
        <v>2</v>
      </c>
      <c r="E441" s="2" t="s">
        <v>3</v>
      </c>
      <c r="F441" s="2" t="s">
        <v>879</v>
      </c>
      <c r="G441" s="2" t="s">
        <v>4</v>
      </c>
      <c r="J441" s="2" t="s">
        <v>7</v>
      </c>
    </row>
    <row r="442" ht="12.75" customHeight="1">
      <c r="A442" s="2">
        <f>$M$1</f>
        <v>2014</v>
      </c>
      <c r="B442" s="2">
        <v>7.0</v>
      </c>
      <c r="J442" s="2" t="s">
        <v>72</v>
      </c>
    </row>
    <row r="443" ht="12.75" customHeight="1">
      <c r="A443" s="2" t="s">
        <v>0</v>
      </c>
      <c r="B443" s="2" t="s">
        <v>1</v>
      </c>
      <c r="D443" s="2" t="s">
        <v>2</v>
      </c>
      <c r="E443" s="2" t="s">
        <v>3</v>
      </c>
      <c r="F443" s="2" t="s">
        <v>879</v>
      </c>
      <c r="G443" s="2" t="s">
        <v>4</v>
      </c>
      <c r="J443" s="2" t="s">
        <v>7</v>
      </c>
    </row>
    <row r="444" ht="12.75" customHeight="1">
      <c r="A444" s="2">
        <f>$M$1</f>
        <v>2014</v>
      </c>
      <c r="B444" s="2">
        <v>7.0</v>
      </c>
      <c r="J444" s="2" t="s">
        <v>13</v>
      </c>
    </row>
    <row r="445" ht="12.75" customHeight="1">
      <c r="A445" s="2" t="s">
        <v>0</v>
      </c>
      <c r="B445" s="2" t="s">
        <v>1</v>
      </c>
      <c r="D445" s="2" t="s">
        <v>2</v>
      </c>
      <c r="E445" s="2" t="s">
        <v>3</v>
      </c>
      <c r="F445" s="2" t="s">
        <v>879</v>
      </c>
      <c r="G445" s="2" t="s">
        <v>4</v>
      </c>
      <c r="J445" s="2" t="s">
        <v>7</v>
      </c>
    </row>
    <row r="446" ht="12.75" customHeight="1">
      <c r="A446" s="2">
        <f>$M$1</f>
        <v>2014</v>
      </c>
      <c r="B446" s="2">
        <v>7.0</v>
      </c>
      <c r="J446" s="2" t="s">
        <v>18</v>
      </c>
    </row>
    <row r="447" ht="12.75" customHeight="1">
      <c r="A447" s="2" t="s">
        <v>0</v>
      </c>
      <c r="B447" s="2" t="s">
        <v>1</v>
      </c>
      <c r="D447" s="2" t="s">
        <v>2</v>
      </c>
      <c r="E447" s="2" t="s">
        <v>3</v>
      </c>
      <c r="F447" s="2" t="s">
        <v>879</v>
      </c>
      <c r="G447" s="2" t="s">
        <v>4</v>
      </c>
      <c r="J447" s="2" t="s">
        <v>7</v>
      </c>
    </row>
    <row r="448" ht="12.75" customHeight="1">
      <c r="A448" s="2">
        <f>$M$1</f>
        <v>2014</v>
      </c>
      <c r="B448" s="2">
        <v>7.0</v>
      </c>
      <c r="J448" s="2" t="s">
        <v>153</v>
      </c>
    </row>
    <row r="449" ht="12.75" customHeight="1">
      <c r="A449" s="2" t="s">
        <v>0</v>
      </c>
      <c r="B449" s="2" t="s">
        <v>1</v>
      </c>
      <c r="D449" s="2" t="s">
        <v>2</v>
      </c>
      <c r="E449" s="2" t="s">
        <v>3</v>
      </c>
      <c r="F449" s="2" t="s">
        <v>879</v>
      </c>
      <c r="G449" s="2" t="s">
        <v>4</v>
      </c>
      <c r="J449" s="2" t="s">
        <v>7</v>
      </c>
    </row>
    <row r="450" ht="12.75" customHeight="1">
      <c r="A450" s="2">
        <f>$M$1</f>
        <v>2014</v>
      </c>
      <c r="B450" s="2">
        <v>7.0</v>
      </c>
      <c r="J450" s="2" t="s">
        <v>805</v>
      </c>
    </row>
    <row r="451" ht="12.75" customHeight="1">
      <c r="A451" s="2" t="s">
        <v>0</v>
      </c>
      <c r="B451" s="2" t="s">
        <v>1</v>
      </c>
      <c r="D451" s="2" t="s">
        <v>2</v>
      </c>
      <c r="E451" s="2" t="s">
        <v>3</v>
      </c>
      <c r="F451" s="2" t="s">
        <v>879</v>
      </c>
      <c r="G451" s="2" t="s">
        <v>4</v>
      </c>
      <c r="J451" s="2" t="s">
        <v>7</v>
      </c>
    </row>
    <row r="452" ht="12.75" customHeight="1">
      <c r="A452" s="2">
        <f>$M$1</f>
        <v>2014</v>
      </c>
      <c r="B452" s="2">
        <v>7.0</v>
      </c>
      <c r="J452" s="2" t="s">
        <v>31</v>
      </c>
    </row>
    <row r="453" ht="12.75" customHeight="1">
      <c r="A453" s="2" t="s">
        <v>0</v>
      </c>
      <c r="B453" s="2" t="s">
        <v>1</v>
      </c>
      <c r="D453" s="2" t="s">
        <v>2</v>
      </c>
      <c r="E453" s="2" t="s">
        <v>3</v>
      </c>
      <c r="F453" s="2" t="s">
        <v>879</v>
      </c>
      <c r="G453" s="2" t="s">
        <v>4</v>
      </c>
      <c r="J453" s="2" t="s">
        <v>7</v>
      </c>
    </row>
    <row r="454" ht="12.75" customHeight="1">
      <c r="A454" s="2">
        <f>$M$1</f>
        <v>2014</v>
      </c>
      <c r="B454" s="2">
        <v>7.0</v>
      </c>
      <c r="J454" s="2" t="s">
        <v>123</v>
      </c>
    </row>
    <row r="455" ht="12.75" customHeight="1">
      <c r="A455" s="2" t="s">
        <v>0</v>
      </c>
      <c r="B455" s="2" t="s">
        <v>1</v>
      </c>
      <c r="D455" s="2" t="s">
        <v>2</v>
      </c>
      <c r="E455" s="2" t="s">
        <v>3</v>
      </c>
      <c r="F455" s="2" t="s">
        <v>879</v>
      </c>
      <c r="G455" s="2" t="s">
        <v>4</v>
      </c>
      <c r="J455" s="2" t="s">
        <v>7</v>
      </c>
    </row>
    <row r="456" ht="12.75" customHeight="1">
      <c r="A456" s="2">
        <f>$M$1</f>
        <v>2014</v>
      </c>
      <c r="B456" s="2">
        <v>7.0</v>
      </c>
      <c r="J456" s="2" t="s">
        <v>35</v>
      </c>
    </row>
    <row r="457" ht="12.75" customHeight="1">
      <c r="A457" s="2" t="s">
        <v>0</v>
      </c>
      <c r="B457" s="2" t="s">
        <v>1</v>
      </c>
      <c r="D457" s="2" t="s">
        <v>2</v>
      </c>
      <c r="E457" s="2" t="s">
        <v>3</v>
      </c>
      <c r="F457" s="2" t="s">
        <v>879</v>
      </c>
      <c r="G457" s="2" t="s">
        <v>4</v>
      </c>
      <c r="J457" s="2" t="s">
        <v>7</v>
      </c>
    </row>
    <row r="458" ht="12.75" customHeight="1">
      <c r="A458" s="2">
        <f>$M$1</f>
        <v>2014</v>
      </c>
      <c r="B458" s="2">
        <v>7.0</v>
      </c>
      <c r="J458" s="2" t="s">
        <v>210</v>
      </c>
    </row>
    <row r="459" ht="12.75" customHeight="1">
      <c r="A459" s="2" t="s">
        <v>0</v>
      </c>
      <c r="B459" s="2" t="s">
        <v>1</v>
      </c>
      <c r="D459" s="2" t="s">
        <v>2</v>
      </c>
      <c r="E459" s="2" t="s">
        <v>3</v>
      </c>
      <c r="F459" s="2" t="s">
        <v>879</v>
      </c>
      <c r="G459" s="2" t="s">
        <v>4</v>
      </c>
      <c r="J459" s="2" t="s">
        <v>7</v>
      </c>
    </row>
    <row r="460" ht="12.75" customHeight="1">
      <c r="A460" s="2">
        <f>$M$1</f>
        <v>2014</v>
      </c>
      <c r="B460" s="2">
        <v>7.0</v>
      </c>
      <c r="J460" s="2" t="s">
        <v>808</v>
      </c>
    </row>
    <row r="461" ht="12.75" customHeight="1">
      <c r="A461" s="2" t="s">
        <v>0</v>
      </c>
      <c r="B461" s="2" t="s">
        <v>1</v>
      </c>
      <c r="D461" s="2" t="s">
        <v>2</v>
      </c>
      <c r="E461" s="2" t="s">
        <v>3</v>
      </c>
      <c r="F461" s="2" t="s">
        <v>879</v>
      </c>
      <c r="G461" s="2" t="s">
        <v>4</v>
      </c>
      <c r="J461" s="2" t="s">
        <v>7</v>
      </c>
    </row>
    <row r="462" ht="12.75" customHeight="1">
      <c r="A462" s="2">
        <f>$M$1</f>
        <v>2014</v>
      </c>
      <c r="B462" s="2">
        <v>7.0</v>
      </c>
      <c r="J462" s="2" t="s">
        <v>810</v>
      </c>
    </row>
    <row r="463" ht="12.75" customHeight="1">
      <c r="A463" s="2" t="s">
        <v>0</v>
      </c>
      <c r="B463" s="2" t="s">
        <v>1</v>
      </c>
      <c r="D463" s="2" t="s">
        <v>2</v>
      </c>
      <c r="E463" s="2" t="s">
        <v>3</v>
      </c>
      <c r="F463" s="2" t="s">
        <v>879</v>
      </c>
      <c r="G463" s="2" t="s">
        <v>4</v>
      </c>
      <c r="J463" s="2" t="s">
        <v>7</v>
      </c>
    </row>
    <row r="464" ht="12.75" customHeight="1">
      <c r="A464" s="2">
        <f>$M$1</f>
        <v>2014</v>
      </c>
      <c r="B464" s="2">
        <v>8.0</v>
      </c>
      <c r="J464" s="2" t="s">
        <v>10</v>
      </c>
    </row>
    <row r="465" ht="12.75" customHeight="1">
      <c r="A465" s="2" t="s">
        <v>0</v>
      </c>
      <c r="B465" s="2" t="s">
        <v>1</v>
      </c>
      <c r="D465" s="2" t="s">
        <v>2</v>
      </c>
      <c r="E465" s="2" t="s">
        <v>3</v>
      </c>
      <c r="F465" s="2" t="s">
        <v>879</v>
      </c>
      <c r="G465" s="2" t="s">
        <v>4</v>
      </c>
      <c r="J465" s="2" t="s">
        <v>7</v>
      </c>
    </row>
    <row r="466" ht="12.75" customHeight="1">
      <c r="A466" s="2">
        <f>$M$1</f>
        <v>2014</v>
      </c>
      <c r="B466" s="2">
        <v>8.0</v>
      </c>
      <c r="J466" s="2" t="s">
        <v>20</v>
      </c>
    </row>
    <row r="467" ht="12.75" customHeight="1">
      <c r="A467" s="2" t="s">
        <v>0</v>
      </c>
      <c r="B467" s="2" t="s">
        <v>1</v>
      </c>
      <c r="D467" s="2" t="s">
        <v>2</v>
      </c>
      <c r="E467" s="2" t="s">
        <v>3</v>
      </c>
      <c r="F467" s="2" t="s">
        <v>879</v>
      </c>
      <c r="G467" s="2" t="s">
        <v>4</v>
      </c>
      <c r="J467" s="2" t="s">
        <v>7</v>
      </c>
    </row>
    <row r="468" ht="12.75" customHeight="1">
      <c r="A468" s="2">
        <f>$M$1</f>
        <v>2014</v>
      </c>
      <c r="B468" s="2">
        <v>8.0</v>
      </c>
      <c r="J468" s="2" t="s">
        <v>17</v>
      </c>
    </row>
    <row r="469" ht="12.75" customHeight="1">
      <c r="A469" s="2" t="s">
        <v>0</v>
      </c>
      <c r="B469" s="2" t="s">
        <v>1</v>
      </c>
      <c r="D469" s="2" t="s">
        <v>2</v>
      </c>
      <c r="E469" s="2" t="s">
        <v>3</v>
      </c>
      <c r="F469" s="2" t="s">
        <v>879</v>
      </c>
      <c r="G469" s="2" t="s">
        <v>4</v>
      </c>
      <c r="J469" s="2" t="s">
        <v>7</v>
      </c>
    </row>
    <row r="470" ht="12.75" customHeight="1">
      <c r="A470" s="2">
        <f>$M$1</f>
        <v>2014</v>
      </c>
      <c r="B470" s="2">
        <v>8.0</v>
      </c>
      <c r="J470" s="2" t="s">
        <v>24</v>
      </c>
    </row>
    <row r="471" ht="12.75" customHeight="1">
      <c r="A471" s="2" t="s">
        <v>0</v>
      </c>
      <c r="B471" s="2" t="s">
        <v>1</v>
      </c>
      <c r="D471" s="2" t="s">
        <v>2</v>
      </c>
      <c r="E471" s="2" t="s">
        <v>3</v>
      </c>
      <c r="F471" s="2" t="s">
        <v>879</v>
      </c>
      <c r="G471" s="2" t="s">
        <v>4</v>
      </c>
      <c r="J471" s="2" t="s">
        <v>7</v>
      </c>
    </row>
    <row r="472" ht="12.75" customHeight="1">
      <c r="A472" s="2">
        <f>$M$1</f>
        <v>2014</v>
      </c>
      <c r="B472" s="2">
        <v>8.0</v>
      </c>
      <c r="J472" s="2" t="s">
        <v>651</v>
      </c>
    </row>
    <row r="473" ht="12.75" customHeight="1">
      <c r="A473" s="2" t="s">
        <v>0</v>
      </c>
      <c r="B473" s="2" t="s">
        <v>1</v>
      </c>
      <c r="D473" s="2" t="s">
        <v>2</v>
      </c>
      <c r="E473" s="2" t="s">
        <v>3</v>
      </c>
      <c r="F473" s="2" t="s">
        <v>879</v>
      </c>
      <c r="G473" s="2" t="s">
        <v>4</v>
      </c>
      <c r="J473" s="2" t="s">
        <v>7</v>
      </c>
    </row>
    <row r="474" ht="12.75" customHeight="1">
      <c r="A474" s="2">
        <f>$M$1</f>
        <v>2014</v>
      </c>
      <c r="B474" s="2">
        <v>8.0</v>
      </c>
      <c r="J474" s="2" t="s">
        <v>76</v>
      </c>
    </row>
    <row r="475" ht="12.75" customHeight="1">
      <c r="A475" s="2" t="s">
        <v>0</v>
      </c>
      <c r="B475" s="2" t="s">
        <v>1</v>
      </c>
      <c r="D475" s="2" t="s">
        <v>2</v>
      </c>
      <c r="E475" s="2" t="s">
        <v>3</v>
      </c>
      <c r="F475" s="2" t="s">
        <v>879</v>
      </c>
      <c r="G475" s="2" t="s">
        <v>4</v>
      </c>
      <c r="J475" s="2" t="s">
        <v>7</v>
      </c>
    </row>
    <row r="476" ht="12.75" customHeight="1">
      <c r="A476" s="2">
        <f>$M$1</f>
        <v>2014</v>
      </c>
      <c r="B476" s="2">
        <v>8.0</v>
      </c>
      <c r="J476" s="2" t="s">
        <v>26</v>
      </c>
    </row>
    <row r="477" ht="12.75" customHeight="1">
      <c r="A477" s="2" t="s">
        <v>0</v>
      </c>
      <c r="B477" s="2" t="s">
        <v>1</v>
      </c>
      <c r="D477" s="2" t="s">
        <v>2</v>
      </c>
      <c r="E477" s="2" t="s">
        <v>3</v>
      </c>
      <c r="F477" s="2" t="s">
        <v>879</v>
      </c>
      <c r="G477" s="2" t="s">
        <v>4</v>
      </c>
      <c r="J477" s="2" t="s">
        <v>7</v>
      </c>
    </row>
    <row r="478" ht="12.75" customHeight="1">
      <c r="A478" s="2">
        <f>$M$1</f>
        <v>2014</v>
      </c>
      <c r="B478" s="2">
        <v>8.0</v>
      </c>
      <c r="J478" s="2" t="s">
        <v>103</v>
      </c>
    </row>
    <row r="479" ht="12.75" customHeight="1">
      <c r="A479" s="2" t="s">
        <v>0</v>
      </c>
      <c r="B479" s="2" t="s">
        <v>1</v>
      </c>
      <c r="D479" s="2" t="s">
        <v>2</v>
      </c>
      <c r="E479" s="2" t="s">
        <v>3</v>
      </c>
      <c r="F479" s="2" t="s">
        <v>879</v>
      </c>
      <c r="G479" s="2" t="s">
        <v>4</v>
      </c>
      <c r="J479" s="2" t="s">
        <v>7</v>
      </c>
    </row>
    <row r="480" ht="12.75" customHeight="1">
      <c r="A480" s="2">
        <f>$M$1</f>
        <v>2014</v>
      </c>
      <c r="B480" s="2">
        <v>8.0</v>
      </c>
      <c r="J480" s="2" t="s">
        <v>22</v>
      </c>
    </row>
    <row r="481" ht="12.75" customHeight="1">
      <c r="A481" s="2" t="s">
        <v>0</v>
      </c>
      <c r="B481" s="2" t="s">
        <v>1</v>
      </c>
      <c r="D481" s="2" t="s">
        <v>2</v>
      </c>
      <c r="E481" s="2" t="s">
        <v>3</v>
      </c>
      <c r="F481" s="2" t="s">
        <v>879</v>
      </c>
      <c r="G481" s="2" t="s">
        <v>4</v>
      </c>
      <c r="J481" s="2" t="s">
        <v>7</v>
      </c>
    </row>
    <row r="482" ht="12.75" customHeight="1">
      <c r="A482" s="2">
        <f>$M$1</f>
        <v>2014</v>
      </c>
      <c r="B482" s="2">
        <v>8.0</v>
      </c>
      <c r="J482" s="2" t="s">
        <v>428</v>
      </c>
    </row>
    <row r="483" ht="12.75" customHeight="1">
      <c r="A483" s="2" t="s">
        <v>0</v>
      </c>
      <c r="B483" s="2" t="s">
        <v>1</v>
      </c>
      <c r="D483" s="2" t="s">
        <v>2</v>
      </c>
      <c r="E483" s="2" t="s">
        <v>3</v>
      </c>
      <c r="F483" s="2" t="s">
        <v>879</v>
      </c>
      <c r="G483" s="2" t="s">
        <v>4</v>
      </c>
      <c r="J483" s="2" t="s">
        <v>7</v>
      </c>
    </row>
    <row r="484" ht="12.75" customHeight="1">
      <c r="A484" s="2">
        <f>$M$1</f>
        <v>2014</v>
      </c>
      <c r="B484" s="2">
        <v>8.0</v>
      </c>
      <c r="J484" s="2" t="s">
        <v>800</v>
      </c>
    </row>
    <row r="485" ht="12.75" customHeight="1">
      <c r="A485" s="2" t="s">
        <v>0</v>
      </c>
      <c r="B485" s="2" t="s">
        <v>1</v>
      </c>
      <c r="D485" s="2" t="s">
        <v>2</v>
      </c>
      <c r="E485" s="2" t="s">
        <v>3</v>
      </c>
      <c r="F485" s="2" t="s">
        <v>879</v>
      </c>
      <c r="G485" s="2" t="s">
        <v>4</v>
      </c>
      <c r="J485" s="2" t="s">
        <v>7</v>
      </c>
    </row>
    <row r="486" ht="12.75" customHeight="1">
      <c r="A486" s="2">
        <f>$M$1</f>
        <v>2014</v>
      </c>
      <c r="B486" s="2">
        <v>8.0</v>
      </c>
      <c r="J486" s="2" t="s">
        <v>54</v>
      </c>
    </row>
    <row r="487" ht="12.75" customHeight="1">
      <c r="A487" s="2" t="s">
        <v>0</v>
      </c>
      <c r="B487" s="2" t="s">
        <v>1</v>
      </c>
      <c r="D487" s="2" t="s">
        <v>2</v>
      </c>
      <c r="E487" s="2" t="s">
        <v>3</v>
      </c>
      <c r="F487" s="2" t="s">
        <v>879</v>
      </c>
      <c r="G487" s="2" t="s">
        <v>4</v>
      </c>
      <c r="J487" s="2" t="s">
        <v>7</v>
      </c>
    </row>
    <row r="488" ht="12.75" customHeight="1">
      <c r="A488" s="2">
        <f>$M$1</f>
        <v>2014</v>
      </c>
      <c r="B488" s="2">
        <v>8.0</v>
      </c>
      <c r="J488" s="2" t="s">
        <v>801</v>
      </c>
    </row>
    <row r="489" ht="12.75" customHeight="1">
      <c r="A489" s="2" t="s">
        <v>0</v>
      </c>
      <c r="B489" s="2" t="s">
        <v>1</v>
      </c>
      <c r="D489" s="2" t="s">
        <v>2</v>
      </c>
      <c r="E489" s="2" t="s">
        <v>3</v>
      </c>
      <c r="F489" s="2" t="s">
        <v>879</v>
      </c>
      <c r="G489" s="2" t="s">
        <v>4</v>
      </c>
      <c r="J489" s="2" t="s">
        <v>7</v>
      </c>
    </row>
    <row r="490" ht="12.75" customHeight="1">
      <c r="A490" s="2">
        <f>$M$1</f>
        <v>2014</v>
      </c>
      <c r="B490" s="2">
        <v>8.0</v>
      </c>
      <c r="J490" s="2" t="s">
        <v>38</v>
      </c>
    </row>
    <row r="491" ht="12.75" customHeight="1">
      <c r="A491" s="2" t="s">
        <v>0</v>
      </c>
      <c r="B491" s="2" t="s">
        <v>1</v>
      </c>
      <c r="D491" s="2" t="s">
        <v>2</v>
      </c>
      <c r="E491" s="2" t="s">
        <v>3</v>
      </c>
      <c r="F491" s="2" t="s">
        <v>879</v>
      </c>
      <c r="G491" s="2" t="s">
        <v>4</v>
      </c>
      <c r="J491" s="2" t="s">
        <v>7</v>
      </c>
    </row>
    <row r="492" ht="12.75" customHeight="1">
      <c r="A492" s="2">
        <f>$M$1</f>
        <v>2014</v>
      </c>
      <c r="B492" s="2">
        <v>8.0</v>
      </c>
      <c r="J492" s="2" t="s">
        <v>47</v>
      </c>
    </row>
    <row r="493" ht="12.75" customHeight="1">
      <c r="A493" s="2" t="s">
        <v>0</v>
      </c>
      <c r="B493" s="2" t="s">
        <v>1</v>
      </c>
      <c r="D493" s="2" t="s">
        <v>2</v>
      </c>
      <c r="E493" s="2" t="s">
        <v>3</v>
      </c>
      <c r="F493" s="2" t="s">
        <v>879</v>
      </c>
      <c r="G493" s="2" t="s">
        <v>4</v>
      </c>
      <c r="J493" s="2" t="s">
        <v>7</v>
      </c>
    </row>
    <row r="494" ht="12.75" customHeight="1">
      <c r="A494" s="2">
        <f>$M$1</f>
        <v>2014</v>
      </c>
      <c r="B494" s="2">
        <v>8.0</v>
      </c>
      <c r="J494" s="2" t="s">
        <v>52</v>
      </c>
    </row>
    <row r="495" ht="12.75" customHeight="1">
      <c r="A495" s="2" t="s">
        <v>0</v>
      </c>
      <c r="B495" s="2" t="s">
        <v>1</v>
      </c>
      <c r="D495" s="2" t="s">
        <v>2</v>
      </c>
      <c r="E495" s="2" t="s">
        <v>3</v>
      </c>
      <c r="F495" s="2" t="s">
        <v>879</v>
      </c>
      <c r="G495" s="2" t="s">
        <v>4</v>
      </c>
      <c r="J495" s="2" t="s">
        <v>7</v>
      </c>
    </row>
    <row r="496" ht="12.75" customHeight="1">
      <c r="A496" s="2">
        <f>$M$1</f>
        <v>2014</v>
      </c>
      <c r="B496" s="2">
        <v>8.0</v>
      </c>
      <c r="J496" s="2" t="s">
        <v>42</v>
      </c>
    </row>
    <row r="497" ht="12.75" customHeight="1">
      <c r="A497" s="2" t="s">
        <v>0</v>
      </c>
      <c r="B497" s="2" t="s">
        <v>1</v>
      </c>
      <c r="D497" s="2" t="s">
        <v>2</v>
      </c>
      <c r="E497" s="2" t="s">
        <v>3</v>
      </c>
      <c r="F497" s="2" t="s">
        <v>879</v>
      </c>
      <c r="G497" s="2" t="s">
        <v>4</v>
      </c>
      <c r="J497" s="2" t="s">
        <v>7</v>
      </c>
    </row>
    <row r="498" ht="12.75" customHeight="1">
      <c r="A498" s="2">
        <f>$M$1</f>
        <v>2014</v>
      </c>
      <c r="B498" s="2">
        <v>8.0</v>
      </c>
      <c r="J498" s="2" t="s">
        <v>133</v>
      </c>
    </row>
    <row r="499" ht="12.75" customHeight="1">
      <c r="A499" s="2" t="s">
        <v>0</v>
      </c>
      <c r="B499" s="2" t="s">
        <v>1</v>
      </c>
      <c r="D499" s="2" t="s">
        <v>2</v>
      </c>
      <c r="E499" s="2" t="s">
        <v>3</v>
      </c>
      <c r="F499" s="2" t="s">
        <v>879</v>
      </c>
      <c r="G499" s="2" t="s">
        <v>4</v>
      </c>
      <c r="J499" s="2" t="s">
        <v>7</v>
      </c>
    </row>
    <row r="500" ht="12.75" customHeight="1">
      <c r="A500" s="2">
        <f>$M$1</f>
        <v>2014</v>
      </c>
      <c r="B500" s="2">
        <v>8.0</v>
      </c>
      <c r="J500" s="2" t="s">
        <v>803</v>
      </c>
    </row>
    <row r="501" ht="12.75" customHeight="1">
      <c r="A501" s="2" t="s">
        <v>0</v>
      </c>
      <c r="B501" s="2" t="s">
        <v>1</v>
      </c>
      <c r="D501" s="2" t="s">
        <v>2</v>
      </c>
      <c r="E501" s="2" t="s">
        <v>3</v>
      </c>
      <c r="F501" s="2" t="s">
        <v>879</v>
      </c>
      <c r="G501" s="2" t="s">
        <v>4</v>
      </c>
      <c r="J501" s="2" t="s">
        <v>7</v>
      </c>
    </row>
    <row r="502" ht="12.75" customHeight="1">
      <c r="A502" s="2">
        <f>$M$1</f>
        <v>2014</v>
      </c>
      <c r="B502" s="2">
        <v>8.0</v>
      </c>
      <c r="J502" s="2" t="s">
        <v>164</v>
      </c>
    </row>
    <row r="503" ht="12.75" customHeight="1">
      <c r="A503" s="2" t="s">
        <v>0</v>
      </c>
      <c r="B503" s="2" t="s">
        <v>1</v>
      </c>
      <c r="D503" s="2" t="s">
        <v>2</v>
      </c>
      <c r="E503" s="2" t="s">
        <v>3</v>
      </c>
      <c r="F503" s="2" t="s">
        <v>879</v>
      </c>
      <c r="G503" s="2" t="s">
        <v>4</v>
      </c>
      <c r="J503" s="2" t="s">
        <v>7</v>
      </c>
    </row>
    <row r="504" ht="12.75" customHeight="1">
      <c r="A504" s="2">
        <f>$M$1</f>
        <v>2014</v>
      </c>
      <c r="B504" s="2">
        <v>8.0</v>
      </c>
      <c r="J504" s="2" t="s">
        <v>50</v>
      </c>
    </row>
    <row r="505" ht="12.75" customHeight="1">
      <c r="A505" s="2" t="s">
        <v>0</v>
      </c>
      <c r="B505" s="2" t="s">
        <v>1</v>
      </c>
      <c r="D505" s="2" t="s">
        <v>2</v>
      </c>
      <c r="E505" s="2" t="s">
        <v>3</v>
      </c>
      <c r="F505" s="2" t="s">
        <v>879</v>
      </c>
      <c r="G505" s="2" t="s">
        <v>4</v>
      </c>
      <c r="J505" s="2" t="s">
        <v>7</v>
      </c>
    </row>
    <row r="506" ht="12.75" customHeight="1">
      <c r="A506" s="2">
        <f>$M$1</f>
        <v>2014</v>
      </c>
      <c r="B506" s="2">
        <v>8.0</v>
      </c>
      <c r="J506" s="2" t="s">
        <v>304</v>
      </c>
    </row>
    <row r="507" ht="12.75" customHeight="1">
      <c r="A507" s="2" t="s">
        <v>0</v>
      </c>
      <c r="B507" s="2" t="s">
        <v>1</v>
      </c>
      <c r="D507" s="2" t="s">
        <v>2</v>
      </c>
      <c r="E507" s="2" t="s">
        <v>3</v>
      </c>
      <c r="F507" s="2" t="s">
        <v>879</v>
      </c>
      <c r="G507" s="2" t="s">
        <v>4</v>
      </c>
      <c r="J507" s="2" t="s">
        <v>7</v>
      </c>
    </row>
    <row r="508" ht="12.75" customHeight="1">
      <c r="A508" s="2">
        <f>$M$1</f>
        <v>2014</v>
      </c>
      <c r="B508" s="2">
        <v>8.0</v>
      </c>
      <c r="J508" s="2" t="s">
        <v>72</v>
      </c>
    </row>
    <row r="509" ht="12.75" customHeight="1">
      <c r="A509" s="2" t="s">
        <v>0</v>
      </c>
      <c r="B509" s="2" t="s">
        <v>1</v>
      </c>
      <c r="D509" s="2" t="s">
        <v>2</v>
      </c>
      <c r="E509" s="2" t="s">
        <v>3</v>
      </c>
      <c r="F509" s="2" t="s">
        <v>879</v>
      </c>
      <c r="G509" s="2" t="s">
        <v>4</v>
      </c>
      <c r="J509" s="2" t="s">
        <v>7</v>
      </c>
    </row>
    <row r="510" ht="12.75" customHeight="1">
      <c r="A510" s="2">
        <f>$M$1</f>
        <v>2014</v>
      </c>
      <c r="B510" s="2">
        <v>8.0</v>
      </c>
      <c r="J510" s="2" t="s">
        <v>13</v>
      </c>
    </row>
    <row r="511" ht="12.75" customHeight="1">
      <c r="A511" s="2" t="s">
        <v>0</v>
      </c>
      <c r="B511" s="2" t="s">
        <v>1</v>
      </c>
      <c r="D511" s="2" t="s">
        <v>2</v>
      </c>
      <c r="E511" s="2" t="s">
        <v>3</v>
      </c>
      <c r="F511" s="2" t="s">
        <v>879</v>
      </c>
      <c r="G511" s="2" t="s">
        <v>4</v>
      </c>
      <c r="J511" s="2" t="s">
        <v>7</v>
      </c>
    </row>
    <row r="512" ht="12.75" customHeight="1">
      <c r="A512" s="2">
        <f>$M$1</f>
        <v>2014</v>
      </c>
      <c r="B512" s="2">
        <v>8.0</v>
      </c>
      <c r="J512" s="2" t="s">
        <v>18</v>
      </c>
    </row>
    <row r="513" ht="12.75" customHeight="1">
      <c r="A513" s="2" t="s">
        <v>0</v>
      </c>
      <c r="B513" s="2" t="s">
        <v>1</v>
      </c>
      <c r="D513" s="2" t="s">
        <v>2</v>
      </c>
      <c r="E513" s="2" t="s">
        <v>3</v>
      </c>
      <c r="F513" s="2" t="s">
        <v>879</v>
      </c>
      <c r="G513" s="2" t="s">
        <v>4</v>
      </c>
      <c r="J513" s="2" t="s">
        <v>7</v>
      </c>
    </row>
    <row r="514" ht="12.75" customHeight="1">
      <c r="A514" s="2">
        <f>$M$1</f>
        <v>2014</v>
      </c>
      <c r="B514" s="2">
        <v>8.0</v>
      </c>
      <c r="J514" s="2" t="s">
        <v>153</v>
      </c>
    </row>
    <row r="515" ht="12.75" customHeight="1">
      <c r="A515" s="2" t="s">
        <v>0</v>
      </c>
      <c r="B515" s="2" t="s">
        <v>1</v>
      </c>
      <c r="D515" s="2" t="s">
        <v>2</v>
      </c>
      <c r="E515" s="2" t="s">
        <v>3</v>
      </c>
      <c r="F515" s="2" t="s">
        <v>879</v>
      </c>
      <c r="G515" s="2" t="s">
        <v>4</v>
      </c>
      <c r="J515" s="2" t="s">
        <v>7</v>
      </c>
    </row>
    <row r="516" ht="12.75" customHeight="1">
      <c r="A516" s="2">
        <f>$M$1</f>
        <v>2014</v>
      </c>
      <c r="B516" s="2">
        <v>8.0</v>
      </c>
      <c r="J516" s="2" t="s">
        <v>805</v>
      </c>
    </row>
    <row r="517" ht="12.75" customHeight="1">
      <c r="A517" s="2" t="s">
        <v>0</v>
      </c>
      <c r="B517" s="2" t="s">
        <v>1</v>
      </c>
      <c r="D517" s="2" t="s">
        <v>2</v>
      </c>
      <c r="E517" s="2" t="s">
        <v>3</v>
      </c>
      <c r="F517" s="2" t="s">
        <v>879</v>
      </c>
      <c r="G517" s="2" t="s">
        <v>4</v>
      </c>
      <c r="J517" s="2" t="s">
        <v>7</v>
      </c>
    </row>
    <row r="518" ht="12.75" customHeight="1">
      <c r="A518" s="2">
        <f>$M$1</f>
        <v>2014</v>
      </c>
      <c r="B518" s="2">
        <v>8.0</v>
      </c>
      <c r="J518" s="2" t="s">
        <v>31</v>
      </c>
    </row>
    <row r="519" ht="12.75" customHeight="1">
      <c r="A519" s="2" t="s">
        <v>0</v>
      </c>
      <c r="B519" s="2" t="s">
        <v>1</v>
      </c>
      <c r="D519" s="2" t="s">
        <v>2</v>
      </c>
      <c r="E519" s="2" t="s">
        <v>3</v>
      </c>
      <c r="F519" s="2" t="s">
        <v>879</v>
      </c>
      <c r="G519" s="2" t="s">
        <v>4</v>
      </c>
      <c r="J519" s="2" t="s">
        <v>7</v>
      </c>
    </row>
    <row r="520" ht="12.75" customHeight="1">
      <c r="A520" s="2">
        <f>$M$1</f>
        <v>2014</v>
      </c>
      <c r="B520" s="2">
        <v>8.0</v>
      </c>
      <c r="J520" s="2" t="s">
        <v>123</v>
      </c>
    </row>
    <row r="521" ht="12.75" customHeight="1">
      <c r="A521" s="2" t="s">
        <v>0</v>
      </c>
      <c r="B521" s="2" t="s">
        <v>1</v>
      </c>
      <c r="D521" s="2" t="s">
        <v>2</v>
      </c>
      <c r="E521" s="2" t="s">
        <v>3</v>
      </c>
      <c r="F521" s="2" t="s">
        <v>879</v>
      </c>
      <c r="G521" s="2" t="s">
        <v>4</v>
      </c>
      <c r="J521" s="2" t="s">
        <v>7</v>
      </c>
    </row>
    <row r="522" ht="12.75" customHeight="1">
      <c r="A522" s="2">
        <f>$M$1</f>
        <v>2014</v>
      </c>
      <c r="B522" s="2">
        <v>8.0</v>
      </c>
      <c r="J522" s="2" t="s">
        <v>35</v>
      </c>
    </row>
    <row r="523" ht="12.75" customHeight="1">
      <c r="A523" s="2" t="s">
        <v>0</v>
      </c>
      <c r="B523" s="2" t="s">
        <v>1</v>
      </c>
      <c r="D523" s="2" t="s">
        <v>2</v>
      </c>
      <c r="E523" s="2" t="s">
        <v>3</v>
      </c>
      <c r="F523" s="2" t="s">
        <v>879</v>
      </c>
      <c r="G523" s="2" t="s">
        <v>4</v>
      </c>
      <c r="J523" s="2" t="s">
        <v>7</v>
      </c>
    </row>
    <row r="524" ht="12.75" customHeight="1">
      <c r="A524" s="2">
        <f>$M$1</f>
        <v>2014</v>
      </c>
      <c r="B524" s="2">
        <v>8.0</v>
      </c>
      <c r="J524" s="2" t="s">
        <v>210</v>
      </c>
    </row>
    <row r="525" ht="12.75" customHeight="1">
      <c r="A525" s="2" t="s">
        <v>0</v>
      </c>
      <c r="B525" s="2" t="s">
        <v>1</v>
      </c>
      <c r="D525" s="2" t="s">
        <v>2</v>
      </c>
      <c r="E525" s="2" t="s">
        <v>3</v>
      </c>
      <c r="F525" s="2" t="s">
        <v>879</v>
      </c>
      <c r="G525" s="2" t="s">
        <v>4</v>
      </c>
      <c r="J525" s="2" t="s">
        <v>7</v>
      </c>
    </row>
    <row r="526" ht="12.75" customHeight="1">
      <c r="A526" s="2">
        <f>$M$1</f>
        <v>2014</v>
      </c>
      <c r="B526" s="2">
        <v>8.0</v>
      </c>
      <c r="J526" s="2" t="s">
        <v>808</v>
      </c>
    </row>
    <row r="527" ht="12.75" customHeight="1">
      <c r="A527" s="2" t="s">
        <v>0</v>
      </c>
      <c r="B527" s="2" t="s">
        <v>1</v>
      </c>
      <c r="D527" s="2" t="s">
        <v>2</v>
      </c>
      <c r="E527" s="2" t="s">
        <v>3</v>
      </c>
      <c r="F527" s="2" t="s">
        <v>879</v>
      </c>
      <c r="G527" s="2" t="s">
        <v>4</v>
      </c>
      <c r="J527" s="2" t="s">
        <v>7</v>
      </c>
    </row>
    <row r="528" ht="12.75" customHeight="1">
      <c r="A528" s="2">
        <f>$M$1</f>
        <v>2014</v>
      </c>
      <c r="B528" s="2">
        <v>8.0</v>
      </c>
      <c r="J528" s="2" t="s">
        <v>810</v>
      </c>
    </row>
    <row r="529" ht="12.75" customHeight="1">
      <c r="A529" s="2" t="s">
        <v>0</v>
      </c>
      <c r="B529" s="2" t="s">
        <v>1</v>
      </c>
      <c r="D529" s="2" t="s">
        <v>2</v>
      </c>
      <c r="E529" s="2" t="s">
        <v>3</v>
      </c>
      <c r="F529" s="2" t="s">
        <v>879</v>
      </c>
      <c r="G529" s="2" t="s">
        <v>4</v>
      </c>
      <c r="J529" s="2" t="s">
        <v>7</v>
      </c>
    </row>
    <row r="530" ht="12.75" customHeight="1">
      <c r="A530" s="2">
        <f>$M$1</f>
        <v>2014</v>
      </c>
      <c r="B530" s="2">
        <v>9.0</v>
      </c>
      <c r="J530" s="2" t="s">
        <v>10</v>
      </c>
    </row>
    <row r="531" ht="12.75" customHeight="1">
      <c r="A531" s="2" t="s">
        <v>0</v>
      </c>
      <c r="B531" s="2" t="s">
        <v>1</v>
      </c>
      <c r="D531" s="2" t="s">
        <v>2</v>
      </c>
      <c r="E531" s="2" t="s">
        <v>3</v>
      </c>
      <c r="F531" s="2" t="s">
        <v>879</v>
      </c>
      <c r="G531" s="2" t="s">
        <v>4</v>
      </c>
      <c r="J531" s="2" t="s">
        <v>7</v>
      </c>
    </row>
    <row r="532" ht="12.75" customHeight="1">
      <c r="A532" s="2">
        <f>$M$1</f>
        <v>2014</v>
      </c>
      <c r="B532" s="2">
        <v>9.0</v>
      </c>
      <c r="J532" s="2" t="s">
        <v>20</v>
      </c>
    </row>
    <row r="533" ht="12.75" customHeight="1">
      <c r="A533" s="2" t="s">
        <v>0</v>
      </c>
      <c r="B533" s="2" t="s">
        <v>1</v>
      </c>
      <c r="D533" s="2" t="s">
        <v>2</v>
      </c>
      <c r="E533" s="2" t="s">
        <v>3</v>
      </c>
      <c r="F533" s="2" t="s">
        <v>879</v>
      </c>
      <c r="G533" s="2" t="s">
        <v>4</v>
      </c>
      <c r="J533" s="2" t="s">
        <v>7</v>
      </c>
    </row>
    <row r="534" ht="12.75" customHeight="1">
      <c r="A534" s="2">
        <f>$M$1</f>
        <v>2014</v>
      </c>
      <c r="B534" s="2">
        <v>9.0</v>
      </c>
      <c r="J534" s="2" t="s">
        <v>17</v>
      </c>
    </row>
    <row r="535" ht="12.75" customHeight="1">
      <c r="A535" s="2" t="s">
        <v>0</v>
      </c>
      <c r="B535" s="2" t="s">
        <v>1</v>
      </c>
      <c r="D535" s="2" t="s">
        <v>2</v>
      </c>
      <c r="E535" s="2" t="s">
        <v>3</v>
      </c>
      <c r="F535" s="2" t="s">
        <v>879</v>
      </c>
      <c r="G535" s="2" t="s">
        <v>4</v>
      </c>
      <c r="J535" s="2" t="s">
        <v>7</v>
      </c>
    </row>
    <row r="536" ht="12.75" customHeight="1">
      <c r="A536" s="2">
        <f>$M$1</f>
        <v>2014</v>
      </c>
      <c r="B536" s="2">
        <v>9.0</v>
      </c>
      <c r="J536" s="2" t="s">
        <v>24</v>
      </c>
    </row>
    <row r="537" ht="12.75" customHeight="1">
      <c r="A537" s="2" t="s">
        <v>0</v>
      </c>
      <c r="B537" s="2" t="s">
        <v>1</v>
      </c>
      <c r="D537" s="2" t="s">
        <v>2</v>
      </c>
      <c r="E537" s="2" t="s">
        <v>3</v>
      </c>
      <c r="F537" s="2" t="s">
        <v>879</v>
      </c>
      <c r="G537" s="2" t="s">
        <v>4</v>
      </c>
      <c r="J537" s="2" t="s">
        <v>7</v>
      </c>
    </row>
    <row r="538" ht="12.75" customHeight="1">
      <c r="A538" s="2">
        <f>$M$1</f>
        <v>2014</v>
      </c>
      <c r="B538" s="2">
        <v>9.0</v>
      </c>
      <c r="J538" s="2" t="s">
        <v>651</v>
      </c>
    </row>
    <row r="539" ht="12.75" customHeight="1">
      <c r="A539" s="2" t="s">
        <v>0</v>
      </c>
      <c r="B539" s="2" t="s">
        <v>1</v>
      </c>
      <c r="D539" s="2" t="s">
        <v>2</v>
      </c>
      <c r="E539" s="2" t="s">
        <v>3</v>
      </c>
      <c r="F539" s="2" t="s">
        <v>879</v>
      </c>
      <c r="G539" s="2" t="s">
        <v>4</v>
      </c>
      <c r="J539" s="2" t="s">
        <v>7</v>
      </c>
    </row>
    <row r="540" ht="12.75" customHeight="1">
      <c r="A540" s="2">
        <f>$M$1</f>
        <v>2014</v>
      </c>
      <c r="B540" s="2">
        <v>9.0</v>
      </c>
      <c r="J540" s="2" t="s">
        <v>76</v>
      </c>
    </row>
    <row r="541" ht="12.75" customHeight="1">
      <c r="A541" s="2" t="s">
        <v>0</v>
      </c>
      <c r="B541" s="2" t="s">
        <v>1</v>
      </c>
      <c r="D541" s="2" t="s">
        <v>2</v>
      </c>
      <c r="E541" s="2" t="s">
        <v>3</v>
      </c>
      <c r="F541" s="2" t="s">
        <v>879</v>
      </c>
      <c r="G541" s="2" t="s">
        <v>4</v>
      </c>
      <c r="J541" s="2" t="s">
        <v>7</v>
      </c>
    </row>
    <row r="542" ht="12.75" customHeight="1">
      <c r="A542" s="2">
        <f>$M$1</f>
        <v>2014</v>
      </c>
      <c r="B542" s="2">
        <v>9.0</v>
      </c>
      <c r="J542" s="2" t="s">
        <v>26</v>
      </c>
    </row>
    <row r="543" ht="12.75" customHeight="1">
      <c r="A543" s="2" t="s">
        <v>0</v>
      </c>
      <c r="B543" s="2" t="s">
        <v>1</v>
      </c>
      <c r="D543" s="2" t="s">
        <v>2</v>
      </c>
      <c r="E543" s="2" t="s">
        <v>3</v>
      </c>
      <c r="F543" s="2" t="s">
        <v>879</v>
      </c>
      <c r="G543" s="2" t="s">
        <v>4</v>
      </c>
      <c r="J543" s="2" t="s">
        <v>7</v>
      </c>
    </row>
    <row r="544" ht="12.75" customHeight="1">
      <c r="A544" s="2">
        <f>$M$1</f>
        <v>2014</v>
      </c>
      <c r="B544" s="2">
        <v>9.0</v>
      </c>
      <c r="J544" s="2" t="s">
        <v>103</v>
      </c>
    </row>
    <row r="545" ht="12.75" customHeight="1">
      <c r="A545" s="2" t="s">
        <v>0</v>
      </c>
      <c r="B545" s="2" t="s">
        <v>1</v>
      </c>
      <c r="D545" s="2" t="s">
        <v>2</v>
      </c>
      <c r="E545" s="2" t="s">
        <v>3</v>
      </c>
      <c r="F545" s="2" t="s">
        <v>879</v>
      </c>
      <c r="G545" s="2" t="s">
        <v>4</v>
      </c>
      <c r="J545" s="2" t="s">
        <v>7</v>
      </c>
    </row>
    <row r="546" ht="12.75" customHeight="1">
      <c r="A546" s="2">
        <f>$M$1</f>
        <v>2014</v>
      </c>
      <c r="B546" s="2">
        <v>9.0</v>
      </c>
      <c r="J546" s="2" t="s">
        <v>22</v>
      </c>
    </row>
    <row r="547" ht="12.75" customHeight="1">
      <c r="A547" s="2" t="s">
        <v>0</v>
      </c>
      <c r="B547" s="2" t="s">
        <v>1</v>
      </c>
      <c r="D547" s="2" t="s">
        <v>2</v>
      </c>
      <c r="E547" s="2" t="s">
        <v>3</v>
      </c>
      <c r="F547" s="2" t="s">
        <v>879</v>
      </c>
      <c r="G547" s="2" t="s">
        <v>4</v>
      </c>
      <c r="J547" s="2" t="s">
        <v>7</v>
      </c>
    </row>
    <row r="548" ht="12.75" customHeight="1">
      <c r="A548" s="2">
        <f>$M$1</f>
        <v>2014</v>
      </c>
      <c r="B548" s="2">
        <v>9.0</v>
      </c>
      <c r="J548" s="2" t="s">
        <v>428</v>
      </c>
    </row>
    <row r="549" ht="12.75" customHeight="1">
      <c r="A549" s="2" t="s">
        <v>0</v>
      </c>
      <c r="B549" s="2" t="s">
        <v>1</v>
      </c>
      <c r="D549" s="2" t="s">
        <v>2</v>
      </c>
      <c r="E549" s="2" t="s">
        <v>3</v>
      </c>
      <c r="F549" s="2" t="s">
        <v>879</v>
      </c>
      <c r="G549" s="2" t="s">
        <v>4</v>
      </c>
      <c r="J549" s="2" t="s">
        <v>7</v>
      </c>
    </row>
    <row r="550" ht="12.75" customHeight="1">
      <c r="A550" s="2">
        <f>$M$1</f>
        <v>2014</v>
      </c>
      <c r="B550" s="2">
        <v>9.0</v>
      </c>
      <c r="J550" s="2" t="s">
        <v>800</v>
      </c>
    </row>
    <row r="551" ht="12.75" customHeight="1">
      <c r="A551" s="2" t="s">
        <v>0</v>
      </c>
      <c r="B551" s="2" t="s">
        <v>1</v>
      </c>
      <c r="D551" s="2" t="s">
        <v>2</v>
      </c>
      <c r="E551" s="2" t="s">
        <v>3</v>
      </c>
      <c r="F551" s="2" t="s">
        <v>879</v>
      </c>
      <c r="G551" s="2" t="s">
        <v>4</v>
      </c>
      <c r="J551" s="2" t="s">
        <v>7</v>
      </c>
    </row>
    <row r="552" ht="12.75" customHeight="1">
      <c r="A552" s="2">
        <f>$M$1</f>
        <v>2014</v>
      </c>
      <c r="B552" s="2">
        <v>9.0</v>
      </c>
      <c r="J552" s="2" t="s">
        <v>54</v>
      </c>
    </row>
    <row r="553" ht="12.75" customHeight="1">
      <c r="A553" s="2" t="s">
        <v>0</v>
      </c>
      <c r="B553" s="2" t="s">
        <v>1</v>
      </c>
      <c r="D553" s="2" t="s">
        <v>2</v>
      </c>
      <c r="E553" s="2" t="s">
        <v>3</v>
      </c>
      <c r="F553" s="2" t="s">
        <v>879</v>
      </c>
      <c r="G553" s="2" t="s">
        <v>4</v>
      </c>
      <c r="J553" s="2" t="s">
        <v>7</v>
      </c>
    </row>
    <row r="554" ht="12.75" customHeight="1">
      <c r="A554" s="2">
        <f>$M$1</f>
        <v>2014</v>
      </c>
      <c r="B554" s="2">
        <v>9.0</v>
      </c>
      <c r="J554" s="2" t="s">
        <v>801</v>
      </c>
    </row>
    <row r="555" ht="12.75" customHeight="1">
      <c r="A555" s="2" t="s">
        <v>0</v>
      </c>
      <c r="B555" s="2" t="s">
        <v>1</v>
      </c>
      <c r="D555" s="2" t="s">
        <v>2</v>
      </c>
      <c r="E555" s="2" t="s">
        <v>3</v>
      </c>
      <c r="F555" s="2" t="s">
        <v>879</v>
      </c>
      <c r="G555" s="2" t="s">
        <v>4</v>
      </c>
      <c r="J555" s="2" t="s">
        <v>7</v>
      </c>
    </row>
    <row r="556" ht="12.75" customHeight="1">
      <c r="A556" s="2">
        <f>$M$1</f>
        <v>2014</v>
      </c>
      <c r="B556" s="2">
        <v>9.0</v>
      </c>
      <c r="J556" s="2" t="s">
        <v>38</v>
      </c>
    </row>
    <row r="557" ht="12.75" customHeight="1">
      <c r="A557" s="2" t="s">
        <v>0</v>
      </c>
      <c r="B557" s="2" t="s">
        <v>1</v>
      </c>
      <c r="D557" s="2" t="s">
        <v>2</v>
      </c>
      <c r="E557" s="2" t="s">
        <v>3</v>
      </c>
      <c r="F557" s="2" t="s">
        <v>879</v>
      </c>
      <c r="G557" s="2" t="s">
        <v>4</v>
      </c>
      <c r="J557" s="2" t="s">
        <v>7</v>
      </c>
    </row>
    <row r="558" ht="12.75" customHeight="1">
      <c r="A558" s="2">
        <f>$M$1</f>
        <v>2014</v>
      </c>
      <c r="B558" s="2">
        <v>9.0</v>
      </c>
      <c r="J558" s="2" t="s">
        <v>47</v>
      </c>
    </row>
    <row r="559" ht="12.75" customHeight="1">
      <c r="A559" s="2" t="s">
        <v>0</v>
      </c>
      <c r="B559" s="2" t="s">
        <v>1</v>
      </c>
      <c r="D559" s="2" t="s">
        <v>2</v>
      </c>
      <c r="E559" s="2" t="s">
        <v>3</v>
      </c>
      <c r="F559" s="2" t="s">
        <v>879</v>
      </c>
      <c r="G559" s="2" t="s">
        <v>4</v>
      </c>
      <c r="J559" s="2" t="s">
        <v>7</v>
      </c>
    </row>
    <row r="560" ht="12.75" customHeight="1">
      <c r="A560" s="2">
        <f>$M$1</f>
        <v>2014</v>
      </c>
      <c r="B560" s="2">
        <v>9.0</v>
      </c>
      <c r="J560" s="2" t="s">
        <v>52</v>
      </c>
    </row>
    <row r="561" ht="12.75" customHeight="1">
      <c r="A561" s="2" t="s">
        <v>0</v>
      </c>
      <c r="B561" s="2" t="s">
        <v>1</v>
      </c>
      <c r="D561" s="2" t="s">
        <v>2</v>
      </c>
      <c r="E561" s="2" t="s">
        <v>3</v>
      </c>
      <c r="F561" s="2" t="s">
        <v>879</v>
      </c>
      <c r="G561" s="2" t="s">
        <v>4</v>
      </c>
      <c r="J561" s="2" t="s">
        <v>7</v>
      </c>
    </row>
    <row r="562" ht="12.75" customHeight="1">
      <c r="A562" s="2">
        <f>$M$1</f>
        <v>2014</v>
      </c>
      <c r="B562" s="2">
        <v>9.0</v>
      </c>
      <c r="J562" s="2" t="s">
        <v>42</v>
      </c>
    </row>
    <row r="563" ht="12.75" customHeight="1">
      <c r="A563" s="2" t="s">
        <v>0</v>
      </c>
      <c r="B563" s="2" t="s">
        <v>1</v>
      </c>
      <c r="D563" s="2" t="s">
        <v>2</v>
      </c>
      <c r="E563" s="2" t="s">
        <v>3</v>
      </c>
      <c r="F563" s="2" t="s">
        <v>879</v>
      </c>
      <c r="G563" s="2" t="s">
        <v>4</v>
      </c>
      <c r="J563" s="2" t="s">
        <v>7</v>
      </c>
    </row>
    <row r="564" ht="12.75" customHeight="1">
      <c r="A564" s="2">
        <f>$M$1</f>
        <v>2014</v>
      </c>
      <c r="B564" s="2">
        <v>9.0</v>
      </c>
      <c r="J564" s="2" t="s">
        <v>133</v>
      </c>
    </row>
    <row r="565" ht="12.75" customHeight="1">
      <c r="A565" s="2" t="s">
        <v>0</v>
      </c>
      <c r="B565" s="2" t="s">
        <v>1</v>
      </c>
      <c r="D565" s="2" t="s">
        <v>2</v>
      </c>
      <c r="E565" s="2" t="s">
        <v>3</v>
      </c>
      <c r="F565" s="2" t="s">
        <v>879</v>
      </c>
      <c r="G565" s="2" t="s">
        <v>4</v>
      </c>
      <c r="J565" s="2" t="s">
        <v>7</v>
      </c>
    </row>
    <row r="566" ht="12.75" customHeight="1">
      <c r="A566" s="2">
        <f>$M$1</f>
        <v>2014</v>
      </c>
      <c r="B566" s="2">
        <v>9.0</v>
      </c>
      <c r="J566" s="2" t="s">
        <v>803</v>
      </c>
    </row>
    <row r="567" ht="12.75" customHeight="1">
      <c r="A567" s="2" t="s">
        <v>0</v>
      </c>
      <c r="B567" s="2" t="s">
        <v>1</v>
      </c>
      <c r="D567" s="2" t="s">
        <v>2</v>
      </c>
      <c r="E567" s="2" t="s">
        <v>3</v>
      </c>
      <c r="F567" s="2" t="s">
        <v>879</v>
      </c>
      <c r="G567" s="2" t="s">
        <v>4</v>
      </c>
      <c r="J567" s="2" t="s">
        <v>7</v>
      </c>
    </row>
    <row r="568" ht="12.75" customHeight="1">
      <c r="A568" s="2">
        <f>$M$1</f>
        <v>2014</v>
      </c>
      <c r="B568" s="2">
        <v>9.0</v>
      </c>
      <c r="J568" s="2" t="s">
        <v>164</v>
      </c>
    </row>
    <row r="569" ht="12.75" customHeight="1">
      <c r="A569" s="2" t="s">
        <v>0</v>
      </c>
      <c r="B569" s="2" t="s">
        <v>1</v>
      </c>
      <c r="D569" s="2" t="s">
        <v>2</v>
      </c>
      <c r="E569" s="2" t="s">
        <v>3</v>
      </c>
      <c r="F569" s="2" t="s">
        <v>879</v>
      </c>
      <c r="G569" s="2" t="s">
        <v>4</v>
      </c>
      <c r="J569" s="2" t="s">
        <v>7</v>
      </c>
    </row>
    <row r="570" ht="12.75" customHeight="1">
      <c r="A570" s="2">
        <f>$M$1</f>
        <v>2014</v>
      </c>
      <c r="B570" s="2">
        <v>9.0</v>
      </c>
      <c r="J570" s="2" t="s">
        <v>50</v>
      </c>
    </row>
    <row r="571" ht="12.75" customHeight="1">
      <c r="A571" s="2" t="s">
        <v>0</v>
      </c>
      <c r="B571" s="2" t="s">
        <v>1</v>
      </c>
      <c r="D571" s="2" t="s">
        <v>2</v>
      </c>
      <c r="E571" s="2" t="s">
        <v>3</v>
      </c>
      <c r="F571" s="2" t="s">
        <v>879</v>
      </c>
      <c r="G571" s="2" t="s">
        <v>4</v>
      </c>
      <c r="J571" s="2" t="s">
        <v>7</v>
      </c>
    </row>
    <row r="572" ht="12.75" customHeight="1">
      <c r="A572" s="2">
        <f>$M$1</f>
        <v>2014</v>
      </c>
      <c r="B572" s="2">
        <v>9.0</v>
      </c>
      <c r="J572" s="2" t="s">
        <v>304</v>
      </c>
    </row>
    <row r="573" ht="12.75" customHeight="1">
      <c r="A573" s="2" t="s">
        <v>0</v>
      </c>
      <c r="B573" s="2" t="s">
        <v>1</v>
      </c>
      <c r="D573" s="2" t="s">
        <v>2</v>
      </c>
      <c r="E573" s="2" t="s">
        <v>3</v>
      </c>
      <c r="F573" s="2" t="s">
        <v>879</v>
      </c>
      <c r="G573" s="2" t="s">
        <v>4</v>
      </c>
      <c r="J573" s="2" t="s">
        <v>7</v>
      </c>
    </row>
    <row r="574" ht="12.75" customHeight="1">
      <c r="A574" s="2">
        <f>$M$1</f>
        <v>2014</v>
      </c>
      <c r="B574" s="2">
        <v>9.0</v>
      </c>
      <c r="J574" s="2" t="s">
        <v>72</v>
      </c>
    </row>
    <row r="575" ht="12.75" customHeight="1">
      <c r="A575" s="2" t="s">
        <v>0</v>
      </c>
      <c r="B575" s="2" t="s">
        <v>1</v>
      </c>
      <c r="D575" s="2" t="s">
        <v>2</v>
      </c>
      <c r="E575" s="2" t="s">
        <v>3</v>
      </c>
      <c r="F575" s="2" t="s">
        <v>879</v>
      </c>
      <c r="G575" s="2" t="s">
        <v>4</v>
      </c>
      <c r="J575" s="2" t="s">
        <v>7</v>
      </c>
    </row>
    <row r="576" ht="12.75" customHeight="1">
      <c r="A576" s="2">
        <f>$M$1</f>
        <v>2014</v>
      </c>
      <c r="B576" s="2">
        <v>9.0</v>
      </c>
      <c r="J576" s="2" t="s">
        <v>13</v>
      </c>
    </row>
    <row r="577" ht="12.75" customHeight="1">
      <c r="A577" s="2" t="s">
        <v>0</v>
      </c>
      <c r="B577" s="2" t="s">
        <v>1</v>
      </c>
      <c r="D577" s="2" t="s">
        <v>2</v>
      </c>
      <c r="E577" s="2" t="s">
        <v>3</v>
      </c>
      <c r="F577" s="2" t="s">
        <v>879</v>
      </c>
      <c r="G577" s="2" t="s">
        <v>4</v>
      </c>
      <c r="J577" s="2" t="s">
        <v>7</v>
      </c>
    </row>
    <row r="578" ht="12.75" customHeight="1">
      <c r="A578" s="2">
        <f>$M$1</f>
        <v>2014</v>
      </c>
      <c r="B578" s="2">
        <v>9.0</v>
      </c>
      <c r="J578" s="2" t="s">
        <v>18</v>
      </c>
    </row>
    <row r="579" ht="12.75" customHeight="1">
      <c r="A579" s="2" t="s">
        <v>0</v>
      </c>
      <c r="B579" s="2" t="s">
        <v>1</v>
      </c>
      <c r="D579" s="2" t="s">
        <v>2</v>
      </c>
      <c r="E579" s="2" t="s">
        <v>3</v>
      </c>
      <c r="F579" s="2" t="s">
        <v>879</v>
      </c>
      <c r="G579" s="2" t="s">
        <v>4</v>
      </c>
      <c r="J579" s="2" t="s">
        <v>7</v>
      </c>
    </row>
    <row r="580" ht="12.75" customHeight="1">
      <c r="A580" s="2">
        <f>$M$1</f>
        <v>2014</v>
      </c>
      <c r="B580" s="2">
        <v>9.0</v>
      </c>
      <c r="J580" s="2" t="s">
        <v>153</v>
      </c>
    </row>
    <row r="581" ht="12.75" customHeight="1">
      <c r="A581" s="2" t="s">
        <v>0</v>
      </c>
      <c r="B581" s="2" t="s">
        <v>1</v>
      </c>
      <c r="D581" s="2" t="s">
        <v>2</v>
      </c>
      <c r="E581" s="2" t="s">
        <v>3</v>
      </c>
      <c r="F581" s="2" t="s">
        <v>879</v>
      </c>
      <c r="G581" s="2" t="s">
        <v>4</v>
      </c>
      <c r="J581" s="2" t="s">
        <v>7</v>
      </c>
    </row>
    <row r="582" ht="12.75" customHeight="1">
      <c r="A582" s="2">
        <f>$M$1</f>
        <v>2014</v>
      </c>
      <c r="B582" s="2">
        <v>9.0</v>
      </c>
      <c r="J582" s="2" t="s">
        <v>805</v>
      </c>
    </row>
    <row r="583" ht="12.75" customHeight="1">
      <c r="A583" s="2" t="s">
        <v>0</v>
      </c>
      <c r="B583" s="2" t="s">
        <v>1</v>
      </c>
      <c r="D583" s="2" t="s">
        <v>2</v>
      </c>
      <c r="E583" s="2" t="s">
        <v>3</v>
      </c>
      <c r="F583" s="2" t="s">
        <v>879</v>
      </c>
      <c r="G583" s="2" t="s">
        <v>4</v>
      </c>
      <c r="J583" s="2" t="s">
        <v>7</v>
      </c>
    </row>
    <row r="584" ht="12.75" customHeight="1">
      <c r="A584" s="2">
        <f>$M$1</f>
        <v>2014</v>
      </c>
      <c r="B584" s="2">
        <v>9.0</v>
      </c>
      <c r="J584" s="2" t="s">
        <v>31</v>
      </c>
    </row>
    <row r="585" ht="12.75" customHeight="1">
      <c r="A585" s="2" t="s">
        <v>0</v>
      </c>
      <c r="B585" s="2" t="s">
        <v>1</v>
      </c>
      <c r="D585" s="2" t="s">
        <v>2</v>
      </c>
      <c r="E585" s="2" t="s">
        <v>3</v>
      </c>
      <c r="F585" s="2" t="s">
        <v>879</v>
      </c>
      <c r="G585" s="2" t="s">
        <v>4</v>
      </c>
      <c r="J585" s="2" t="s">
        <v>7</v>
      </c>
    </row>
    <row r="586" ht="12.75" customHeight="1">
      <c r="A586" s="2">
        <f>$M$1</f>
        <v>2014</v>
      </c>
      <c r="B586" s="2">
        <v>9.0</v>
      </c>
      <c r="J586" s="2" t="s">
        <v>123</v>
      </c>
    </row>
    <row r="587" ht="12.75" customHeight="1">
      <c r="A587" s="2" t="s">
        <v>0</v>
      </c>
      <c r="B587" s="2" t="s">
        <v>1</v>
      </c>
      <c r="D587" s="2" t="s">
        <v>2</v>
      </c>
      <c r="E587" s="2" t="s">
        <v>3</v>
      </c>
      <c r="F587" s="2" t="s">
        <v>879</v>
      </c>
      <c r="G587" s="2" t="s">
        <v>4</v>
      </c>
      <c r="J587" s="2" t="s">
        <v>7</v>
      </c>
    </row>
    <row r="588" ht="12.75" customHeight="1">
      <c r="A588" s="2">
        <f>$M$1</f>
        <v>2014</v>
      </c>
      <c r="B588" s="2">
        <v>9.0</v>
      </c>
      <c r="J588" s="2" t="s">
        <v>35</v>
      </c>
    </row>
    <row r="589" ht="12.75" customHeight="1">
      <c r="A589" s="2" t="s">
        <v>0</v>
      </c>
      <c r="B589" s="2" t="s">
        <v>1</v>
      </c>
      <c r="D589" s="2" t="s">
        <v>2</v>
      </c>
      <c r="E589" s="2" t="s">
        <v>3</v>
      </c>
      <c r="F589" s="2" t="s">
        <v>879</v>
      </c>
      <c r="G589" s="2" t="s">
        <v>4</v>
      </c>
      <c r="J589" s="2" t="s">
        <v>7</v>
      </c>
    </row>
    <row r="590" ht="12.75" customHeight="1">
      <c r="A590" s="2">
        <f>$M$1</f>
        <v>2014</v>
      </c>
      <c r="B590" s="2">
        <v>9.0</v>
      </c>
      <c r="J590" s="2" t="s">
        <v>210</v>
      </c>
    </row>
    <row r="591" ht="12.75" customHeight="1">
      <c r="A591" s="2" t="s">
        <v>0</v>
      </c>
      <c r="B591" s="2" t="s">
        <v>1</v>
      </c>
      <c r="D591" s="2" t="s">
        <v>2</v>
      </c>
      <c r="E591" s="2" t="s">
        <v>3</v>
      </c>
      <c r="F591" s="2" t="s">
        <v>879</v>
      </c>
      <c r="G591" s="2" t="s">
        <v>4</v>
      </c>
      <c r="J591" s="2" t="s">
        <v>7</v>
      </c>
    </row>
    <row r="592" ht="12.75" customHeight="1">
      <c r="A592" s="2">
        <f>$M$1</f>
        <v>2014</v>
      </c>
      <c r="B592" s="2">
        <v>9.0</v>
      </c>
      <c r="J592" s="2" t="s">
        <v>808</v>
      </c>
    </row>
    <row r="593" ht="12.75" customHeight="1">
      <c r="A593" s="2" t="s">
        <v>0</v>
      </c>
      <c r="B593" s="2" t="s">
        <v>1</v>
      </c>
      <c r="D593" s="2" t="s">
        <v>2</v>
      </c>
      <c r="E593" s="2" t="s">
        <v>3</v>
      </c>
      <c r="F593" s="2" t="s">
        <v>879</v>
      </c>
      <c r="G593" s="2" t="s">
        <v>4</v>
      </c>
      <c r="J593" s="2" t="s">
        <v>7</v>
      </c>
    </row>
    <row r="594" ht="12.75" customHeight="1">
      <c r="A594" s="2">
        <f>$M$1</f>
        <v>2014</v>
      </c>
      <c r="B594" s="2">
        <v>9.0</v>
      </c>
      <c r="J594" s="2" t="s">
        <v>810</v>
      </c>
    </row>
    <row r="595" ht="12.75" customHeight="1">
      <c r="A595" s="2" t="s">
        <v>0</v>
      </c>
      <c r="B595" s="2" t="s">
        <v>1</v>
      </c>
      <c r="D595" s="2" t="s">
        <v>2</v>
      </c>
      <c r="E595" s="2" t="s">
        <v>3</v>
      </c>
      <c r="F595" s="2" t="s">
        <v>879</v>
      </c>
      <c r="G595" s="2" t="s">
        <v>4</v>
      </c>
      <c r="J595" s="2" t="s">
        <v>7</v>
      </c>
    </row>
    <row r="596" ht="12.75" customHeight="1">
      <c r="A596" s="2">
        <f>$M$1</f>
        <v>2014</v>
      </c>
      <c r="B596" s="2">
        <v>10.0</v>
      </c>
      <c r="J596" s="2" t="s">
        <v>10</v>
      </c>
    </row>
    <row r="597" ht="12.75" customHeight="1">
      <c r="A597" s="2" t="s">
        <v>0</v>
      </c>
      <c r="B597" s="2" t="s">
        <v>1</v>
      </c>
      <c r="D597" s="2" t="s">
        <v>2</v>
      </c>
      <c r="E597" s="2" t="s">
        <v>3</v>
      </c>
      <c r="F597" s="2" t="s">
        <v>879</v>
      </c>
      <c r="G597" s="2" t="s">
        <v>4</v>
      </c>
      <c r="J597" s="2" t="s">
        <v>7</v>
      </c>
    </row>
    <row r="598" ht="12.75" customHeight="1">
      <c r="A598" s="2">
        <f>$M$1</f>
        <v>2014</v>
      </c>
      <c r="B598" s="2">
        <v>10.0</v>
      </c>
      <c r="J598" s="2" t="s">
        <v>20</v>
      </c>
    </row>
    <row r="599" ht="12.75" customHeight="1">
      <c r="A599" s="2" t="s">
        <v>0</v>
      </c>
      <c r="B599" s="2" t="s">
        <v>1</v>
      </c>
      <c r="D599" s="2" t="s">
        <v>2</v>
      </c>
      <c r="E599" s="2" t="s">
        <v>3</v>
      </c>
      <c r="F599" s="2" t="s">
        <v>879</v>
      </c>
      <c r="G599" s="2" t="s">
        <v>4</v>
      </c>
      <c r="J599" s="2" t="s">
        <v>7</v>
      </c>
    </row>
    <row r="600" ht="12.75" customHeight="1">
      <c r="A600" s="2">
        <f>$M$1</f>
        <v>2014</v>
      </c>
      <c r="B600" s="2">
        <v>10.0</v>
      </c>
      <c r="J600" s="2" t="s">
        <v>17</v>
      </c>
    </row>
    <row r="601" ht="12.75" customHeight="1">
      <c r="A601" s="2" t="s">
        <v>0</v>
      </c>
      <c r="B601" s="2" t="s">
        <v>1</v>
      </c>
      <c r="D601" s="2" t="s">
        <v>2</v>
      </c>
      <c r="E601" s="2" t="s">
        <v>3</v>
      </c>
      <c r="F601" s="2" t="s">
        <v>879</v>
      </c>
      <c r="G601" s="2" t="s">
        <v>4</v>
      </c>
      <c r="J601" s="2" t="s">
        <v>7</v>
      </c>
    </row>
    <row r="602" ht="12.75" customHeight="1">
      <c r="A602" s="2">
        <f>$M$1</f>
        <v>2014</v>
      </c>
      <c r="B602" s="2">
        <v>10.0</v>
      </c>
      <c r="J602" s="2" t="s">
        <v>24</v>
      </c>
    </row>
    <row r="603" ht="12.75" customHeight="1">
      <c r="A603" s="2" t="s">
        <v>0</v>
      </c>
      <c r="B603" s="2" t="s">
        <v>1</v>
      </c>
      <c r="D603" s="2" t="s">
        <v>2</v>
      </c>
      <c r="E603" s="2" t="s">
        <v>3</v>
      </c>
      <c r="F603" s="2" t="s">
        <v>879</v>
      </c>
      <c r="G603" s="2" t="s">
        <v>4</v>
      </c>
      <c r="J603" s="2" t="s">
        <v>7</v>
      </c>
    </row>
    <row r="604" ht="12.75" customHeight="1">
      <c r="A604" s="2">
        <f>$M$1</f>
        <v>2014</v>
      </c>
      <c r="B604" s="2">
        <v>10.0</v>
      </c>
      <c r="J604" s="2" t="s">
        <v>651</v>
      </c>
    </row>
    <row r="605" ht="12.75" customHeight="1">
      <c r="A605" s="2" t="s">
        <v>0</v>
      </c>
      <c r="B605" s="2" t="s">
        <v>1</v>
      </c>
      <c r="D605" s="2" t="s">
        <v>2</v>
      </c>
      <c r="E605" s="2" t="s">
        <v>3</v>
      </c>
      <c r="F605" s="2" t="s">
        <v>879</v>
      </c>
      <c r="G605" s="2" t="s">
        <v>4</v>
      </c>
      <c r="J605" s="2" t="s">
        <v>7</v>
      </c>
    </row>
    <row r="606" ht="12.75" customHeight="1">
      <c r="A606" s="2">
        <f>$M$1</f>
        <v>2014</v>
      </c>
      <c r="B606" s="2">
        <v>10.0</v>
      </c>
      <c r="J606" s="2" t="s">
        <v>76</v>
      </c>
    </row>
    <row r="607" ht="12.75" customHeight="1">
      <c r="A607" s="2" t="s">
        <v>0</v>
      </c>
      <c r="B607" s="2" t="s">
        <v>1</v>
      </c>
      <c r="D607" s="2" t="s">
        <v>2</v>
      </c>
      <c r="E607" s="2" t="s">
        <v>3</v>
      </c>
      <c r="F607" s="2" t="s">
        <v>879</v>
      </c>
      <c r="G607" s="2" t="s">
        <v>4</v>
      </c>
      <c r="J607" s="2" t="s">
        <v>7</v>
      </c>
    </row>
    <row r="608" ht="12.75" customHeight="1">
      <c r="A608" s="2">
        <f>$M$1</f>
        <v>2014</v>
      </c>
      <c r="B608" s="2">
        <v>10.0</v>
      </c>
      <c r="J608" s="2" t="s">
        <v>26</v>
      </c>
    </row>
    <row r="609" ht="12.75" customHeight="1">
      <c r="A609" s="2" t="s">
        <v>0</v>
      </c>
      <c r="B609" s="2" t="s">
        <v>1</v>
      </c>
      <c r="D609" s="2" t="s">
        <v>2</v>
      </c>
      <c r="E609" s="2" t="s">
        <v>3</v>
      </c>
      <c r="F609" s="2" t="s">
        <v>879</v>
      </c>
      <c r="G609" s="2" t="s">
        <v>4</v>
      </c>
      <c r="J609" s="2" t="s">
        <v>7</v>
      </c>
    </row>
    <row r="610" ht="12.75" customHeight="1">
      <c r="A610" s="2">
        <f>$M$1</f>
        <v>2014</v>
      </c>
      <c r="B610" s="2">
        <v>10.0</v>
      </c>
      <c r="J610" s="2" t="s">
        <v>103</v>
      </c>
    </row>
    <row r="611" ht="12.75" customHeight="1">
      <c r="A611" s="2" t="s">
        <v>0</v>
      </c>
      <c r="B611" s="2" t="s">
        <v>1</v>
      </c>
      <c r="D611" s="2" t="s">
        <v>2</v>
      </c>
      <c r="E611" s="2" t="s">
        <v>3</v>
      </c>
      <c r="F611" s="2" t="s">
        <v>879</v>
      </c>
      <c r="G611" s="2" t="s">
        <v>4</v>
      </c>
      <c r="J611" s="2" t="s">
        <v>7</v>
      </c>
    </row>
    <row r="612" ht="12.75" customHeight="1">
      <c r="A612" s="2">
        <f>$M$1</f>
        <v>2014</v>
      </c>
      <c r="B612" s="2">
        <v>10.0</v>
      </c>
      <c r="J612" s="2" t="s">
        <v>22</v>
      </c>
    </row>
    <row r="613" ht="12.75" customHeight="1">
      <c r="A613" s="2" t="s">
        <v>0</v>
      </c>
      <c r="B613" s="2" t="s">
        <v>1</v>
      </c>
      <c r="D613" s="2" t="s">
        <v>2</v>
      </c>
      <c r="E613" s="2" t="s">
        <v>3</v>
      </c>
      <c r="F613" s="2" t="s">
        <v>879</v>
      </c>
      <c r="G613" s="2" t="s">
        <v>4</v>
      </c>
      <c r="J613" s="2" t="s">
        <v>7</v>
      </c>
    </row>
    <row r="614" ht="12.75" customHeight="1">
      <c r="A614" s="2">
        <f>$M$1</f>
        <v>2014</v>
      </c>
      <c r="B614" s="2">
        <v>10.0</v>
      </c>
      <c r="J614" s="2" t="s">
        <v>428</v>
      </c>
    </row>
    <row r="615" ht="12.75" customHeight="1">
      <c r="A615" s="2" t="s">
        <v>0</v>
      </c>
      <c r="B615" s="2" t="s">
        <v>1</v>
      </c>
      <c r="D615" s="2" t="s">
        <v>2</v>
      </c>
      <c r="E615" s="2" t="s">
        <v>3</v>
      </c>
      <c r="F615" s="2" t="s">
        <v>879</v>
      </c>
      <c r="G615" s="2" t="s">
        <v>4</v>
      </c>
      <c r="J615" s="2" t="s">
        <v>7</v>
      </c>
    </row>
    <row r="616" ht="12.75" customHeight="1">
      <c r="A616" s="2">
        <f>$M$1</f>
        <v>2014</v>
      </c>
      <c r="B616" s="2">
        <v>10.0</v>
      </c>
      <c r="J616" s="2" t="s">
        <v>800</v>
      </c>
    </row>
    <row r="617" ht="12.75" customHeight="1">
      <c r="A617" s="2" t="s">
        <v>0</v>
      </c>
      <c r="B617" s="2" t="s">
        <v>1</v>
      </c>
      <c r="D617" s="2" t="s">
        <v>2</v>
      </c>
      <c r="E617" s="2" t="s">
        <v>3</v>
      </c>
      <c r="F617" s="2" t="s">
        <v>879</v>
      </c>
      <c r="G617" s="2" t="s">
        <v>4</v>
      </c>
      <c r="J617" s="2" t="s">
        <v>7</v>
      </c>
    </row>
    <row r="618" ht="12.75" customHeight="1">
      <c r="A618" s="2">
        <f>$M$1</f>
        <v>2014</v>
      </c>
      <c r="B618" s="2">
        <v>10.0</v>
      </c>
      <c r="J618" s="2" t="s">
        <v>54</v>
      </c>
    </row>
    <row r="619" ht="12.75" customHeight="1">
      <c r="A619" s="2" t="s">
        <v>0</v>
      </c>
      <c r="B619" s="2" t="s">
        <v>1</v>
      </c>
      <c r="D619" s="2" t="s">
        <v>2</v>
      </c>
      <c r="E619" s="2" t="s">
        <v>3</v>
      </c>
      <c r="F619" s="2" t="s">
        <v>879</v>
      </c>
      <c r="G619" s="2" t="s">
        <v>4</v>
      </c>
      <c r="J619" s="2" t="s">
        <v>7</v>
      </c>
    </row>
    <row r="620" ht="12.75" customHeight="1">
      <c r="A620" s="2">
        <f>$M$1</f>
        <v>2014</v>
      </c>
      <c r="B620" s="2">
        <v>10.0</v>
      </c>
      <c r="J620" s="2" t="s">
        <v>801</v>
      </c>
    </row>
    <row r="621" ht="12.75" customHeight="1">
      <c r="A621" s="2" t="s">
        <v>0</v>
      </c>
      <c r="B621" s="2" t="s">
        <v>1</v>
      </c>
      <c r="D621" s="2" t="s">
        <v>2</v>
      </c>
      <c r="E621" s="2" t="s">
        <v>3</v>
      </c>
      <c r="F621" s="2" t="s">
        <v>879</v>
      </c>
      <c r="G621" s="2" t="s">
        <v>4</v>
      </c>
      <c r="J621" s="2" t="s">
        <v>7</v>
      </c>
    </row>
    <row r="622" ht="12.75" customHeight="1">
      <c r="A622" s="2">
        <f>$M$1</f>
        <v>2014</v>
      </c>
      <c r="B622" s="2">
        <v>10.0</v>
      </c>
      <c r="J622" s="2" t="s">
        <v>38</v>
      </c>
    </row>
    <row r="623" ht="12.75" customHeight="1">
      <c r="A623" s="2" t="s">
        <v>0</v>
      </c>
      <c r="B623" s="2" t="s">
        <v>1</v>
      </c>
      <c r="D623" s="2" t="s">
        <v>2</v>
      </c>
      <c r="E623" s="2" t="s">
        <v>3</v>
      </c>
      <c r="F623" s="2" t="s">
        <v>879</v>
      </c>
      <c r="G623" s="2" t="s">
        <v>4</v>
      </c>
      <c r="J623" s="2" t="s">
        <v>7</v>
      </c>
    </row>
    <row r="624" ht="12.75" customHeight="1">
      <c r="A624" s="2">
        <f>$M$1</f>
        <v>2014</v>
      </c>
      <c r="B624" s="2">
        <v>10.0</v>
      </c>
      <c r="J624" s="2" t="s">
        <v>47</v>
      </c>
    </row>
    <row r="625" ht="12.75" customHeight="1">
      <c r="A625" s="2" t="s">
        <v>0</v>
      </c>
      <c r="B625" s="2" t="s">
        <v>1</v>
      </c>
      <c r="D625" s="2" t="s">
        <v>2</v>
      </c>
      <c r="E625" s="2" t="s">
        <v>3</v>
      </c>
      <c r="F625" s="2" t="s">
        <v>879</v>
      </c>
      <c r="G625" s="2" t="s">
        <v>4</v>
      </c>
      <c r="J625" s="2" t="s">
        <v>7</v>
      </c>
    </row>
    <row r="626" ht="12.75" customHeight="1">
      <c r="A626" s="2">
        <f>$M$1</f>
        <v>2014</v>
      </c>
      <c r="B626" s="2">
        <v>10.0</v>
      </c>
      <c r="J626" s="2" t="s">
        <v>52</v>
      </c>
    </row>
    <row r="627" ht="12.75" customHeight="1">
      <c r="A627" s="2" t="s">
        <v>0</v>
      </c>
      <c r="B627" s="2" t="s">
        <v>1</v>
      </c>
      <c r="D627" s="2" t="s">
        <v>2</v>
      </c>
      <c r="E627" s="2" t="s">
        <v>3</v>
      </c>
      <c r="F627" s="2" t="s">
        <v>879</v>
      </c>
      <c r="G627" s="2" t="s">
        <v>4</v>
      </c>
      <c r="J627" s="2" t="s">
        <v>7</v>
      </c>
    </row>
    <row r="628" ht="12.75" customHeight="1">
      <c r="A628" s="2">
        <f>$M$1</f>
        <v>2014</v>
      </c>
      <c r="B628" s="2">
        <v>10.0</v>
      </c>
      <c r="J628" s="2" t="s">
        <v>42</v>
      </c>
    </row>
    <row r="629" ht="12.75" customHeight="1">
      <c r="A629" s="2" t="s">
        <v>0</v>
      </c>
      <c r="B629" s="2" t="s">
        <v>1</v>
      </c>
      <c r="D629" s="2" t="s">
        <v>2</v>
      </c>
      <c r="E629" s="2" t="s">
        <v>3</v>
      </c>
      <c r="F629" s="2" t="s">
        <v>879</v>
      </c>
      <c r="G629" s="2" t="s">
        <v>4</v>
      </c>
      <c r="J629" s="2" t="s">
        <v>7</v>
      </c>
    </row>
    <row r="630" ht="12.75" customHeight="1">
      <c r="A630" s="2">
        <f>$M$1</f>
        <v>2014</v>
      </c>
      <c r="B630" s="2">
        <v>10.0</v>
      </c>
      <c r="J630" s="2" t="s">
        <v>133</v>
      </c>
    </row>
    <row r="631" ht="12.75" customHeight="1">
      <c r="A631" s="2" t="s">
        <v>0</v>
      </c>
      <c r="B631" s="2" t="s">
        <v>1</v>
      </c>
      <c r="D631" s="2" t="s">
        <v>2</v>
      </c>
      <c r="E631" s="2" t="s">
        <v>3</v>
      </c>
      <c r="F631" s="2" t="s">
        <v>879</v>
      </c>
      <c r="G631" s="2" t="s">
        <v>4</v>
      </c>
      <c r="J631" s="2" t="s">
        <v>7</v>
      </c>
    </row>
    <row r="632" ht="12.75" customHeight="1">
      <c r="A632" s="2">
        <f>$M$1</f>
        <v>2014</v>
      </c>
      <c r="B632" s="2">
        <v>10.0</v>
      </c>
      <c r="J632" s="2" t="s">
        <v>803</v>
      </c>
    </row>
    <row r="633" ht="12.75" customHeight="1">
      <c r="A633" s="2" t="s">
        <v>0</v>
      </c>
      <c r="B633" s="2" t="s">
        <v>1</v>
      </c>
      <c r="D633" s="2" t="s">
        <v>2</v>
      </c>
      <c r="E633" s="2" t="s">
        <v>3</v>
      </c>
      <c r="F633" s="2" t="s">
        <v>879</v>
      </c>
      <c r="G633" s="2" t="s">
        <v>4</v>
      </c>
      <c r="J633" s="2" t="s">
        <v>7</v>
      </c>
    </row>
    <row r="634" ht="12.75" customHeight="1">
      <c r="A634" s="2">
        <f>$M$1</f>
        <v>2014</v>
      </c>
      <c r="B634" s="2">
        <v>10.0</v>
      </c>
      <c r="J634" s="2" t="s">
        <v>164</v>
      </c>
    </row>
    <row r="635" ht="12.75" customHeight="1">
      <c r="A635" s="2" t="s">
        <v>0</v>
      </c>
      <c r="B635" s="2" t="s">
        <v>1</v>
      </c>
      <c r="D635" s="2" t="s">
        <v>2</v>
      </c>
      <c r="E635" s="2" t="s">
        <v>3</v>
      </c>
      <c r="F635" s="2" t="s">
        <v>879</v>
      </c>
      <c r="G635" s="2" t="s">
        <v>4</v>
      </c>
      <c r="J635" s="2" t="s">
        <v>7</v>
      </c>
    </row>
    <row r="636" ht="12.75" customHeight="1">
      <c r="A636" s="2">
        <f>$M$1</f>
        <v>2014</v>
      </c>
      <c r="B636" s="2">
        <v>10.0</v>
      </c>
      <c r="J636" s="2" t="s">
        <v>50</v>
      </c>
    </row>
    <row r="637" ht="12.75" customHeight="1">
      <c r="A637" s="2" t="s">
        <v>0</v>
      </c>
      <c r="B637" s="2" t="s">
        <v>1</v>
      </c>
      <c r="D637" s="2" t="s">
        <v>2</v>
      </c>
      <c r="E637" s="2" t="s">
        <v>3</v>
      </c>
      <c r="F637" s="2" t="s">
        <v>879</v>
      </c>
      <c r="G637" s="2" t="s">
        <v>4</v>
      </c>
      <c r="J637" s="2" t="s">
        <v>7</v>
      </c>
    </row>
    <row r="638" ht="12.75" customHeight="1">
      <c r="A638" s="2">
        <f>$M$1</f>
        <v>2014</v>
      </c>
      <c r="B638" s="2">
        <v>10.0</v>
      </c>
      <c r="J638" s="2" t="s">
        <v>304</v>
      </c>
    </row>
    <row r="639" ht="12.75" customHeight="1">
      <c r="A639" s="2" t="s">
        <v>0</v>
      </c>
      <c r="B639" s="2" t="s">
        <v>1</v>
      </c>
      <c r="D639" s="2" t="s">
        <v>2</v>
      </c>
      <c r="E639" s="2" t="s">
        <v>3</v>
      </c>
      <c r="F639" s="2" t="s">
        <v>879</v>
      </c>
      <c r="G639" s="2" t="s">
        <v>4</v>
      </c>
      <c r="J639" s="2" t="s">
        <v>7</v>
      </c>
    </row>
    <row r="640" ht="12.75" customHeight="1">
      <c r="A640" s="2">
        <f>$M$1</f>
        <v>2014</v>
      </c>
      <c r="B640" s="2">
        <v>10.0</v>
      </c>
      <c r="J640" s="2" t="s">
        <v>72</v>
      </c>
    </row>
    <row r="641" ht="12.75" customHeight="1">
      <c r="A641" s="2" t="s">
        <v>0</v>
      </c>
      <c r="B641" s="2" t="s">
        <v>1</v>
      </c>
      <c r="D641" s="2" t="s">
        <v>2</v>
      </c>
      <c r="E641" s="2" t="s">
        <v>3</v>
      </c>
      <c r="F641" s="2" t="s">
        <v>879</v>
      </c>
      <c r="G641" s="2" t="s">
        <v>4</v>
      </c>
      <c r="J641" s="2" t="s">
        <v>7</v>
      </c>
    </row>
    <row r="642" ht="12.75" customHeight="1">
      <c r="A642" s="2">
        <f>$M$1</f>
        <v>2014</v>
      </c>
      <c r="B642" s="2">
        <v>10.0</v>
      </c>
      <c r="J642" s="2" t="s">
        <v>13</v>
      </c>
    </row>
    <row r="643" ht="12.75" customHeight="1">
      <c r="A643" s="2" t="s">
        <v>0</v>
      </c>
      <c r="B643" s="2" t="s">
        <v>1</v>
      </c>
      <c r="D643" s="2" t="s">
        <v>2</v>
      </c>
      <c r="E643" s="2" t="s">
        <v>3</v>
      </c>
      <c r="F643" s="2" t="s">
        <v>879</v>
      </c>
      <c r="G643" s="2" t="s">
        <v>4</v>
      </c>
      <c r="J643" s="2" t="s">
        <v>7</v>
      </c>
    </row>
    <row r="644" ht="12.75" customHeight="1">
      <c r="A644" s="2">
        <f>$M$1</f>
        <v>2014</v>
      </c>
      <c r="B644" s="2">
        <v>10.0</v>
      </c>
      <c r="J644" s="2" t="s">
        <v>18</v>
      </c>
    </row>
    <row r="645" ht="12.75" customHeight="1">
      <c r="A645" s="2" t="s">
        <v>0</v>
      </c>
      <c r="B645" s="2" t="s">
        <v>1</v>
      </c>
      <c r="D645" s="2" t="s">
        <v>2</v>
      </c>
      <c r="E645" s="2" t="s">
        <v>3</v>
      </c>
      <c r="F645" s="2" t="s">
        <v>879</v>
      </c>
      <c r="G645" s="2" t="s">
        <v>4</v>
      </c>
      <c r="J645" s="2" t="s">
        <v>7</v>
      </c>
    </row>
    <row r="646" ht="12.75" customHeight="1">
      <c r="A646" s="2">
        <f>$M$1</f>
        <v>2014</v>
      </c>
      <c r="B646" s="2">
        <v>10.0</v>
      </c>
      <c r="J646" s="2" t="s">
        <v>153</v>
      </c>
    </row>
    <row r="647" ht="12.75" customHeight="1">
      <c r="A647" s="2" t="s">
        <v>0</v>
      </c>
      <c r="B647" s="2" t="s">
        <v>1</v>
      </c>
      <c r="D647" s="2" t="s">
        <v>2</v>
      </c>
      <c r="E647" s="2" t="s">
        <v>3</v>
      </c>
      <c r="F647" s="2" t="s">
        <v>879</v>
      </c>
      <c r="G647" s="2" t="s">
        <v>4</v>
      </c>
      <c r="J647" s="2" t="s">
        <v>7</v>
      </c>
    </row>
    <row r="648" ht="12.75" customHeight="1">
      <c r="A648" s="2">
        <f>$M$1</f>
        <v>2014</v>
      </c>
      <c r="B648" s="2">
        <v>10.0</v>
      </c>
      <c r="J648" s="2" t="s">
        <v>805</v>
      </c>
    </row>
    <row r="649" ht="12.75" customHeight="1">
      <c r="A649" s="2" t="s">
        <v>0</v>
      </c>
      <c r="B649" s="2" t="s">
        <v>1</v>
      </c>
      <c r="D649" s="2" t="s">
        <v>2</v>
      </c>
      <c r="E649" s="2" t="s">
        <v>3</v>
      </c>
      <c r="F649" s="2" t="s">
        <v>879</v>
      </c>
      <c r="G649" s="2" t="s">
        <v>4</v>
      </c>
      <c r="J649" s="2" t="s">
        <v>7</v>
      </c>
    </row>
    <row r="650" ht="12.75" customHeight="1">
      <c r="A650" s="2">
        <f>$M$1</f>
        <v>2014</v>
      </c>
      <c r="B650" s="2">
        <v>10.0</v>
      </c>
      <c r="J650" s="2" t="s">
        <v>31</v>
      </c>
    </row>
    <row r="651" ht="12.75" customHeight="1">
      <c r="A651" s="2" t="s">
        <v>0</v>
      </c>
      <c r="B651" s="2" t="s">
        <v>1</v>
      </c>
      <c r="D651" s="2" t="s">
        <v>2</v>
      </c>
      <c r="E651" s="2" t="s">
        <v>3</v>
      </c>
      <c r="F651" s="2" t="s">
        <v>879</v>
      </c>
      <c r="G651" s="2" t="s">
        <v>4</v>
      </c>
      <c r="J651" s="2" t="s">
        <v>7</v>
      </c>
    </row>
    <row r="652" ht="12.75" customHeight="1">
      <c r="A652" s="2">
        <f>$M$1</f>
        <v>2014</v>
      </c>
      <c r="B652" s="2">
        <v>10.0</v>
      </c>
      <c r="J652" s="2" t="s">
        <v>123</v>
      </c>
    </row>
    <row r="653" ht="12.75" customHeight="1">
      <c r="A653" s="2" t="s">
        <v>0</v>
      </c>
      <c r="B653" s="2" t="s">
        <v>1</v>
      </c>
      <c r="D653" s="2" t="s">
        <v>2</v>
      </c>
      <c r="E653" s="2" t="s">
        <v>3</v>
      </c>
      <c r="F653" s="2" t="s">
        <v>879</v>
      </c>
      <c r="G653" s="2" t="s">
        <v>4</v>
      </c>
      <c r="J653" s="2" t="s">
        <v>7</v>
      </c>
    </row>
    <row r="654" ht="12.75" customHeight="1">
      <c r="A654" s="2">
        <f>$M$1</f>
        <v>2014</v>
      </c>
      <c r="B654" s="2">
        <v>10.0</v>
      </c>
      <c r="J654" s="2" t="s">
        <v>35</v>
      </c>
    </row>
    <row r="655" ht="12.75" customHeight="1">
      <c r="A655" s="2" t="s">
        <v>0</v>
      </c>
      <c r="B655" s="2" t="s">
        <v>1</v>
      </c>
      <c r="D655" s="2" t="s">
        <v>2</v>
      </c>
      <c r="E655" s="2" t="s">
        <v>3</v>
      </c>
      <c r="F655" s="2" t="s">
        <v>879</v>
      </c>
      <c r="G655" s="2" t="s">
        <v>4</v>
      </c>
      <c r="J655" s="2" t="s">
        <v>7</v>
      </c>
    </row>
    <row r="656" ht="12.75" customHeight="1">
      <c r="A656" s="2">
        <f>$M$1</f>
        <v>2014</v>
      </c>
      <c r="B656" s="2">
        <v>10.0</v>
      </c>
      <c r="J656" s="2" t="s">
        <v>210</v>
      </c>
    </row>
    <row r="657" ht="12.75" customHeight="1">
      <c r="A657" s="2" t="s">
        <v>0</v>
      </c>
      <c r="B657" s="2" t="s">
        <v>1</v>
      </c>
      <c r="D657" s="2" t="s">
        <v>2</v>
      </c>
      <c r="E657" s="2" t="s">
        <v>3</v>
      </c>
      <c r="F657" s="2" t="s">
        <v>879</v>
      </c>
      <c r="G657" s="2" t="s">
        <v>4</v>
      </c>
      <c r="J657" s="2" t="s">
        <v>7</v>
      </c>
    </row>
    <row r="658" ht="12.75" customHeight="1">
      <c r="A658" s="2">
        <f>$M$1</f>
        <v>2014</v>
      </c>
      <c r="B658" s="2">
        <v>10.0</v>
      </c>
      <c r="J658" s="2" t="s">
        <v>808</v>
      </c>
    </row>
    <row r="659" ht="12.75" customHeight="1">
      <c r="A659" s="2" t="s">
        <v>0</v>
      </c>
      <c r="B659" s="2" t="s">
        <v>1</v>
      </c>
      <c r="D659" s="2" t="s">
        <v>2</v>
      </c>
      <c r="E659" s="2" t="s">
        <v>3</v>
      </c>
      <c r="F659" s="2" t="s">
        <v>879</v>
      </c>
      <c r="G659" s="2" t="s">
        <v>4</v>
      </c>
      <c r="J659" s="2" t="s">
        <v>7</v>
      </c>
    </row>
    <row r="660" ht="12.75" customHeight="1">
      <c r="A660" s="2">
        <f>$M$1</f>
        <v>2014</v>
      </c>
      <c r="B660" s="2">
        <v>10.0</v>
      </c>
      <c r="J660" s="2" t="s">
        <v>810</v>
      </c>
    </row>
    <row r="661" ht="12.75" customHeight="1">
      <c r="A661" s="2" t="s">
        <v>0</v>
      </c>
      <c r="B661" s="2" t="s">
        <v>1</v>
      </c>
      <c r="D661" s="2" t="s">
        <v>2</v>
      </c>
      <c r="E661" s="2" t="s">
        <v>3</v>
      </c>
      <c r="F661" s="2" t="s">
        <v>879</v>
      </c>
      <c r="G661" s="2" t="s">
        <v>4</v>
      </c>
      <c r="J661" s="2" t="s">
        <v>7</v>
      </c>
    </row>
    <row r="662" ht="12.75" customHeight="1">
      <c r="A662" s="2">
        <f>$M$1</f>
        <v>2014</v>
      </c>
      <c r="B662" s="2">
        <v>11.0</v>
      </c>
      <c r="J662" s="2" t="s">
        <v>10</v>
      </c>
    </row>
    <row r="663" ht="12.75" customHeight="1">
      <c r="A663" s="2" t="s">
        <v>0</v>
      </c>
      <c r="B663" s="2" t="s">
        <v>1</v>
      </c>
      <c r="D663" s="2" t="s">
        <v>2</v>
      </c>
      <c r="E663" s="2" t="s">
        <v>3</v>
      </c>
      <c r="F663" s="2" t="s">
        <v>879</v>
      </c>
      <c r="G663" s="2" t="s">
        <v>4</v>
      </c>
      <c r="J663" s="2" t="s">
        <v>7</v>
      </c>
    </row>
    <row r="664" ht="12.75" customHeight="1">
      <c r="A664" s="2">
        <f>$M$1</f>
        <v>2014</v>
      </c>
      <c r="B664" s="2">
        <v>11.0</v>
      </c>
      <c r="J664" s="2" t="s">
        <v>20</v>
      </c>
    </row>
    <row r="665" ht="12.75" customHeight="1">
      <c r="A665" s="2" t="s">
        <v>0</v>
      </c>
      <c r="B665" s="2" t="s">
        <v>1</v>
      </c>
      <c r="D665" s="2" t="s">
        <v>2</v>
      </c>
      <c r="E665" s="2" t="s">
        <v>3</v>
      </c>
      <c r="F665" s="2" t="s">
        <v>879</v>
      </c>
      <c r="G665" s="2" t="s">
        <v>4</v>
      </c>
      <c r="J665" s="2" t="s">
        <v>7</v>
      </c>
    </row>
    <row r="666" ht="12.75" customHeight="1">
      <c r="A666" s="2">
        <f>$M$1</f>
        <v>2014</v>
      </c>
      <c r="B666" s="2">
        <v>11.0</v>
      </c>
      <c r="J666" s="2" t="s">
        <v>17</v>
      </c>
    </row>
    <row r="667" ht="12.75" customHeight="1">
      <c r="A667" s="2" t="s">
        <v>0</v>
      </c>
      <c r="B667" s="2" t="s">
        <v>1</v>
      </c>
      <c r="D667" s="2" t="s">
        <v>2</v>
      </c>
      <c r="E667" s="2" t="s">
        <v>3</v>
      </c>
      <c r="F667" s="2" t="s">
        <v>879</v>
      </c>
      <c r="G667" s="2" t="s">
        <v>4</v>
      </c>
      <c r="J667" s="2" t="s">
        <v>7</v>
      </c>
    </row>
    <row r="668" ht="12.75" customHeight="1">
      <c r="A668" s="2">
        <f>$M$1</f>
        <v>2014</v>
      </c>
      <c r="B668" s="2">
        <v>11.0</v>
      </c>
      <c r="J668" s="2" t="s">
        <v>24</v>
      </c>
    </row>
    <row r="669" ht="12.75" customHeight="1">
      <c r="A669" s="2" t="s">
        <v>0</v>
      </c>
      <c r="B669" s="2" t="s">
        <v>1</v>
      </c>
      <c r="D669" s="2" t="s">
        <v>2</v>
      </c>
      <c r="E669" s="2" t="s">
        <v>3</v>
      </c>
      <c r="F669" s="2" t="s">
        <v>879</v>
      </c>
      <c r="G669" s="2" t="s">
        <v>4</v>
      </c>
      <c r="J669" s="2" t="s">
        <v>7</v>
      </c>
    </row>
    <row r="670" ht="12.75" customHeight="1">
      <c r="A670" s="2">
        <f>$M$1</f>
        <v>2014</v>
      </c>
      <c r="B670" s="2">
        <v>11.0</v>
      </c>
      <c r="J670" s="2" t="s">
        <v>651</v>
      </c>
    </row>
    <row r="671" ht="12.75" customHeight="1">
      <c r="A671" s="2" t="s">
        <v>0</v>
      </c>
      <c r="B671" s="2" t="s">
        <v>1</v>
      </c>
      <c r="D671" s="2" t="s">
        <v>2</v>
      </c>
      <c r="E671" s="2" t="s">
        <v>3</v>
      </c>
      <c r="F671" s="2" t="s">
        <v>879</v>
      </c>
      <c r="G671" s="2" t="s">
        <v>4</v>
      </c>
      <c r="J671" s="2" t="s">
        <v>7</v>
      </c>
    </row>
    <row r="672" ht="12.75" customHeight="1">
      <c r="A672" s="2">
        <f>$M$1</f>
        <v>2014</v>
      </c>
      <c r="B672" s="2">
        <v>11.0</v>
      </c>
      <c r="J672" s="2" t="s">
        <v>76</v>
      </c>
    </row>
    <row r="673" ht="12.75" customHeight="1">
      <c r="A673" s="2" t="s">
        <v>0</v>
      </c>
      <c r="B673" s="2" t="s">
        <v>1</v>
      </c>
      <c r="D673" s="2" t="s">
        <v>2</v>
      </c>
      <c r="E673" s="2" t="s">
        <v>3</v>
      </c>
      <c r="F673" s="2" t="s">
        <v>879</v>
      </c>
      <c r="G673" s="2" t="s">
        <v>4</v>
      </c>
      <c r="J673" s="2" t="s">
        <v>7</v>
      </c>
    </row>
    <row r="674" ht="12.75" customHeight="1">
      <c r="A674" s="2">
        <f>$M$1</f>
        <v>2014</v>
      </c>
      <c r="B674" s="2">
        <v>11.0</v>
      </c>
      <c r="J674" s="2" t="s">
        <v>26</v>
      </c>
    </row>
    <row r="675" ht="12.75" customHeight="1">
      <c r="A675" s="2" t="s">
        <v>0</v>
      </c>
      <c r="B675" s="2" t="s">
        <v>1</v>
      </c>
      <c r="D675" s="2" t="s">
        <v>2</v>
      </c>
      <c r="E675" s="2" t="s">
        <v>3</v>
      </c>
      <c r="F675" s="2" t="s">
        <v>879</v>
      </c>
      <c r="G675" s="2" t="s">
        <v>4</v>
      </c>
      <c r="J675" s="2" t="s">
        <v>7</v>
      </c>
    </row>
    <row r="676" ht="12.75" customHeight="1">
      <c r="A676" s="2">
        <f>$M$1</f>
        <v>2014</v>
      </c>
      <c r="B676" s="2">
        <v>11.0</v>
      </c>
      <c r="J676" s="2" t="s">
        <v>103</v>
      </c>
    </row>
    <row r="677" ht="12.75" customHeight="1">
      <c r="A677" s="2" t="s">
        <v>0</v>
      </c>
      <c r="B677" s="2" t="s">
        <v>1</v>
      </c>
      <c r="D677" s="2" t="s">
        <v>2</v>
      </c>
      <c r="E677" s="2" t="s">
        <v>3</v>
      </c>
      <c r="F677" s="2" t="s">
        <v>879</v>
      </c>
      <c r="G677" s="2" t="s">
        <v>4</v>
      </c>
      <c r="J677" s="2" t="s">
        <v>7</v>
      </c>
    </row>
    <row r="678" ht="12.75" customHeight="1">
      <c r="A678" s="2">
        <f>$M$1</f>
        <v>2014</v>
      </c>
      <c r="B678" s="2">
        <v>11.0</v>
      </c>
      <c r="J678" s="2" t="s">
        <v>22</v>
      </c>
    </row>
    <row r="679" ht="12.75" customHeight="1">
      <c r="A679" s="2" t="s">
        <v>0</v>
      </c>
      <c r="B679" s="2" t="s">
        <v>1</v>
      </c>
      <c r="D679" s="2" t="s">
        <v>2</v>
      </c>
      <c r="E679" s="2" t="s">
        <v>3</v>
      </c>
      <c r="F679" s="2" t="s">
        <v>879</v>
      </c>
      <c r="G679" s="2" t="s">
        <v>4</v>
      </c>
      <c r="J679" s="2" t="s">
        <v>7</v>
      </c>
    </row>
    <row r="680" ht="12.75" customHeight="1">
      <c r="A680" s="2">
        <f>$M$1</f>
        <v>2014</v>
      </c>
      <c r="B680" s="2">
        <v>11.0</v>
      </c>
      <c r="J680" s="2" t="s">
        <v>428</v>
      </c>
    </row>
    <row r="681" ht="12.75" customHeight="1">
      <c r="A681" s="2" t="s">
        <v>0</v>
      </c>
      <c r="B681" s="2" t="s">
        <v>1</v>
      </c>
      <c r="D681" s="2" t="s">
        <v>2</v>
      </c>
      <c r="E681" s="2" t="s">
        <v>3</v>
      </c>
      <c r="F681" s="2" t="s">
        <v>879</v>
      </c>
      <c r="G681" s="2" t="s">
        <v>4</v>
      </c>
      <c r="J681" s="2" t="s">
        <v>7</v>
      </c>
    </row>
    <row r="682" ht="12.75" customHeight="1">
      <c r="A682" s="2">
        <f>$M$1</f>
        <v>2014</v>
      </c>
      <c r="B682" s="2">
        <v>11.0</v>
      </c>
      <c r="J682" s="2" t="s">
        <v>800</v>
      </c>
    </row>
    <row r="683" ht="12.75" customHeight="1">
      <c r="A683" s="2" t="s">
        <v>0</v>
      </c>
      <c r="B683" s="2" t="s">
        <v>1</v>
      </c>
      <c r="D683" s="2" t="s">
        <v>2</v>
      </c>
      <c r="E683" s="2" t="s">
        <v>3</v>
      </c>
      <c r="F683" s="2" t="s">
        <v>879</v>
      </c>
      <c r="G683" s="2" t="s">
        <v>4</v>
      </c>
      <c r="J683" s="2" t="s">
        <v>7</v>
      </c>
    </row>
    <row r="684" ht="12.75" customHeight="1">
      <c r="A684" s="2">
        <f>$M$1</f>
        <v>2014</v>
      </c>
      <c r="B684" s="2">
        <v>11.0</v>
      </c>
      <c r="J684" s="2" t="s">
        <v>54</v>
      </c>
    </row>
    <row r="685" ht="12.75" customHeight="1">
      <c r="A685" s="2" t="s">
        <v>0</v>
      </c>
      <c r="B685" s="2" t="s">
        <v>1</v>
      </c>
      <c r="D685" s="2" t="s">
        <v>2</v>
      </c>
      <c r="E685" s="2" t="s">
        <v>3</v>
      </c>
      <c r="F685" s="2" t="s">
        <v>879</v>
      </c>
      <c r="G685" s="2" t="s">
        <v>4</v>
      </c>
      <c r="J685" s="2" t="s">
        <v>7</v>
      </c>
    </row>
    <row r="686" ht="12.75" customHeight="1">
      <c r="A686" s="2">
        <f>$M$1</f>
        <v>2014</v>
      </c>
      <c r="B686" s="2">
        <v>11.0</v>
      </c>
      <c r="J686" s="2" t="s">
        <v>801</v>
      </c>
    </row>
    <row r="687" ht="12.75" customHeight="1">
      <c r="A687" s="2" t="s">
        <v>0</v>
      </c>
      <c r="B687" s="2" t="s">
        <v>1</v>
      </c>
      <c r="D687" s="2" t="s">
        <v>2</v>
      </c>
      <c r="E687" s="2" t="s">
        <v>3</v>
      </c>
      <c r="F687" s="2" t="s">
        <v>879</v>
      </c>
      <c r="G687" s="2" t="s">
        <v>4</v>
      </c>
      <c r="J687" s="2" t="s">
        <v>7</v>
      </c>
    </row>
    <row r="688" ht="12.75" customHeight="1">
      <c r="A688" s="2">
        <f>$M$1</f>
        <v>2014</v>
      </c>
      <c r="B688" s="2">
        <v>11.0</v>
      </c>
      <c r="J688" s="2" t="s">
        <v>38</v>
      </c>
    </row>
    <row r="689" ht="12.75" customHeight="1">
      <c r="A689" s="2" t="s">
        <v>0</v>
      </c>
      <c r="B689" s="2" t="s">
        <v>1</v>
      </c>
      <c r="D689" s="2" t="s">
        <v>2</v>
      </c>
      <c r="E689" s="2" t="s">
        <v>3</v>
      </c>
      <c r="F689" s="2" t="s">
        <v>879</v>
      </c>
      <c r="G689" s="2" t="s">
        <v>4</v>
      </c>
      <c r="J689" s="2" t="s">
        <v>7</v>
      </c>
    </row>
    <row r="690" ht="12.75" customHeight="1">
      <c r="A690" s="2">
        <f>$M$1</f>
        <v>2014</v>
      </c>
      <c r="B690" s="2">
        <v>11.0</v>
      </c>
      <c r="J690" s="2" t="s">
        <v>47</v>
      </c>
    </row>
    <row r="691" ht="12.75" customHeight="1">
      <c r="A691" s="2" t="s">
        <v>0</v>
      </c>
      <c r="B691" s="2" t="s">
        <v>1</v>
      </c>
      <c r="D691" s="2" t="s">
        <v>2</v>
      </c>
      <c r="E691" s="2" t="s">
        <v>3</v>
      </c>
      <c r="F691" s="2" t="s">
        <v>879</v>
      </c>
      <c r="G691" s="2" t="s">
        <v>4</v>
      </c>
      <c r="J691" s="2" t="s">
        <v>7</v>
      </c>
    </row>
    <row r="692" ht="12.75" customHeight="1">
      <c r="A692" s="2">
        <f>$M$1</f>
        <v>2014</v>
      </c>
      <c r="B692" s="2">
        <v>11.0</v>
      </c>
      <c r="J692" s="2" t="s">
        <v>52</v>
      </c>
    </row>
    <row r="693" ht="12.75" customHeight="1">
      <c r="A693" s="2" t="s">
        <v>0</v>
      </c>
      <c r="B693" s="2" t="s">
        <v>1</v>
      </c>
      <c r="D693" s="2" t="s">
        <v>2</v>
      </c>
      <c r="E693" s="2" t="s">
        <v>3</v>
      </c>
      <c r="F693" s="2" t="s">
        <v>879</v>
      </c>
      <c r="G693" s="2" t="s">
        <v>4</v>
      </c>
      <c r="J693" s="2" t="s">
        <v>7</v>
      </c>
    </row>
    <row r="694" ht="12.75" customHeight="1">
      <c r="A694" s="2">
        <f>$M$1</f>
        <v>2014</v>
      </c>
      <c r="B694" s="2">
        <v>11.0</v>
      </c>
      <c r="J694" s="2" t="s">
        <v>42</v>
      </c>
    </row>
    <row r="695" ht="12.75" customHeight="1">
      <c r="A695" s="2" t="s">
        <v>0</v>
      </c>
      <c r="B695" s="2" t="s">
        <v>1</v>
      </c>
      <c r="D695" s="2" t="s">
        <v>2</v>
      </c>
      <c r="E695" s="2" t="s">
        <v>3</v>
      </c>
      <c r="F695" s="2" t="s">
        <v>879</v>
      </c>
      <c r="G695" s="2" t="s">
        <v>4</v>
      </c>
      <c r="J695" s="2" t="s">
        <v>7</v>
      </c>
    </row>
    <row r="696" ht="12.75" customHeight="1">
      <c r="A696" s="2">
        <f>$M$1</f>
        <v>2014</v>
      </c>
      <c r="B696" s="2">
        <v>11.0</v>
      </c>
      <c r="J696" s="2" t="s">
        <v>133</v>
      </c>
    </row>
    <row r="697" ht="12.75" customHeight="1">
      <c r="A697" s="2" t="s">
        <v>0</v>
      </c>
      <c r="B697" s="2" t="s">
        <v>1</v>
      </c>
      <c r="D697" s="2" t="s">
        <v>2</v>
      </c>
      <c r="E697" s="2" t="s">
        <v>3</v>
      </c>
      <c r="F697" s="2" t="s">
        <v>879</v>
      </c>
      <c r="G697" s="2" t="s">
        <v>4</v>
      </c>
      <c r="J697" s="2" t="s">
        <v>7</v>
      </c>
    </row>
    <row r="698" ht="12.75" customHeight="1">
      <c r="A698" s="2">
        <f>$M$1</f>
        <v>2014</v>
      </c>
      <c r="B698" s="2">
        <v>11.0</v>
      </c>
      <c r="J698" s="2" t="s">
        <v>803</v>
      </c>
    </row>
    <row r="699" ht="12.75" customHeight="1">
      <c r="A699" s="2" t="s">
        <v>0</v>
      </c>
      <c r="B699" s="2" t="s">
        <v>1</v>
      </c>
      <c r="D699" s="2" t="s">
        <v>2</v>
      </c>
      <c r="E699" s="2" t="s">
        <v>3</v>
      </c>
      <c r="F699" s="2" t="s">
        <v>879</v>
      </c>
      <c r="G699" s="2" t="s">
        <v>4</v>
      </c>
      <c r="J699" s="2" t="s">
        <v>7</v>
      </c>
    </row>
    <row r="700" ht="12.75" customHeight="1">
      <c r="A700" s="2">
        <f>$M$1</f>
        <v>2014</v>
      </c>
      <c r="B700" s="2">
        <v>11.0</v>
      </c>
      <c r="J700" s="2" t="s">
        <v>164</v>
      </c>
    </row>
    <row r="701" ht="12.75" customHeight="1">
      <c r="A701" s="2" t="s">
        <v>0</v>
      </c>
      <c r="B701" s="2" t="s">
        <v>1</v>
      </c>
      <c r="D701" s="2" t="s">
        <v>2</v>
      </c>
      <c r="E701" s="2" t="s">
        <v>3</v>
      </c>
      <c r="F701" s="2" t="s">
        <v>879</v>
      </c>
      <c r="G701" s="2" t="s">
        <v>4</v>
      </c>
      <c r="J701" s="2" t="s">
        <v>7</v>
      </c>
    </row>
    <row r="702" ht="12.75" customHeight="1">
      <c r="A702" s="2">
        <f>$M$1</f>
        <v>2014</v>
      </c>
      <c r="B702" s="2">
        <v>11.0</v>
      </c>
      <c r="J702" s="2" t="s">
        <v>50</v>
      </c>
    </row>
    <row r="703" ht="12.75" customHeight="1">
      <c r="A703" s="2" t="s">
        <v>0</v>
      </c>
      <c r="B703" s="2" t="s">
        <v>1</v>
      </c>
      <c r="D703" s="2" t="s">
        <v>2</v>
      </c>
      <c r="E703" s="2" t="s">
        <v>3</v>
      </c>
      <c r="F703" s="2" t="s">
        <v>879</v>
      </c>
      <c r="G703" s="2" t="s">
        <v>4</v>
      </c>
      <c r="J703" s="2" t="s">
        <v>7</v>
      </c>
    </row>
    <row r="704" ht="12.75" customHeight="1">
      <c r="A704" s="2">
        <f>$M$1</f>
        <v>2014</v>
      </c>
      <c r="B704" s="2">
        <v>11.0</v>
      </c>
      <c r="J704" s="2" t="s">
        <v>304</v>
      </c>
    </row>
    <row r="705" ht="12.75" customHeight="1">
      <c r="A705" s="2" t="s">
        <v>0</v>
      </c>
      <c r="B705" s="2" t="s">
        <v>1</v>
      </c>
      <c r="D705" s="2" t="s">
        <v>2</v>
      </c>
      <c r="E705" s="2" t="s">
        <v>3</v>
      </c>
      <c r="F705" s="2" t="s">
        <v>879</v>
      </c>
      <c r="G705" s="2" t="s">
        <v>4</v>
      </c>
      <c r="J705" s="2" t="s">
        <v>7</v>
      </c>
    </row>
    <row r="706" ht="12.75" customHeight="1">
      <c r="A706" s="2">
        <f>$M$1</f>
        <v>2014</v>
      </c>
      <c r="B706" s="2">
        <v>11.0</v>
      </c>
      <c r="J706" s="2" t="s">
        <v>72</v>
      </c>
    </row>
    <row r="707" ht="12.75" customHeight="1">
      <c r="A707" s="2" t="s">
        <v>0</v>
      </c>
      <c r="B707" s="2" t="s">
        <v>1</v>
      </c>
      <c r="D707" s="2" t="s">
        <v>2</v>
      </c>
      <c r="E707" s="2" t="s">
        <v>3</v>
      </c>
      <c r="F707" s="2" t="s">
        <v>879</v>
      </c>
      <c r="G707" s="2" t="s">
        <v>4</v>
      </c>
      <c r="J707" s="2" t="s">
        <v>7</v>
      </c>
    </row>
    <row r="708" ht="12.75" customHeight="1">
      <c r="A708" s="2">
        <f>$M$1</f>
        <v>2014</v>
      </c>
      <c r="B708" s="2">
        <v>11.0</v>
      </c>
      <c r="J708" s="2" t="s">
        <v>13</v>
      </c>
    </row>
    <row r="709" ht="12.75" customHeight="1">
      <c r="A709" s="2" t="s">
        <v>0</v>
      </c>
      <c r="B709" s="2" t="s">
        <v>1</v>
      </c>
      <c r="D709" s="2" t="s">
        <v>2</v>
      </c>
      <c r="E709" s="2" t="s">
        <v>3</v>
      </c>
      <c r="F709" s="2" t="s">
        <v>879</v>
      </c>
      <c r="G709" s="2" t="s">
        <v>4</v>
      </c>
      <c r="J709" s="2" t="s">
        <v>7</v>
      </c>
    </row>
    <row r="710" ht="12.75" customHeight="1">
      <c r="A710" s="2">
        <f>$M$1</f>
        <v>2014</v>
      </c>
      <c r="B710" s="2">
        <v>11.0</v>
      </c>
      <c r="J710" s="2" t="s">
        <v>18</v>
      </c>
    </row>
    <row r="711" ht="12.75" customHeight="1">
      <c r="A711" s="2" t="s">
        <v>0</v>
      </c>
      <c r="B711" s="2" t="s">
        <v>1</v>
      </c>
      <c r="D711" s="2" t="s">
        <v>2</v>
      </c>
      <c r="E711" s="2" t="s">
        <v>3</v>
      </c>
      <c r="F711" s="2" t="s">
        <v>879</v>
      </c>
      <c r="G711" s="2" t="s">
        <v>4</v>
      </c>
      <c r="J711" s="2" t="s">
        <v>7</v>
      </c>
    </row>
    <row r="712" ht="12.75" customHeight="1">
      <c r="A712" s="2">
        <f>$M$1</f>
        <v>2014</v>
      </c>
      <c r="B712" s="2">
        <v>11.0</v>
      </c>
      <c r="J712" s="2" t="s">
        <v>153</v>
      </c>
    </row>
    <row r="713" ht="12.75" customHeight="1">
      <c r="A713" s="2" t="s">
        <v>0</v>
      </c>
      <c r="B713" s="2" t="s">
        <v>1</v>
      </c>
      <c r="D713" s="2" t="s">
        <v>2</v>
      </c>
      <c r="E713" s="2" t="s">
        <v>3</v>
      </c>
      <c r="F713" s="2" t="s">
        <v>879</v>
      </c>
      <c r="G713" s="2" t="s">
        <v>4</v>
      </c>
      <c r="J713" s="2" t="s">
        <v>7</v>
      </c>
    </row>
    <row r="714" ht="12.75" customHeight="1">
      <c r="A714" s="2">
        <f>$M$1</f>
        <v>2014</v>
      </c>
      <c r="B714" s="2">
        <v>11.0</v>
      </c>
      <c r="J714" s="2" t="s">
        <v>805</v>
      </c>
    </row>
    <row r="715" ht="12.75" customHeight="1">
      <c r="A715" s="2" t="s">
        <v>0</v>
      </c>
      <c r="B715" s="2" t="s">
        <v>1</v>
      </c>
      <c r="D715" s="2" t="s">
        <v>2</v>
      </c>
      <c r="E715" s="2" t="s">
        <v>3</v>
      </c>
      <c r="F715" s="2" t="s">
        <v>879</v>
      </c>
      <c r="G715" s="2" t="s">
        <v>4</v>
      </c>
      <c r="J715" s="2" t="s">
        <v>7</v>
      </c>
    </row>
    <row r="716" ht="12.75" customHeight="1">
      <c r="A716" s="2">
        <f>$M$1</f>
        <v>2014</v>
      </c>
      <c r="B716" s="2">
        <v>11.0</v>
      </c>
      <c r="J716" s="2" t="s">
        <v>31</v>
      </c>
    </row>
    <row r="717" ht="12.75" customHeight="1">
      <c r="A717" s="2" t="s">
        <v>0</v>
      </c>
      <c r="B717" s="2" t="s">
        <v>1</v>
      </c>
      <c r="D717" s="2" t="s">
        <v>2</v>
      </c>
      <c r="E717" s="2" t="s">
        <v>3</v>
      </c>
      <c r="F717" s="2" t="s">
        <v>879</v>
      </c>
      <c r="G717" s="2" t="s">
        <v>4</v>
      </c>
      <c r="J717" s="2" t="s">
        <v>7</v>
      </c>
    </row>
    <row r="718" ht="12.75" customHeight="1">
      <c r="A718" s="2">
        <f>$M$1</f>
        <v>2014</v>
      </c>
      <c r="B718" s="2">
        <v>11.0</v>
      </c>
      <c r="J718" s="2" t="s">
        <v>123</v>
      </c>
    </row>
    <row r="719" ht="12.75" customHeight="1">
      <c r="A719" s="2" t="s">
        <v>0</v>
      </c>
      <c r="B719" s="2" t="s">
        <v>1</v>
      </c>
      <c r="D719" s="2" t="s">
        <v>2</v>
      </c>
      <c r="E719" s="2" t="s">
        <v>3</v>
      </c>
      <c r="F719" s="2" t="s">
        <v>879</v>
      </c>
      <c r="G719" s="2" t="s">
        <v>4</v>
      </c>
      <c r="J719" s="2" t="s">
        <v>7</v>
      </c>
    </row>
    <row r="720" ht="12.75" customHeight="1">
      <c r="A720" s="2">
        <f>$M$1</f>
        <v>2014</v>
      </c>
      <c r="B720" s="2">
        <v>11.0</v>
      </c>
      <c r="J720" s="2" t="s">
        <v>35</v>
      </c>
    </row>
    <row r="721" ht="12.75" customHeight="1">
      <c r="A721" s="2" t="s">
        <v>0</v>
      </c>
      <c r="B721" s="2" t="s">
        <v>1</v>
      </c>
      <c r="D721" s="2" t="s">
        <v>2</v>
      </c>
      <c r="E721" s="2" t="s">
        <v>3</v>
      </c>
      <c r="F721" s="2" t="s">
        <v>879</v>
      </c>
      <c r="G721" s="2" t="s">
        <v>4</v>
      </c>
      <c r="J721" s="2" t="s">
        <v>7</v>
      </c>
    </row>
    <row r="722" ht="12.75" customHeight="1">
      <c r="A722" s="2">
        <f>$M$1</f>
        <v>2014</v>
      </c>
      <c r="B722" s="2">
        <v>11.0</v>
      </c>
      <c r="J722" s="2" t="s">
        <v>210</v>
      </c>
    </row>
    <row r="723" ht="12.75" customHeight="1">
      <c r="A723" s="2" t="s">
        <v>0</v>
      </c>
      <c r="B723" s="2" t="s">
        <v>1</v>
      </c>
      <c r="D723" s="2" t="s">
        <v>2</v>
      </c>
      <c r="E723" s="2" t="s">
        <v>3</v>
      </c>
      <c r="F723" s="2" t="s">
        <v>879</v>
      </c>
      <c r="G723" s="2" t="s">
        <v>4</v>
      </c>
      <c r="J723" s="2" t="s">
        <v>7</v>
      </c>
    </row>
    <row r="724" ht="12.75" customHeight="1">
      <c r="A724" s="2">
        <f>$M$1</f>
        <v>2014</v>
      </c>
      <c r="B724" s="2">
        <v>11.0</v>
      </c>
      <c r="J724" s="2" t="s">
        <v>808</v>
      </c>
    </row>
    <row r="725" ht="12.75" customHeight="1">
      <c r="A725" s="2" t="s">
        <v>0</v>
      </c>
      <c r="B725" s="2" t="s">
        <v>1</v>
      </c>
      <c r="D725" s="2" t="s">
        <v>2</v>
      </c>
      <c r="E725" s="2" t="s">
        <v>3</v>
      </c>
      <c r="F725" s="2" t="s">
        <v>879</v>
      </c>
      <c r="G725" s="2" t="s">
        <v>4</v>
      </c>
      <c r="J725" s="2" t="s">
        <v>7</v>
      </c>
    </row>
    <row r="726" ht="12.75" customHeight="1">
      <c r="A726" s="2">
        <f>$M$1</f>
        <v>2014</v>
      </c>
      <c r="B726" s="2">
        <v>11.0</v>
      </c>
      <c r="J726" s="2" t="s">
        <v>810</v>
      </c>
    </row>
    <row r="727" ht="12.75" customHeight="1">
      <c r="A727" s="2" t="s">
        <v>0</v>
      </c>
      <c r="B727" s="2" t="s">
        <v>1</v>
      </c>
      <c r="D727" s="2" t="s">
        <v>2</v>
      </c>
      <c r="E727" s="2" t="s">
        <v>3</v>
      </c>
      <c r="F727" s="2" t="s">
        <v>879</v>
      </c>
      <c r="G727" s="2" t="s">
        <v>4</v>
      </c>
      <c r="J727" s="2" t="s">
        <v>7</v>
      </c>
    </row>
    <row r="728" ht="12.75" customHeight="1">
      <c r="A728" s="2">
        <f>$M$1</f>
        <v>2014</v>
      </c>
      <c r="B728" s="2">
        <v>12.0</v>
      </c>
      <c r="J728" s="2" t="s">
        <v>10</v>
      </c>
    </row>
    <row r="729" ht="12.75" customHeight="1">
      <c r="A729" s="2" t="s">
        <v>0</v>
      </c>
      <c r="B729" s="2" t="s">
        <v>1</v>
      </c>
      <c r="D729" s="2" t="s">
        <v>2</v>
      </c>
      <c r="E729" s="2" t="s">
        <v>3</v>
      </c>
      <c r="F729" s="2" t="s">
        <v>879</v>
      </c>
      <c r="G729" s="2" t="s">
        <v>4</v>
      </c>
      <c r="J729" s="2" t="s">
        <v>7</v>
      </c>
    </row>
    <row r="730" ht="12.75" customHeight="1">
      <c r="A730" s="2">
        <f>$M$1</f>
        <v>2014</v>
      </c>
      <c r="B730" s="2">
        <v>12.0</v>
      </c>
      <c r="J730" s="2" t="s">
        <v>20</v>
      </c>
    </row>
    <row r="731" ht="12.75" customHeight="1">
      <c r="A731" s="2" t="s">
        <v>0</v>
      </c>
      <c r="B731" s="2" t="s">
        <v>1</v>
      </c>
      <c r="D731" s="2" t="s">
        <v>2</v>
      </c>
      <c r="E731" s="2" t="s">
        <v>3</v>
      </c>
      <c r="F731" s="2" t="s">
        <v>879</v>
      </c>
      <c r="G731" s="2" t="s">
        <v>4</v>
      </c>
      <c r="J731" s="2" t="s">
        <v>7</v>
      </c>
    </row>
    <row r="732" ht="12.75" customHeight="1">
      <c r="A732" s="2">
        <f>$M$1</f>
        <v>2014</v>
      </c>
      <c r="B732" s="2">
        <v>12.0</v>
      </c>
      <c r="J732" s="2" t="s">
        <v>17</v>
      </c>
    </row>
    <row r="733" ht="12.75" customHeight="1">
      <c r="A733" s="2" t="s">
        <v>0</v>
      </c>
      <c r="B733" s="2" t="s">
        <v>1</v>
      </c>
      <c r="D733" s="2" t="s">
        <v>2</v>
      </c>
      <c r="E733" s="2" t="s">
        <v>3</v>
      </c>
      <c r="F733" s="2" t="s">
        <v>879</v>
      </c>
      <c r="G733" s="2" t="s">
        <v>4</v>
      </c>
      <c r="J733" s="2" t="s">
        <v>7</v>
      </c>
    </row>
    <row r="734" ht="12.75" customHeight="1">
      <c r="A734" s="2">
        <f>$M$1</f>
        <v>2014</v>
      </c>
      <c r="B734" s="2">
        <v>12.0</v>
      </c>
      <c r="J734" s="2" t="s">
        <v>24</v>
      </c>
    </row>
    <row r="735" ht="12.75" customHeight="1">
      <c r="A735" s="2" t="s">
        <v>0</v>
      </c>
      <c r="B735" s="2" t="s">
        <v>1</v>
      </c>
      <c r="D735" s="2" t="s">
        <v>2</v>
      </c>
      <c r="E735" s="2" t="s">
        <v>3</v>
      </c>
      <c r="F735" s="2" t="s">
        <v>879</v>
      </c>
      <c r="G735" s="2" t="s">
        <v>4</v>
      </c>
      <c r="J735" s="2" t="s">
        <v>7</v>
      </c>
    </row>
    <row r="736" ht="12.75" customHeight="1">
      <c r="A736" s="2">
        <f>$M$1</f>
        <v>2014</v>
      </c>
      <c r="B736" s="2">
        <v>12.0</v>
      </c>
      <c r="J736" s="2" t="s">
        <v>651</v>
      </c>
    </row>
    <row r="737" ht="12.75" customHeight="1">
      <c r="A737" s="2" t="s">
        <v>0</v>
      </c>
      <c r="B737" s="2" t="s">
        <v>1</v>
      </c>
      <c r="D737" s="2" t="s">
        <v>2</v>
      </c>
      <c r="E737" s="2" t="s">
        <v>3</v>
      </c>
      <c r="F737" s="2" t="s">
        <v>879</v>
      </c>
      <c r="G737" s="2" t="s">
        <v>4</v>
      </c>
      <c r="J737" s="2" t="s">
        <v>7</v>
      </c>
    </row>
    <row r="738" ht="12.75" customHeight="1">
      <c r="A738" s="2">
        <f>$M$1</f>
        <v>2014</v>
      </c>
      <c r="B738" s="2">
        <v>12.0</v>
      </c>
      <c r="J738" s="2" t="s">
        <v>76</v>
      </c>
    </row>
    <row r="739" ht="12.75" customHeight="1">
      <c r="A739" s="2" t="s">
        <v>0</v>
      </c>
      <c r="B739" s="2" t="s">
        <v>1</v>
      </c>
      <c r="D739" s="2" t="s">
        <v>2</v>
      </c>
      <c r="E739" s="2" t="s">
        <v>3</v>
      </c>
      <c r="F739" s="2" t="s">
        <v>879</v>
      </c>
      <c r="G739" s="2" t="s">
        <v>4</v>
      </c>
      <c r="J739" s="2" t="s">
        <v>7</v>
      </c>
    </row>
    <row r="740" ht="12.75" customHeight="1">
      <c r="A740" s="2">
        <f>$M$1</f>
        <v>2014</v>
      </c>
      <c r="B740" s="2">
        <v>12.0</v>
      </c>
      <c r="J740" s="2" t="s">
        <v>26</v>
      </c>
    </row>
    <row r="741" ht="12.75" customHeight="1">
      <c r="A741" s="2" t="s">
        <v>0</v>
      </c>
      <c r="B741" s="2" t="s">
        <v>1</v>
      </c>
      <c r="D741" s="2" t="s">
        <v>2</v>
      </c>
      <c r="E741" s="2" t="s">
        <v>3</v>
      </c>
      <c r="F741" s="2" t="s">
        <v>879</v>
      </c>
      <c r="G741" s="2" t="s">
        <v>4</v>
      </c>
      <c r="J741" s="2" t="s">
        <v>7</v>
      </c>
    </row>
    <row r="742" ht="12.75" customHeight="1">
      <c r="A742" s="2">
        <f>$M$1</f>
        <v>2014</v>
      </c>
      <c r="B742" s="2">
        <v>12.0</v>
      </c>
      <c r="J742" s="2" t="s">
        <v>103</v>
      </c>
    </row>
    <row r="743" ht="12.75" customHeight="1">
      <c r="A743" s="2" t="s">
        <v>0</v>
      </c>
      <c r="B743" s="2" t="s">
        <v>1</v>
      </c>
      <c r="D743" s="2" t="s">
        <v>2</v>
      </c>
      <c r="E743" s="2" t="s">
        <v>3</v>
      </c>
      <c r="F743" s="2" t="s">
        <v>879</v>
      </c>
      <c r="G743" s="2" t="s">
        <v>4</v>
      </c>
      <c r="J743" s="2" t="s">
        <v>7</v>
      </c>
    </row>
    <row r="744" ht="12.75" customHeight="1">
      <c r="A744" s="2">
        <f>$M$1</f>
        <v>2014</v>
      </c>
      <c r="B744" s="2">
        <v>12.0</v>
      </c>
      <c r="J744" s="2" t="s">
        <v>22</v>
      </c>
    </row>
    <row r="745" ht="12.75" customHeight="1">
      <c r="A745" s="2" t="s">
        <v>0</v>
      </c>
      <c r="B745" s="2" t="s">
        <v>1</v>
      </c>
      <c r="D745" s="2" t="s">
        <v>2</v>
      </c>
      <c r="E745" s="2" t="s">
        <v>3</v>
      </c>
      <c r="F745" s="2" t="s">
        <v>879</v>
      </c>
      <c r="G745" s="2" t="s">
        <v>4</v>
      </c>
      <c r="J745" s="2" t="s">
        <v>7</v>
      </c>
    </row>
    <row r="746" ht="12.75" customHeight="1">
      <c r="A746" s="2">
        <f>$M$1</f>
        <v>2014</v>
      </c>
      <c r="B746" s="2">
        <v>12.0</v>
      </c>
      <c r="J746" s="2" t="s">
        <v>428</v>
      </c>
    </row>
    <row r="747" ht="12.75" customHeight="1">
      <c r="A747" s="2" t="s">
        <v>0</v>
      </c>
      <c r="B747" s="2" t="s">
        <v>1</v>
      </c>
      <c r="D747" s="2" t="s">
        <v>2</v>
      </c>
      <c r="E747" s="2" t="s">
        <v>3</v>
      </c>
      <c r="F747" s="2" t="s">
        <v>879</v>
      </c>
      <c r="G747" s="2" t="s">
        <v>4</v>
      </c>
      <c r="J747" s="2" t="s">
        <v>7</v>
      </c>
    </row>
    <row r="748" ht="12.75" customHeight="1">
      <c r="A748" s="2">
        <f>$M$1</f>
        <v>2014</v>
      </c>
      <c r="B748" s="2">
        <v>12.0</v>
      </c>
      <c r="J748" s="2" t="s">
        <v>800</v>
      </c>
    </row>
    <row r="749" ht="12.75" customHeight="1">
      <c r="A749" s="2" t="s">
        <v>0</v>
      </c>
      <c r="B749" s="2" t="s">
        <v>1</v>
      </c>
      <c r="D749" s="2" t="s">
        <v>2</v>
      </c>
      <c r="E749" s="2" t="s">
        <v>3</v>
      </c>
      <c r="F749" s="2" t="s">
        <v>879</v>
      </c>
      <c r="G749" s="2" t="s">
        <v>4</v>
      </c>
      <c r="J749" s="2" t="s">
        <v>7</v>
      </c>
    </row>
    <row r="750" ht="12.75" customHeight="1">
      <c r="A750" s="2">
        <f>$M$1</f>
        <v>2014</v>
      </c>
      <c r="B750" s="2">
        <v>12.0</v>
      </c>
      <c r="J750" s="2" t="s">
        <v>54</v>
      </c>
    </row>
    <row r="751" ht="12.75" customHeight="1">
      <c r="A751" s="2" t="s">
        <v>0</v>
      </c>
      <c r="B751" s="2" t="s">
        <v>1</v>
      </c>
      <c r="D751" s="2" t="s">
        <v>2</v>
      </c>
      <c r="E751" s="2" t="s">
        <v>3</v>
      </c>
      <c r="F751" s="2" t="s">
        <v>879</v>
      </c>
      <c r="G751" s="2" t="s">
        <v>4</v>
      </c>
      <c r="J751" s="2" t="s">
        <v>7</v>
      </c>
    </row>
    <row r="752" ht="12.75" customHeight="1">
      <c r="A752" s="2">
        <f>$M$1</f>
        <v>2014</v>
      </c>
      <c r="B752" s="2">
        <v>12.0</v>
      </c>
      <c r="J752" s="2" t="s">
        <v>801</v>
      </c>
    </row>
    <row r="753" ht="12.75" customHeight="1">
      <c r="A753" s="2" t="s">
        <v>0</v>
      </c>
      <c r="B753" s="2" t="s">
        <v>1</v>
      </c>
      <c r="D753" s="2" t="s">
        <v>2</v>
      </c>
      <c r="E753" s="2" t="s">
        <v>3</v>
      </c>
      <c r="F753" s="2" t="s">
        <v>879</v>
      </c>
      <c r="G753" s="2" t="s">
        <v>4</v>
      </c>
      <c r="J753" s="2" t="s">
        <v>7</v>
      </c>
    </row>
    <row r="754" ht="12.75" customHeight="1">
      <c r="A754" s="2">
        <f>$M$1</f>
        <v>2014</v>
      </c>
      <c r="B754" s="2">
        <v>12.0</v>
      </c>
      <c r="J754" s="2" t="s">
        <v>38</v>
      </c>
    </row>
    <row r="755" ht="12.75" customHeight="1">
      <c r="A755" s="2" t="s">
        <v>0</v>
      </c>
      <c r="B755" s="2" t="s">
        <v>1</v>
      </c>
      <c r="D755" s="2" t="s">
        <v>2</v>
      </c>
      <c r="E755" s="2" t="s">
        <v>3</v>
      </c>
      <c r="F755" s="2" t="s">
        <v>879</v>
      </c>
      <c r="G755" s="2" t="s">
        <v>4</v>
      </c>
      <c r="J755" s="2" t="s">
        <v>7</v>
      </c>
    </row>
    <row r="756" ht="12.75" customHeight="1">
      <c r="A756" s="2">
        <f>$M$1</f>
        <v>2014</v>
      </c>
      <c r="B756" s="2">
        <v>12.0</v>
      </c>
      <c r="J756" s="2" t="s">
        <v>47</v>
      </c>
    </row>
    <row r="757" ht="12.75" customHeight="1">
      <c r="A757" s="2" t="s">
        <v>0</v>
      </c>
      <c r="B757" s="2" t="s">
        <v>1</v>
      </c>
      <c r="D757" s="2" t="s">
        <v>2</v>
      </c>
      <c r="E757" s="2" t="s">
        <v>3</v>
      </c>
      <c r="F757" s="2" t="s">
        <v>879</v>
      </c>
      <c r="G757" s="2" t="s">
        <v>4</v>
      </c>
      <c r="J757" s="2" t="s">
        <v>7</v>
      </c>
    </row>
    <row r="758" ht="12.75" customHeight="1">
      <c r="A758" s="2">
        <f>$M$1</f>
        <v>2014</v>
      </c>
      <c r="B758" s="2">
        <v>12.0</v>
      </c>
      <c r="J758" s="2" t="s">
        <v>52</v>
      </c>
    </row>
    <row r="759" ht="12.75" customHeight="1">
      <c r="A759" s="2" t="s">
        <v>0</v>
      </c>
      <c r="B759" s="2" t="s">
        <v>1</v>
      </c>
      <c r="D759" s="2" t="s">
        <v>2</v>
      </c>
      <c r="E759" s="2" t="s">
        <v>3</v>
      </c>
      <c r="F759" s="2" t="s">
        <v>879</v>
      </c>
      <c r="G759" s="2" t="s">
        <v>4</v>
      </c>
      <c r="J759" s="2" t="s">
        <v>7</v>
      </c>
    </row>
    <row r="760" ht="12.75" customHeight="1">
      <c r="A760" s="2">
        <f>$M$1</f>
        <v>2014</v>
      </c>
      <c r="B760" s="2">
        <v>12.0</v>
      </c>
      <c r="J760" s="2" t="s">
        <v>42</v>
      </c>
    </row>
    <row r="761" ht="12.75" customHeight="1">
      <c r="A761" s="2" t="s">
        <v>0</v>
      </c>
      <c r="B761" s="2" t="s">
        <v>1</v>
      </c>
      <c r="D761" s="2" t="s">
        <v>2</v>
      </c>
      <c r="E761" s="2" t="s">
        <v>3</v>
      </c>
      <c r="F761" s="2" t="s">
        <v>879</v>
      </c>
      <c r="G761" s="2" t="s">
        <v>4</v>
      </c>
      <c r="J761" s="2" t="s">
        <v>7</v>
      </c>
    </row>
    <row r="762" ht="12.75" customHeight="1">
      <c r="A762" s="2">
        <f>$M$1</f>
        <v>2014</v>
      </c>
      <c r="B762" s="2">
        <v>12.0</v>
      </c>
      <c r="J762" s="2" t="s">
        <v>133</v>
      </c>
    </row>
    <row r="763" ht="12.75" customHeight="1">
      <c r="A763" s="2" t="s">
        <v>0</v>
      </c>
      <c r="B763" s="2" t="s">
        <v>1</v>
      </c>
      <c r="D763" s="2" t="s">
        <v>2</v>
      </c>
      <c r="E763" s="2" t="s">
        <v>3</v>
      </c>
      <c r="F763" s="2" t="s">
        <v>879</v>
      </c>
      <c r="G763" s="2" t="s">
        <v>4</v>
      </c>
      <c r="J763" s="2" t="s">
        <v>7</v>
      </c>
    </row>
    <row r="764" ht="12.75" customHeight="1">
      <c r="A764" s="2">
        <f>$M$1</f>
        <v>2014</v>
      </c>
      <c r="B764" s="2">
        <v>12.0</v>
      </c>
      <c r="J764" s="2" t="s">
        <v>803</v>
      </c>
    </row>
    <row r="765" ht="12.75" customHeight="1">
      <c r="A765" s="2" t="s">
        <v>0</v>
      </c>
      <c r="B765" s="2" t="s">
        <v>1</v>
      </c>
      <c r="D765" s="2" t="s">
        <v>2</v>
      </c>
      <c r="E765" s="2" t="s">
        <v>3</v>
      </c>
      <c r="F765" s="2" t="s">
        <v>879</v>
      </c>
      <c r="G765" s="2" t="s">
        <v>4</v>
      </c>
      <c r="J765" s="2" t="s">
        <v>7</v>
      </c>
    </row>
    <row r="766" ht="12.75" customHeight="1">
      <c r="A766" s="2">
        <f>$M$1</f>
        <v>2014</v>
      </c>
      <c r="B766" s="2">
        <v>12.0</v>
      </c>
      <c r="J766" s="2" t="s">
        <v>164</v>
      </c>
    </row>
    <row r="767" ht="12.75" customHeight="1">
      <c r="A767" s="2" t="s">
        <v>0</v>
      </c>
      <c r="B767" s="2" t="s">
        <v>1</v>
      </c>
      <c r="D767" s="2" t="s">
        <v>2</v>
      </c>
      <c r="E767" s="2" t="s">
        <v>3</v>
      </c>
      <c r="F767" s="2" t="s">
        <v>879</v>
      </c>
      <c r="G767" s="2" t="s">
        <v>4</v>
      </c>
      <c r="J767" s="2" t="s">
        <v>7</v>
      </c>
    </row>
    <row r="768" ht="12.75" customHeight="1">
      <c r="A768" s="2">
        <f>$M$1</f>
        <v>2014</v>
      </c>
      <c r="B768" s="2">
        <v>12.0</v>
      </c>
      <c r="J768" s="2" t="s">
        <v>50</v>
      </c>
    </row>
    <row r="769" ht="12.75" customHeight="1">
      <c r="A769" s="2" t="s">
        <v>0</v>
      </c>
      <c r="B769" s="2" t="s">
        <v>1</v>
      </c>
      <c r="D769" s="2" t="s">
        <v>2</v>
      </c>
      <c r="E769" s="2" t="s">
        <v>3</v>
      </c>
      <c r="F769" s="2" t="s">
        <v>879</v>
      </c>
      <c r="G769" s="2" t="s">
        <v>4</v>
      </c>
      <c r="J769" s="2" t="s">
        <v>7</v>
      </c>
    </row>
    <row r="770" ht="12.75" customHeight="1">
      <c r="A770" s="2">
        <f>$M$1</f>
        <v>2014</v>
      </c>
      <c r="B770" s="2">
        <v>12.0</v>
      </c>
      <c r="J770" s="2" t="s">
        <v>304</v>
      </c>
    </row>
    <row r="771" ht="12.75" customHeight="1">
      <c r="A771" s="2" t="s">
        <v>0</v>
      </c>
      <c r="B771" s="2" t="s">
        <v>1</v>
      </c>
      <c r="D771" s="2" t="s">
        <v>2</v>
      </c>
      <c r="E771" s="2" t="s">
        <v>3</v>
      </c>
      <c r="F771" s="2" t="s">
        <v>879</v>
      </c>
      <c r="G771" s="2" t="s">
        <v>4</v>
      </c>
      <c r="J771" s="2" t="s">
        <v>7</v>
      </c>
    </row>
    <row r="772" ht="12.75" customHeight="1">
      <c r="A772" s="2">
        <f>$M$1</f>
        <v>2014</v>
      </c>
      <c r="B772" s="2">
        <v>12.0</v>
      </c>
      <c r="J772" s="2" t="s">
        <v>72</v>
      </c>
    </row>
    <row r="773" ht="12.75" customHeight="1">
      <c r="A773" s="2" t="s">
        <v>0</v>
      </c>
      <c r="B773" s="2" t="s">
        <v>1</v>
      </c>
      <c r="D773" s="2" t="s">
        <v>2</v>
      </c>
      <c r="E773" s="2" t="s">
        <v>3</v>
      </c>
      <c r="F773" s="2" t="s">
        <v>879</v>
      </c>
      <c r="G773" s="2" t="s">
        <v>4</v>
      </c>
      <c r="J773" s="2" t="s">
        <v>7</v>
      </c>
    </row>
    <row r="774" ht="12.75" customHeight="1">
      <c r="A774" s="2">
        <f>$M$1</f>
        <v>2014</v>
      </c>
      <c r="B774" s="2">
        <v>12.0</v>
      </c>
      <c r="J774" s="2" t="s">
        <v>13</v>
      </c>
    </row>
    <row r="775" ht="12.75" customHeight="1">
      <c r="A775" s="2" t="s">
        <v>0</v>
      </c>
      <c r="B775" s="2" t="s">
        <v>1</v>
      </c>
      <c r="D775" s="2" t="s">
        <v>2</v>
      </c>
      <c r="E775" s="2" t="s">
        <v>3</v>
      </c>
      <c r="F775" s="2" t="s">
        <v>879</v>
      </c>
      <c r="G775" s="2" t="s">
        <v>4</v>
      </c>
      <c r="J775" s="2" t="s">
        <v>7</v>
      </c>
    </row>
    <row r="776" ht="12.75" customHeight="1">
      <c r="A776" s="2">
        <f>$M$1</f>
        <v>2014</v>
      </c>
      <c r="B776" s="2">
        <v>12.0</v>
      </c>
      <c r="J776" s="2" t="s">
        <v>18</v>
      </c>
    </row>
    <row r="777" ht="12.75" customHeight="1">
      <c r="A777" s="2" t="s">
        <v>0</v>
      </c>
      <c r="B777" s="2" t="s">
        <v>1</v>
      </c>
      <c r="D777" s="2" t="s">
        <v>2</v>
      </c>
      <c r="E777" s="2" t="s">
        <v>3</v>
      </c>
      <c r="F777" s="2" t="s">
        <v>879</v>
      </c>
      <c r="G777" s="2" t="s">
        <v>4</v>
      </c>
      <c r="J777" s="2" t="s">
        <v>7</v>
      </c>
    </row>
    <row r="778" ht="12.75" customHeight="1">
      <c r="A778" s="2">
        <f>$M$1</f>
        <v>2014</v>
      </c>
      <c r="B778" s="2">
        <v>12.0</v>
      </c>
      <c r="J778" s="2" t="s">
        <v>153</v>
      </c>
    </row>
    <row r="779" ht="12.75" customHeight="1">
      <c r="A779" s="2" t="s">
        <v>0</v>
      </c>
      <c r="B779" s="2" t="s">
        <v>1</v>
      </c>
      <c r="D779" s="2" t="s">
        <v>2</v>
      </c>
      <c r="E779" s="2" t="s">
        <v>3</v>
      </c>
      <c r="F779" s="2" t="s">
        <v>879</v>
      </c>
      <c r="G779" s="2" t="s">
        <v>4</v>
      </c>
      <c r="J779" s="2" t="s">
        <v>7</v>
      </c>
    </row>
    <row r="780" ht="12.75" customHeight="1">
      <c r="A780" s="2">
        <f>$M$1</f>
        <v>2014</v>
      </c>
      <c r="B780" s="2">
        <v>12.0</v>
      </c>
      <c r="J780" s="2" t="s">
        <v>805</v>
      </c>
    </row>
    <row r="781" ht="12.75" customHeight="1">
      <c r="A781" s="2" t="s">
        <v>0</v>
      </c>
      <c r="B781" s="2" t="s">
        <v>1</v>
      </c>
      <c r="D781" s="2" t="s">
        <v>2</v>
      </c>
      <c r="E781" s="2" t="s">
        <v>3</v>
      </c>
      <c r="F781" s="2" t="s">
        <v>879</v>
      </c>
      <c r="G781" s="2" t="s">
        <v>4</v>
      </c>
      <c r="J781" s="2" t="s">
        <v>7</v>
      </c>
    </row>
    <row r="782" ht="12.75" customHeight="1">
      <c r="A782" s="2">
        <f>$M$1</f>
        <v>2014</v>
      </c>
      <c r="B782" s="2">
        <v>12.0</v>
      </c>
      <c r="J782" s="2" t="s">
        <v>31</v>
      </c>
    </row>
    <row r="783" ht="12.75" customHeight="1">
      <c r="A783" s="2" t="s">
        <v>0</v>
      </c>
      <c r="B783" s="2" t="s">
        <v>1</v>
      </c>
      <c r="D783" s="2" t="s">
        <v>2</v>
      </c>
      <c r="E783" s="2" t="s">
        <v>3</v>
      </c>
      <c r="F783" s="2" t="s">
        <v>879</v>
      </c>
      <c r="G783" s="2" t="s">
        <v>4</v>
      </c>
      <c r="J783" s="2" t="s">
        <v>7</v>
      </c>
    </row>
    <row r="784" ht="12.75" customHeight="1">
      <c r="A784" s="2">
        <f>$M$1</f>
        <v>2014</v>
      </c>
      <c r="B784" s="2">
        <v>12.0</v>
      </c>
      <c r="J784" s="2" t="s">
        <v>123</v>
      </c>
    </row>
    <row r="785" ht="12.75" customHeight="1">
      <c r="A785" s="2" t="s">
        <v>0</v>
      </c>
      <c r="B785" s="2" t="s">
        <v>1</v>
      </c>
      <c r="D785" s="2" t="s">
        <v>2</v>
      </c>
      <c r="E785" s="2" t="s">
        <v>3</v>
      </c>
      <c r="F785" s="2" t="s">
        <v>879</v>
      </c>
      <c r="G785" s="2" t="s">
        <v>4</v>
      </c>
      <c r="J785" s="2" t="s">
        <v>7</v>
      </c>
    </row>
    <row r="786" ht="12.75" customHeight="1">
      <c r="A786" s="2">
        <f>$M$1</f>
        <v>2014</v>
      </c>
      <c r="B786" s="2">
        <v>12.0</v>
      </c>
      <c r="J786" s="2" t="s">
        <v>35</v>
      </c>
    </row>
    <row r="787" ht="12.75" customHeight="1">
      <c r="A787" s="2" t="s">
        <v>0</v>
      </c>
      <c r="B787" s="2" t="s">
        <v>1</v>
      </c>
      <c r="D787" s="2" t="s">
        <v>2</v>
      </c>
      <c r="E787" s="2" t="s">
        <v>3</v>
      </c>
      <c r="F787" s="2" t="s">
        <v>879</v>
      </c>
      <c r="G787" s="2" t="s">
        <v>4</v>
      </c>
      <c r="J787" s="2" t="s">
        <v>7</v>
      </c>
    </row>
    <row r="788" ht="12.75" customHeight="1">
      <c r="A788" s="2">
        <f>$M$1</f>
        <v>2014</v>
      </c>
      <c r="B788" s="2">
        <v>12.0</v>
      </c>
      <c r="J788" s="2" t="s">
        <v>210</v>
      </c>
    </row>
    <row r="789" ht="12.75" customHeight="1">
      <c r="A789" s="2" t="s">
        <v>0</v>
      </c>
      <c r="B789" s="2" t="s">
        <v>1</v>
      </c>
      <c r="D789" s="2" t="s">
        <v>2</v>
      </c>
      <c r="E789" s="2" t="s">
        <v>3</v>
      </c>
      <c r="F789" s="2" t="s">
        <v>879</v>
      </c>
      <c r="G789" s="2" t="s">
        <v>4</v>
      </c>
      <c r="J789" s="2" t="s">
        <v>7</v>
      </c>
    </row>
    <row r="790" ht="12.75" customHeight="1">
      <c r="A790" s="2">
        <f>$M$1</f>
        <v>2014</v>
      </c>
      <c r="B790" s="2">
        <v>12.0</v>
      </c>
      <c r="J790" s="2" t="s">
        <v>808</v>
      </c>
    </row>
    <row r="791" ht="12.75" customHeight="1">
      <c r="A791" s="2" t="s">
        <v>0</v>
      </c>
      <c r="B791" s="2" t="s">
        <v>1</v>
      </c>
      <c r="D791" s="2" t="s">
        <v>2</v>
      </c>
      <c r="E791" s="2" t="s">
        <v>3</v>
      </c>
      <c r="F791" s="2" t="s">
        <v>879</v>
      </c>
      <c r="G791" s="2" t="s">
        <v>4</v>
      </c>
      <c r="J791" s="2" t="s">
        <v>7</v>
      </c>
    </row>
    <row r="792" ht="12.75" customHeight="1">
      <c r="A792" s="2">
        <f>$M$1</f>
        <v>2014</v>
      </c>
      <c r="B792" s="2">
        <v>12.0</v>
      </c>
      <c r="J792" s="2" t="s">
        <v>810</v>
      </c>
    </row>
    <row r="793" ht="12.75" customHeight="1"/>
    <row r="794" ht="12.75" customHeight="1"/>
    <row r="795" ht="12.75" customHeight="1"/>
    <row r="796" ht="12.75" customHeight="1"/>
    <row r="797" ht="12.75" customHeight="1"/>
    <row r="798" ht="12.75" customHeight="1">
      <c r="B798" s="2" t="s">
        <v>881</v>
      </c>
    </row>
    <row r="799" ht="12.75" customHeight="1">
      <c r="A799" s="2" t="s">
        <v>0</v>
      </c>
      <c r="B799" s="2" t="s">
        <v>1</v>
      </c>
      <c r="D799" s="2" t="s">
        <v>2</v>
      </c>
      <c r="E799" s="2" t="s">
        <v>3</v>
      </c>
      <c r="G799" s="2" t="s">
        <v>4</v>
      </c>
      <c r="J799" s="2" t="s">
        <v>7</v>
      </c>
    </row>
    <row r="800" ht="12.75" customHeight="1">
      <c r="A800" s="2">
        <f>$M$1-1</f>
        <v>2013</v>
      </c>
      <c r="B800" s="2">
        <v>12.0</v>
      </c>
      <c r="J800" s="2" t="s">
        <v>40</v>
      </c>
    </row>
    <row r="801" ht="12.75" customHeight="1">
      <c r="A801" s="2" t="s">
        <v>0</v>
      </c>
      <c r="B801" s="2" t="s">
        <v>1</v>
      </c>
      <c r="D801" s="2" t="s">
        <v>2</v>
      </c>
      <c r="E801" s="2" t="s">
        <v>3</v>
      </c>
      <c r="G801" s="2" t="s">
        <v>4</v>
      </c>
      <c r="J801" s="2" t="s">
        <v>7</v>
      </c>
    </row>
    <row r="802" ht="12.75" customHeight="1">
      <c r="A802" s="2">
        <f>$M$1</f>
        <v>2014</v>
      </c>
      <c r="B802" s="2">
        <v>1.0</v>
      </c>
      <c r="J802" s="2" t="s">
        <v>40</v>
      </c>
    </row>
    <row r="803" ht="12.75" customHeight="1">
      <c r="A803" s="2" t="s">
        <v>0</v>
      </c>
      <c r="B803" s="2" t="s">
        <v>1</v>
      </c>
      <c r="D803" s="2" t="s">
        <v>2</v>
      </c>
      <c r="E803" s="2" t="s">
        <v>3</v>
      </c>
      <c r="G803" s="2" t="s">
        <v>4</v>
      </c>
      <c r="J803" s="2" t="s">
        <v>7</v>
      </c>
    </row>
    <row r="804" ht="12.75" customHeight="1">
      <c r="A804" s="2">
        <f t="shared" ref="A804:A824" si="1">IF(MOD((ROW(A804)-2)*0.5,10),A802,A802)</f>
        <v>2014</v>
      </c>
      <c r="B804" s="2">
        <v>2.0</v>
      </c>
      <c r="J804" s="2" t="s">
        <v>40</v>
      </c>
    </row>
    <row r="805" ht="12.75" customHeight="1">
      <c r="A805" s="2" t="str">
        <f t="shared" si="1"/>
        <v>y</v>
      </c>
      <c r="B805" s="2" t="s">
        <v>1</v>
      </c>
      <c r="D805" s="2" t="s">
        <v>2</v>
      </c>
      <c r="E805" s="2" t="s">
        <v>3</v>
      </c>
      <c r="G805" s="2" t="s">
        <v>4</v>
      </c>
      <c r="J805" s="2" t="s">
        <v>7</v>
      </c>
    </row>
    <row r="806" ht="12.75" customHeight="1">
      <c r="A806" s="2">
        <f t="shared" si="1"/>
        <v>2014</v>
      </c>
      <c r="B806" s="2">
        <v>3.0</v>
      </c>
      <c r="J806" s="2" t="s">
        <v>40</v>
      </c>
    </row>
    <row r="807" ht="12.75" customHeight="1">
      <c r="A807" s="2" t="str">
        <f t="shared" si="1"/>
        <v>y</v>
      </c>
      <c r="B807" s="2" t="s">
        <v>1</v>
      </c>
      <c r="D807" s="2" t="s">
        <v>2</v>
      </c>
      <c r="E807" s="2" t="s">
        <v>3</v>
      </c>
      <c r="G807" s="2" t="s">
        <v>4</v>
      </c>
      <c r="J807" s="2" t="s">
        <v>7</v>
      </c>
    </row>
    <row r="808" ht="12.75" customHeight="1">
      <c r="A808" s="2">
        <f t="shared" si="1"/>
        <v>2014</v>
      </c>
      <c r="B808" s="2">
        <v>4.0</v>
      </c>
      <c r="J808" s="2" t="s">
        <v>40</v>
      </c>
    </row>
    <row r="809" ht="12.75" customHeight="1">
      <c r="A809" s="2" t="str">
        <f t="shared" si="1"/>
        <v>y</v>
      </c>
      <c r="B809" s="2" t="s">
        <v>1</v>
      </c>
      <c r="D809" s="2" t="s">
        <v>2</v>
      </c>
      <c r="E809" s="2" t="s">
        <v>3</v>
      </c>
      <c r="G809" s="2" t="s">
        <v>4</v>
      </c>
      <c r="J809" s="2" t="s">
        <v>7</v>
      </c>
    </row>
    <row r="810" ht="12.75" customHeight="1">
      <c r="A810" s="2">
        <f t="shared" si="1"/>
        <v>2014</v>
      </c>
      <c r="B810" s="2">
        <v>5.0</v>
      </c>
      <c r="J810" s="2" t="s">
        <v>40</v>
      </c>
    </row>
    <row r="811" ht="12.75" customHeight="1">
      <c r="A811" s="2" t="str">
        <f t="shared" si="1"/>
        <v>y</v>
      </c>
      <c r="B811" s="2" t="s">
        <v>1</v>
      </c>
      <c r="D811" s="2" t="s">
        <v>2</v>
      </c>
      <c r="E811" s="2" t="s">
        <v>3</v>
      </c>
      <c r="G811" s="2" t="s">
        <v>4</v>
      </c>
      <c r="J811" s="2" t="s">
        <v>7</v>
      </c>
    </row>
    <row r="812" ht="12.75" customHeight="1">
      <c r="A812" s="2">
        <f t="shared" si="1"/>
        <v>2014</v>
      </c>
      <c r="B812" s="2">
        <v>6.0</v>
      </c>
      <c r="J812" s="2" t="s">
        <v>40</v>
      </c>
    </row>
    <row r="813" ht="12.75" customHeight="1">
      <c r="A813" s="2" t="str">
        <f t="shared" si="1"/>
        <v>y</v>
      </c>
      <c r="B813" s="2" t="s">
        <v>1</v>
      </c>
      <c r="D813" s="2" t="s">
        <v>2</v>
      </c>
      <c r="E813" s="2" t="s">
        <v>3</v>
      </c>
      <c r="G813" s="2" t="s">
        <v>4</v>
      </c>
      <c r="J813" s="2" t="s">
        <v>7</v>
      </c>
    </row>
    <row r="814" ht="12.75" customHeight="1">
      <c r="A814" s="2">
        <f t="shared" si="1"/>
        <v>2014</v>
      </c>
      <c r="B814" s="2">
        <v>7.0</v>
      </c>
      <c r="J814" s="2" t="s">
        <v>40</v>
      </c>
    </row>
    <row r="815" ht="12.75" customHeight="1">
      <c r="A815" s="2" t="str">
        <f t="shared" si="1"/>
        <v>y</v>
      </c>
      <c r="B815" s="2" t="s">
        <v>1</v>
      </c>
      <c r="D815" s="2" t="s">
        <v>2</v>
      </c>
      <c r="E815" s="2" t="s">
        <v>3</v>
      </c>
      <c r="G815" s="2" t="s">
        <v>4</v>
      </c>
      <c r="J815" s="2" t="s">
        <v>7</v>
      </c>
    </row>
    <row r="816" ht="12.75" customHeight="1">
      <c r="A816" s="2">
        <f t="shared" si="1"/>
        <v>2014</v>
      </c>
      <c r="B816" s="2">
        <v>8.0</v>
      </c>
      <c r="J816" s="2" t="s">
        <v>40</v>
      </c>
    </row>
    <row r="817" ht="12.75" customHeight="1">
      <c r="A817" s="2" t="str">
        <f t="shared" si="1"/>
        <v>y</v>
      </c>
      <c r="B817" s="2" t="s">
        <v>1</v>
      </c>
      <c r="D817" s="2" t="s">
        <v>2</v>
      </c>
      <c r="E817" s="2" t="s">
        <v>3</v>
      </c>
      <c r="G817" s="2" t="s">
        <v>4</v>
      </c>
      <c r="J817" s="2" t="s">
        <v>7</v>
      </c>
    </row>
    <row r="818" ht="12.75" customHeight="1">
      <c r="A818" s="2">
        <f t="shared" si="1"/>
        <v>2014</v>
      </c>
      <c r="B818" s="2">
        <v>9.0</v>
      </c>
      <c r="J818" s="2" t="s">
        <v>40</v>
      </c>
    </row>
    <row r="819" ht="12.75" customHeight="1">
      <c r="A819" s="2" t="str">
        <f t="shared" si="1"/>
        <v>y</v>
      </c>
      <c r="B819" s="2" t="s">
        <v>1</v>
      </c>
      <c r="D819" s="2" t="s">
        <v>2</v>
      </c>
      <c r="E819" s="2" t="s">
        <v>3</v>
      </c>
      <c r="G819" s="2" t="s">
        <v>4</v>
      </c>
      <c r="J819" s="2" t="s">
        <v>7</v>
      </c>
    </row>
    <row r="820" ht="12.75" customHeight="1">
      <c r="A820" s="2">
        <f t="shared" si="1"/>
        <v>2014</v>
      </c>
      <c r="B820" s="2">
        <v>10.0</v>
      </c>
      <c r="J820" s="2" t="s">
        <v>40</v>
      </c>
    </row>
    <row r="821" ht="12.75" customHeight="1">
      <c r="A821" s="2" t="str">
        <f t="shared" si="1"/>
        <v>y</v>
      </c>
      <c r="B821" s="2" t="s">
        <v>1</v>
      </c>
      <c r="D821" s="2" t="s">
        <v>2</v>
      </c>
      <c r="E821" s="2" t="s">
        <v>3</v>
      </c>
      <c r="G821" s="2" t="s">
        <v>4</v>
      </c>
      <c r="J821" s="2" t="s">
        <v>7</v>
      </c>
    </row>
    <row r="822" ht="12.75" customHeight="1">
      <c r="A822" s="2">
        <f t="shared" si="1"/>
        <v>2014</v>
      </c>
      <c r="B822" s="2">
        <v>11.0</v>
      </c>
      <c r="J822" s="2" t="s">
        <v>40</v>
      </c>
    </row>
    <row r="823" ht="12.75" customHeight="1">
      <c r="A823" s="2" t="str">
        <f t="shared" si="1"/>
        <v>y</v>
      </c>
      <c r="B823" s="2" t="s">
        <v>1</v>
      </c>
      <c r="D823" s="2" t="s">
        <v>2</v>
      </c>
      <c r="E823" s="2" t="s">
        <v>3</v>
      </c>
      <c r="G823" s="2" t="s">
        <v>4</v>
      </c>
      <c r="J823" s="2" t="s">
        <v>7</v>
      </c>
    </row>
    <row r="824" ht="12.75" customHeight="1">
      <c r="A824" s="2">
        <f t="shared" si="1"/>
        <v>2014</v>
      </c>
      <c r="B824" s="2">
        <v>12.0</v>
      </c>
      <c r="J824" s="2" t="s">
        <v>40</v>
      </c>
    </row>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1.0" footer="0.0" header="0.0" left="0.75" right="0.75" top="1.0"/>
  <pageSetup orientation="landscape"/>
  <drawing r:id="rId1"/>
</worksheet>
</file>